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daniel_b_altieri_vanderbilt_edu1/Documents/Data Science/Excercises/"/>
    </mc:Choice>
  </mc:AlternateContent>
  <xr:revisionPtr revIDLastSave="90" documentId="8_{A1BEA50E-7294-407A-9611-6F55082E868D}" xr6:coauthVersionLast="47" xr6:coauthVersionMax="47" xr10:uidLastSave="{F0FB9CBA-ABDC-4FF9-AC2F-ECE30762A015}"/>
  <bookViews>
    <workbookView xWindow="-110" yWindow="-110" windowWidth="25820" windowHeight="15500" activeTab="3" xr2:uid="{00000000-000D-0000-FFFF-FFFF00000000}"/>
  </bookViews>
  <sheets>
    <sheet name="Data" sheetId="1" r:id="rId1"/>
    <sheet name="Variables" sheetId="2" r:id="rId2"/>
    <sheet name="Empathy Alone" sheetId="4" r:id="rId3"/>
    <sheet name="Lets done do it" sheetId="6" r:id="rId4"/>
    <sheet name="Codes" sheetId="3" r:id="rId5"/>
  </sheets>
  <definedNames>
    <definedName name="_xlnm._FilterDatabase" localSheetId="2" hidden="1">'Empathy Alone'!$H$1:$N$1362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5" i="6" l="1"/>
  <c r="Y19" i="4"/>
  <c r="B509" i="6"/>
  <c r="AA11" i="4"/>
  <c r="O2" i="4"/>
  <c r="J515" i="6"/>
  <c r="I515" i="6"/>
  <c r="N515" i="6"/>
  <c r="L515" i="6"/>
  <c r="K515" i="6"/>
  <c r="V146" i="6"/>
  <c r="U146" i="6"/>
  <c r="I207" i="4"/>
  <c r="H207" i="4"/>
  <c r="K125" i="4"/>
  <c r="AA154" i="6"/>
  <c r="AA158" i="6"/>
  <c r="AA5" i="6"/>
  <c r="AA165" i="6"/>
  <c r="AA170" i="6"/>
  <c r="AA172" i="6"/>
  <c r="AA177" i="6"/>
  <c r="AA178" i="6"/>
  <c r="AA183" i="6"/>
  <c r="AA197" i="6"/>
  <c r="AA199" i="6"/>
  <c r="AA204" i="6"/>
  <c r="AA213" i="6"/>
  <c r="AA20" i="6"/>
  <c r="AA215" i="6"/>
  <c r="AA218" i="6"/>
  <c r="AA220" i="6"/>
  <c r="AA221" i="6"/>
  <c r="AA224" i="6"/>
  <c r="AA228" i="6"/>
  <c r="AA231" i="6"/>
  <c r="AA233" i="6"/>
  <c r="AA235" i="6"/>
  <c r="AA236" i="6"/>
  <c r="AA238" i="6"/>
  <c r="AA240" i="6"/>
  <c r="AA242" i="6"/>
  <c r="AA247" i="6"/>
  <c r="AA248" i="6"/>
  <c r="AA26" i="6"/>
  <c r="AA29" i="6"/>
  <c r="AA249" i="6"/>
  <c r="AA252" i="6"/>
  <c r="AA33" i="6"/>
  <c r="AA257" i="6"/>
  <c r="AA34" i="6"/>
  <c r="AA260" i="6"/>
  <c r="AA261" i="6"/>
  <c r="AA266" i="6"/>
  <c r="AA40" i="6"/>
  <c r="AA42" i="6"/>
  <c r="AA270" i="6"/>
  <c r="AA272" i="6"/>
  <c r="AA44" i="6"/>
  <c r="AA276" i="6"/>
  <c r="AA278" i="6"/>
  <c r="AA50" i="6"/>
  <c r="AA51" i="6"/>
  <c r="AA54" i="6"/>
  <c r="AA287" i="6"/>
  <c r="AA290" i="6"/>
  <c r="AA291" i="6"/>
  <c r="AA295" i="6"/>
  <c r="AA57" i="6"/>
  <c r="AA299" i="6"/>
  <c r="AA301" i="6"/>
  <c r="AA59" i="6"/>
  <c r="AA302" i="6"/>
  <c r="AA303" i="6"/>
  <c r="AA305" i="6"/>
  <c r="AA306" i="6"/>
  <c r="AA307" i="6"/>
  <c r="AA312" i="6"/>
  <c r="AA314" i="6"/>
  <c r="AA315" i="6"/>
  <c r="AA317" i="6"/>
  <c r="AA318" i="6"/>
  <c r="AA320" i="6"/>
  <c r="AA324" i="6"/>
  <c r="AA326" i="6"/>
  <c r="AA329" i="6"/>
  <c r="AA64" i="6"/>
  <c r="AA336" i="6"/>
  <c r="AA338" i="6"/>
  <c r="AA340" i="6"/>
  <c r="AA343" i="6"/>
  <c r="AA344" i="6"/>
  <c r="AA345" i="6"/>
  <c r="AA346" i="6"/>
  <c r="AA350" i="6"/>
  <c r="AA70" i="6"/>
  <c r="AA353" i="6"/>
  <c r="AA73" i="6"/>
  <c r="AA74" i="6"/>
  <c r="AA75" i="6"/>
  <c r="AA356" i="6"/>
  <c r="AA363" i="6"/>
  <c r="AA364" i="6"/>
  <c r="AA365" i="6"/>
  <c r="AA367" i="6"/>
  <c r="AA371" i="6"/>
  <c r="AA377" i="6"/>
  <c r="AA379" i="6"/>
  <c r="AA383" i="6"/>
  <c r="AA389" i="6"/>
  <c r="AA391" i="6"/>
  <c r="AA392" i="6"/>
  <c r="AA396" i="6"/>
  <c r="AA90" i="6"/>
  <c r="AA92" i="6"/>
  <c r="AA398" i="6"/>
  <c r="AA399" i="6"/>
  <c r="AA400" i="6"/>
  <c r="AA93" i="6"/>
  <c r="AA94" i="6"/>
  <c r="AA402" i="6"/>
  <c r="AA405" i="6"/>
  <c r="AA407" i="6"/>
  <c r="AA98" i="6"/>
  <c r="AA99" i="6"/>
  <c r="AA408" i="6"/>
  <c r="AA100" i="6"/>
  <c r="AA101" i="6"/>
  <c r="AA103" i="6"/>
  <c r="AA411" i="6"/>
  <c r="AA106" i="6"/>
  <c r="AA107" i="6"/>
  <c r="AA109" i="6"/>
  <c r="AA416" i="6"/>
  <c r="AA418" i="6"/>
  <c r="AA421" i="6"/>
  <c r="AA423" i="6"/>
  <c r="AA424" i="6"/>
  <c r="AA426" i="6"/>
  <c r="AA111" i="6"/>
  <c r="AA432" i="6"/>
  <c r="AA112" i="6"/>
  <c r="AA434" i="6"/>
  <c r="AA114" i="6"/>
  <c r="AA435" i="6"/>
  <c r="AA117" i="6"/>
  <c r="AA118" i="6"/>
  <c r="AA119" i="6"/>
  <c r="AA122" i="6"/>
  <c r="AA444" i="6"/>
  <c r="AA448" i="6"/>
  <c r="AA125" i="6"/>
  <c r="AA455" i="6"/>
  <c r="AA456" i="6"/>
  <c r="AA457" i="6"/>
  <c r="AA458" i="6"/>
  <c r="AA459" i="6"/>
  <c r="AA460" i="6"/>
  <c r="AA129" i="6"/>
  <c r="AA462" i="6"/>
  <c r="AA133" i="6"/>
  <c r="AA468" i="6"/>
  <c r="AA471" i="6"/>
  <c r="AA472" i="6"/>
  <c r="AA474" i="6"/>
  <c r="AA138" i="6"/>
  <c r="AA139" i="6"/>
  <c r="AA478" i="6"/>
  <c r="AA483" i="6"/>
  <c r="AA486" i="6"/>
  <c r="AA489" i="6"/>
  <c r="AA491" i="6"/>
  <c r="AA143" i="6"/>
  <c r="AA492" i="6"/>
  <c r="AA494" i="6"/>
  <c r="AA144" i="6"/>
  <c r="AA495" i="6"/>
  <c r="AA496" i="6"/>
  <c r="AA152" i="6"/>
  <c r="AA4" i="6"/>
  <c r="AA157" i="6"/>
  <c r="AA162" i="6"/>
  <c r="AA176" i="6"/>
  <c r="AA9" i="6"/>
  <c r="AA198" i="6"/>
  <c r="AA209" i="6"/>
  <c r="AA19" i="6"/>
  <c r="AA210" i="6"/>
  <c r="AA148" i="6"/>
  <c r="AA150" i="6"/>
  <c r="AA161" i="6"/>
  <c r="AA168" i="6"/>
  <c r="AA173" i="6"/>
  <c r="AA181" i="6"/>
  <c r="AA8" i="6"/>
  <c r="AA185" i="6"/>
  <c r="AA187" i="6"/>
  <c r="AA193" i="6"/>
  <c r="AA196" i="6"/>
  <c r="AA13" i="6"/>
  <c r="AA18" i="6"/>
  <c r="AA214" i="6"/>
  <c r="AA21" i="6"/>
  <c r="AA216" i="6"/>
  <c r="AA222" i="6"/>
  <c r="AA227" i="6"/>
  <c r="AA230" i="6"/>
  <c r="AA232" i="6"/>
  <c r="AA23" i="6"/>
  <c r="AA234" i="6"/>
  <c r="AA237" i="6"/>
  <c r="AA241" i="6"/>
  <c r="AA244" i="6"/>
  <c r="AA27" i="6"/>
  <c r="AA250" i="6"/>
  <c r="AA251" i="6"/>
  <c r="AA258" i="6"/>
  <c r="AA36" i="6"/>
  <c r="AA262" i="6"/>
  <c r="AA263" i="6"/>
  <c r="AA37" i="6"/>
  <c r="AA38" i="6"/>
  <c r="AA268" i="6"/>
  <c r="AA275" i="6"/>
  <c r="AA281" i="6"/>
  <c r="AA48" i="6"/>
  <c r="AA283" i="6"/>
  <c r="AA49" i="6"/>
  <c r="AA53" i="6"/>
  <c r="AA55" i="6"/>
  <c r="AA292" i="6"/>
  <c r="AA296" i="6"/>
  <c r="AA297" i="6"/>
  <c r="AA300" i="6"/>
  <c r="AA308" i="6"/>
  <c r="AA313" i="6"/>
  <c r="AA323" i="6"/>
  <c r="AA62" i="6"/>
  <c r="AA325" i="6"/>
  <c r="AA328" i="6"/>
  <c r="AA333" i="6"/>
  <c r="AA334" i="6"/>
  <c r="AA66" i="6"/>
  <c r="AA339" i="6"/>
  <c r="AA341" i="6"/>
  <c r="AA342" i="6"/>
  <c r="AA67" i="6"/>
  <c r="AA68" i="6"/>
  <c r="AA69" i="6"/>
  <c r="AA347" i="6"/>
  <c r="AA71" i="6"/>
  <c r="AA72" i="6"/>
  <c r="AA355" i="6"/>
  <c r="AA357" i="6"/>
  <c r="AA79" i="6"/>
  <c r="AA80" i="6"/>
  <c r="AA374" i="6"/>
  <c r="AA83" i="6"/>
  <c r="AA378" i="6"/>
  <c r="AA381" i="6"/>
  <c r="AA387" i="6"/>
  <c r="AA390" i="6"/>
  <c r="AA393" i="6"/>
  <c r="AA95" i="6"/>
  <c r="AA403" i="6"/>
  <c r="AA97" i="6"/>
  <c r="AA102" i="6"/>
  <c r="AA410" i="6"/>
  <c r="AA415" i="6"/>
  <c r="AA105" i="6"/>
  <c r="AA108" i="6"/>
  <c r="AA417" i="6"/>
  <c r="AA420" i="6"/>
  <c r="AA425" i="6"/>
  <c r="AA429" i="6"/>
  <c r="AA430" i="6"/>
  <c r="AA113" i="6"/>
  <c r="AA115" i="6"/>
  <c r="AA116" i="6"/>
  <c r="AA442" i="6"/>
  <c r="AA445" i="6"/>
  <c r="AA123" i="6"/>
  <c r="AA449" i="6"/>
  <c r="AA450" i="6"/>
  <c r="AA453" i="6"/>
  <c r="AA127" i="6"/>
  <c r="AA454" i="6"/>
  <c r="AA128" i="6"/>
  <c r="AA463" i="6"/>
  <c r="AA466" i="6"/>
  <c r="AA467" i="6"/>
  <c r="AA135" i="6"/>
  <c r="AA136" i="6"/>
  <c r="AA137" i="6"/>
  <c r="AA477" i="6"/>
  <c r="AA479" i="6"/>
  <c r="AA481" i="6"/>
  <c r="AA140" i="6"/>
  <c r="AA490" i="6"/>
  <c r="AA142" i="6"/>
  <c r="AA493" i="6"/>
  <c r="AA149" i="6"/>
  <c r="AA2" i="6"/>
  <c r="AA155" i="6"/>
  <c r="AA159" i="6"/>
  <c r="AA160" i="6"/>
  <c r="AA182" i="6"/>
  <c r="AA188" i="6"/>
  <c r="AA194" i="6"/>
  <c r="AA10" i="6"/>
  <c r="AA201" i="6"/>
  <c r="AA15" i="6"/>
  <c r="AA16" i="6"/>
  <c r="AA146" i="6"/>
  <c r="AA147" i="6"/>
  <c r="AA3" i="6"/>
  <c r="AA153" i="6"/>
  <c r="AA156" i="6"/>
  <c r="AA175" i="6"/>
  <c r="AA186" i="6"/>
  <c r="AA189" i="6"/>
  <c r="AA191" i="6"/>
  <c r="AA195" i="6"/>
  <c r="AA12" i="6"/>
  <c r="AA202" i="6"/>
  <c r="AA208" i="6"/>
  <c r="AA217" i="6"/>
  <c r="AA223" i="6"/>
  <c r="AA225" i="6"/>
  <c r="AA226" i="6"/>
  <c r="AA243" i="6"/>
  <c r="AA24" i="6"/>
  <c r="AA246" i="6"/>
  <c r="AA25" i="6"/>
  <c r="AA28" i="6"/>
  <c r="AA31" i="6"/>
  <c r="AA253" i="6"/>
  <c r="AA254" i="6"/>
  <c r="AA32" i="6"/>
  <c r="AA256" i="6"/>
  <c r="AA259" i="6"/>
  <c r="AA264" i="6"/>
  <c r="AA265" i="6"/>
  <c r="AA41" i="6"/>
  <c r="AA269" i="6"/>
  <c r="AA43" i="6"/>
  <c r="AA273" i="6"/>
  <c r="AA274" i="6"/>
  <c r="AA45" i="6"/>
  <c r="AA47" i="6"/>
  <c r="AA282" i="6"/>
  <c r="AA52" i="6"/>
  <c r="AA284" i="6"/>
  <c r="AA285" i="6"/>
  <c r="AA289" i="6"/>
  <c r="AA293" i="6"/>
  <c r="AA56" i="6"/>
  <c r="AA298" i="6"/>
  <c r="AA304" i="6"/>
  <c r="AA60" i="6"/>
  <c r="AA310" i="6"/>
  <c r="AA316" i="6"/>
  <c r="AA322" i="6"/>
  <c r="AA327" i="6"/>
  <c r="AA330" i="6"/>
  <c r="AA331" i="6"/>
  <c r="AA332" i="6"/>
  <c r="AA335" i="6"/>
  <c r="AA348" i="6"/>
  <c r="AA349" i="6"/>
  <c r="AA354" i="6"/>
  <c r="AA359" i="6"/>
  <c r="AA360" i="6"/>
  <c r="AA361" i="6"/>
  <c r="AA362" i="6"/>
  <c r="AA77" i="6"/>
  <c r="AA366" i="6"/>
  <c r="AA370" i="6"/>
  <c r="AA82" i="6"/>
  <c r="AA376" i="6"/>
  <c r="AA380" i="6"/>
  <c r="AA84" i="6"/>
  <c r="AA382" i="6"/>
  <c r="AA87" i="6"/>
  <c r="AA88" i="6"/>
  <c r="AA386" i="6"/>
  <c r="AA394" i="6"/>
  <c r="AA397" i="6"/>
  <c r="AA401" i="6"/>
  <c r="AA96" i="6"/>
  <c r="AA404" i="6"/>
  <c r="AA409" i="6"/>
  <c r="AA413" i="6"/>
  <c r="AA104" i="6"/>
  <c r="AA110" i="6"/>
  <c r="AA422" i="6"/>
  <c r="AA427" i="6"/>
  <c r="AA428" i="6"/>
  <c r="AA431" i="6"/>
  <c r="AA436" i="6"/>
  <c r="AA437" i="6"/>
  <c r="AA438" i="6"/>
  <c r="AA120" i="6"/>
  <c r="AA439" i="6"/>
  <c r="AA440" i="6"/>
  <c r="AA446" i="6"/>
  <c r="AA130" i="6"/>
  <c r="AA461" i="6"/>
  <c r="AA131" i="6"/>
  <c r="AA464" i="6"/>
  <c r="AA469" i="6"/>
  <c r="AA470" i="6"/>
  <c r="AA475" i="6"/>
  <c r="AA476" i="6"/>
  <c r="AA482" i="6"/>
  <c r="AA485" i="6"/>
  <c r="AA487" i="6"/>
  <c r="AA488" i="6"/>
  <c r="AA497" i="6"/>
  <c r="AA167" i="6"/>
  <c r="AA169" i="6"/>
  <c r="AA179" i="6"/>
  <c r="AA180" i="6"/>
  <c r="AA184" i="6"/>
  <c r="AA192" i="6"/>
  <c r="AA200" i="6"/>
  <c r="AA203" i="6"/>
  <c r="AA205" i="6"/>
  <c r="AA17" i="6"/>
  <c r="AA207" i="6"/>
  <c r="AA14" i="6"/>
  <c r="AA219" i="6"/>
  <c r="AA22" i="6"/>
  <c r="AA245" i="6"/>
  <c r="AA30" i="6"/>
  <c r="AA255" i="6"/>
  <c r="AA35" i="6"/>
  <c r="AA39" i="6"/>
  <c r="AA267" i="6"/>
  <c r="AA277" i="6"/>
  <c r="AA279" i="6"/>
  <c r="AA280" i="6"/>
  <c r="AA46" i="6"/>
  <c r="AA288" i="6"/>
  <c r="AA309" i="6"/>
  <c r="AA61" i="6"/>
  <c r="AA319" i="6"/>
  <c r="AA321" i="6"/>
  <c r="AA63" i="6"/>
  <c r="AA337" i="6"/>
  <c r="AA351" i="6"/>
  <c r="AA352" i="6"/>
  <c r="AA76" i="6"/>
  <c r="AA358" i="6"/>
  <c r="AA368" i="6"/>
  <c r="AA369" i="6"/>
  <c r="AA372" i="6"/>
  <c r="AA81" i="6"/>
  <c r="AA375" i="6"/>
  <c r="AA86" i="6"/>
  <c r="AA384" i="6"/>
  <c r="AA385" i="6"/>
  <c r="AA388" i="6"/>
  <c r="AA91" i="6"/>
  <c r="AA406" i="6"/>
  <c r="AA419" i="6"/>
  <c r="AA121" i="6"/>
  <c r="AA441" i="6"/>
  <c r="AA447" i="6"/>
  <c r="AA451" i="6"/>
  <c r="AA452" i="6"/>
  <c r="AA126" i="6"/>
  <c r="AA132" i="6"/>
  <c r="AA465" i="6"/>
  <c r="AA480" i="6"/>
  <c r="AA484" i="6"/>
  <c r="AA141" i="6"/>
  <c r="AA171" i="6"/>
  <c r="AA174" i="6"/>
  <c r="AA190" i="6"/>
  <c r="AA11" i="6"/>
  <c r="AA212" i="6"/>
  <c r="AA163" i="6"/>
  <c r="AA166" i="6"/>
  <c r="AA211" i="6"/>
  <c r="AA229" i="6"/>
  <c r="AA239" i="6"/>
  <c r="AA271" i="6"/>
  <c r="AA286" i="6"/>
  <c r="AA294" i="6"/>
  <c r="AA58" i="6"/>
  <c r="AA311" i="6"/>
  <c r="AA65" i="6"/>
  <c r="AA78" i="6"/>
  <c r="AA373" i="6"/>
  <c r="AA85" i="6"/>
  <c r="AA89" i="6"/>
  <c r="AA395" i="6"/>
  <c r="AA412" i="6"/>
  <c r="AA414" i="6"/>
  <c r="AA433" i="6"/>
  <c r="AA443" i="6"/>
  <c r="AA124" i="6"/>
  <c r="AA134" i="6"/>
  <c r="AA473" i="6"/>
  <c r="AA6" i="6"/>
  <c r="AA164" i="6"/>
  <c r="AA7" i="6"/>
  <c r="AA206" i="6"/>
  <c r="Z154" i="6"/>
  <c r="Z158" i="6"/>
  <c r="Z5" i="6"/>
  <c r="Z165" i="6"/>
  <c r="Z170" i="6"/>
  <c r="Z172" i="6"/>
  <c r="Z177" i="6"/>
  <c r="Z178" i="6"/>
  <c r="Z183" i="6"/>
  <c r="Z197" i="6"/>
  <c r="Z199" i="6"/>
  <c r="Z204" i="6"/>
  <c r="Z213" i="6"/>
  <c r="Z20" i="6"/>
  <c r="Z215" i="6"/>
  <c r="Z218" i="6"/>
  <c r="Z220" i="6"/>
  <c r="Z221" i="6"/>
  <c r="Z224" i="6"/>
  <c r="Z228" i="6"/>
  <c r="Z231" i="6"/>
  <c r="Z233" i="6"/>
  <c r="Z235" i="6"/>
  <c r="Z236" i="6"/>
  <c r="Z238" i="6"/>
  <c r="Z240" i="6"/>
  <c r="Z242" i="6"/>
  <c r="Z247" i="6"/>
  <c r="Z248" i="6"/>
  <c r="Z26" i="6"/>
  <c r="Z29" i="6"/>
  <c r="Z249" i="6"/>
  <c r="Z252" i="6"/>
  <c r="Z33" i="6"/>
  <c r="Z257" i="6"/>
  <c r="Z34" i="6"/>
  <c r="Z260" i="6"/>
  <c r="Z261" i="6"/>
  <c r="Z266" i="6"/>
  <c r="Z40" i="6"/>
  <c r="Z42" i="6"/>
  <c r="Z270" i="6"/>
  <c r="Z272" i="6"/>
  <c r="Z44" i="6"/>
  <c r="Z276" i="6"/>
  <c r="Z278" i="6"/>
  <c r="Z50" i="6"/>
  <c r="Z51" i="6"/>
  <c r="Z54" i="6"/>
  <c r="Z287" i="6"/>
  <c r="Z290" i="6"/>
  <c r="Z291" i="6"/>
  <c r="Z295" i="6"/>
  <c r="Z57" i="6"/>
  <c r="Z299" i="6"/>
  <c r="Z301" i="6"/>
  <c r="Z59" i="6"/>
  <c r="Z302" i="6"/>
  <c r="Z303" i="6"/>
  <c r="Z305" i="6"/>
  <c r="Z306" i="6"/>
  <c r="Z307" i="6"/>
  <c r="Z312" i="6"/>
  <c r="Z314" i="6"/>
  <c r="Z315" i="6"/>
  <c r="Z317" i="6"/>
  <c r="Z318" i="6"/>
  <c r="Z320" i="6"/>
  <c r="Z324" i="6"/>
  <c r="Z326" i="6"/>
  <c r="Z329" i="6"/>
  <c r="Z64" i="6"/>
  <c r="Z336" i="6"/>
  <c r="Z338" i="6"/>
  <c r="Z340" i="6"/>
  <c r="Z343" i="6"/>
  <c r="Z344" i="6"/>
  <c r="Z345" i="6"/>
  <c r="Z346" i="6"/>
  <c r="Z350" i="6"/>
  <c r="Z70" i="6"/>
  <c r="Z353" i="6"/>
  <c r="Z73" i="6"/>
  <c r="Z74" i="6"/>
  <c r="Z75" i="6"/>
  <c r="Z356" i="6"/>
  <c r="Z363" i="6"/>
  <c r="Z364" i="6"/>
  <c r="Z365" i="6"/>
  <c r="Z367" i="6"/>
  <c r="Z371" i="6"/>
  <c r="Z377" i="6"/>
  <c r="Z379" i="6"/>
  <c r="Z383" i="6"/>
  <c r="Z389" i="6"/>
  <c r="Z391" i="6"/>
  <c r="Z392" i="6"/>
  <c r="Z396" i="6"/>
  <c r="Z90" i="6"/>
  <c r="Z92" i="6"/>
  <c r="Z398" i="6"/>
  <c r="Z399" i="6"/>
  <c r="Z400" i="6"/>
  <c r="Z93" i="6"/>
  <c r="Z94" i="6"/>
  <c r="Z402" i="6"/>
  <c r="Z405" i="6"/>
  <c r="Z407" i="6"/>
  <c r="Z98" i="6"/>
  <c r="Z99" i="6"/>
  <c r="Z408" i="6"/>
  <c r="Z100" i="6"/>
  <c r="Z101" i="6"/>
  <c r="Z103" i="6"/>
  <c r="Z411" i="6"/>
  <c r="Z106" i="6"/>
  <c r="Z107" i="6"/>
  <c r="Z109" i="6"/>
  <c r="Z416" i="6"/>
  <c r="Z418" i="6"/>
  <c r="Z421" i="6"/>
  <c r="Z423" i="6"/>
  <c r="Z424" i="6"/>
  <c r="Z426" i="6"/>
  <c r="Z111" i="6"/>
  <c r="Z432" i="6"/>
  <c r="Z112" i="6"/>
  <c r="Z434" i="6"/>
  <c r="Z114" i="6"/>
  <c r="Z435" i="6"/>
  <c r="Z117" i="6"/>
  <c r="Z118" i="6"/>
  <c r="Z119" i="6"/>
  <c r="Z122" i="6"/>
  <c r="Z444" i="6"/>
  <c r="Z448" i="6"/>
  <c r="Z125" i="6"/>
  <c r="Z455" i="6"/>
  <c r="Z456" i="6"/>
  <c r="Z457" i="6"/>
  <c r="Z458" i="6"/>
  <c r="Z459" i="6"/>
  <c r="Z460" i="6"/>
  <c r="Z129" i="6"/>
  <c r="Z462" i="6"/>
  <c r="Z133" i="6"/>
  <c r="Z468" i="6"/>
  <c r="Z471" i="6"/>
  <c r="Z472" i="6"/>
  <c r="Z474" i="6"/>
  <c r="Z138" i="6"/>
  <c r="Z139" i="6"/>
  <c r="Z478" i="6"/>
  <c r="Z483" i="6"/>
  <c r="Z486" i="6"/>
  <c r="Z489" i="6"/>
  <c r="Z491" i="6"/>
  <c r="Z143" i="6"/>
  <c r="Z492" i="6"/>
  <c r="Z494" i="6"/>
  <c r="Z144" i="6"/>
  <c r="Z495" i="6"/>
  <c r="Z496" i="6"/>
  <c r="Z152" i="6"/>
  <c r="Z4" i="6"/>
  <c r="Z157" i="6"/>
  <c r="Z162" i="6"/>
  <c r="Z176" i="6"/>
  <c r="Z9" i="6"/>
  <c r="Z198" i="6"/>
  <c r="Z209" i="6"/>
  <c r="Z19" i="6"/>
  <c r="Z210" i="6"/>
  <c r="Z148" i="6"/>
  <c r="Z150" i="6"/>
  <c r="Z161" i="6"/>
  <c r="Z168" i="6"/>
  <c r="Z173" i="6"/>
  <c r="Z181" i="6"/>
  <c r="Z8" i="6"/>
  <c r="Z185" i="6"/>
  <c r="Z187" i="6"/>
  <c r="Z193" i="6"/>
  <c r="Z196" i="6"/>
  <c r="Z13" i="6"/>
  <c r="Z18" i="6"/>
  <c r="Z214" i="6"/>
  <c r="Z21" i="6"/>
  <c r="Z216" i="6"/>
  <c r="Z222" i="6"/>
  <c r="Z227" i="6"/>
  <c r="Z230" i="6"/>
  <c r="Z232" i="6"/>
  <c r="Z23" i="6"/>
  <c r="Z234" i="6"/>
  <c r="Z237" i="6"/>
  <c r="Z241" i="6"/>
  <c r="Z244" i="6"/>
  <c r="Z27" i="6"/>
  <c r="Z250" i="6"/>
  <c r="Z251" i="6"/>
  <c r="Z258" i="6"/>
  <c r="Z36" i="6"/>
  <c r="Z262" i="6"/>
  <c r="Z263" i="6"/>
  <c r="Z37" i="6"/>
  <c r="Z38" i="6"/>
  <c r="Z268" i="6"/>
  <c r="Z275" i="6"/>
  <c r="Z281" i="6"/>
  <c r="Z48" i="6"/>
  <c r="Z283" i="6"/>
  <c r="Z49" i="6"/>
  <c r="Z53" i="6"/>
  <c r="Z55" i="6"/>
  <c r="Z292" i="6"/>
  <c r="Z296" i="6"/>
  <c r="Z297" i="6"/>
  <c r="Z300" i="6"/>
  <c r="Z308" i="6"/>
  <c r="Z313" i="6"/>
  <c r="Z323" i="6"/>
  <c r="Z62" i="6"/>
  <c r="Z325" i="6"/>
  <c r="Z328" i="6"/>
  <c r="Z333" i="6"/>
  <c r="Z334" i="6"/>
  <c r="Z66" i="6"/>
  <c r="Z339" i="6"/>
  <c r="Z341" i="6"/>
  <c r="Z342" i="6"/>
  <c r="Z67" i="6"/>
  <c r="Z68" i="6"/>
  <c r="Z69" i="6"/>
  <c r="Z347" i="6"/>
  <c r="Z71" i="6"/>
  <c r="Z72" i="6"/>
  <c r="Z355" i="6"/>
  <c r="Z357" i="6"/>
  <c r="Z79" i="6"/>
  <c r="Z80" i="6"/>
  <c r="Z374" i="6"/>
  <c r="Z83" i="6"/>
  <c r="Z378" i="6"/>
  <c r="Z381" i="6"/>
  <c r="Z387" i="6"/>
  <c r="Z390" i="6"/>
  <c r="Z393" i="6"/>
  <c r="Z95" i="6"/>
  <c r="Z403" i="6"/>
  <c r="Z97" i="6"/>
  <c r="Z102" i="6"/>
  <c r="Z410" i="6"/>
  <c r="Z415" i="6"/>
  <c r="Z105" i="6"/>
  <c r="Z108" i="6"/>
  <c r="Z417" i="6"/>
  <c r="Z420" i="6"/>
  <c r="Z425" i="6"/>
  <c r="Z429" i="6"/>
  <c r="Z430" i="6"/>
  <c r="Z113" i="6"/>
  <c r="Z115" i="6"/>
  <c r="Z116" i="6"/>
  <c r="Z442" i="6"/>
  <c r="Z445" i="6"/>
  <c r="Z123" i="6"/>
  <c r="Z449" i="6"/>
  <c r="Z450" i="6"/>
  <c r="Z453" i="6"/>
  <c r="Z127" i="6"/>
  <c r="Z454" i="6"/>
  <c r="Z128" i="6"/>
  <c r="Z463" i="6"/>
  <c r="Z466" i="6"/>
  <c r="Z467" i="6"/>
  <c r="Z135" i="6"/>
  <c r="Z136" i="6"/>
  <c r="Z137" i="6"/>
  <c r="Z477" i="6"/>
  <c r="Z479" i="6"/>
  <c r="Z481" i="6"/>
  <c r="Z140" i="6"/>
  <c r="Z490" i="6"/>
  <c r="Z142" i="6"/>
  <c r="Z493" i="6"/>
  <c r="Z149" i="6"/>
  <c r="Z2" i="6"/>
  <c r="Z155" i="6"/>
  <c r="Z159" i="6"/>
  <c r="Z160" i="6"/>
  <c r="Z182" i="6"/>
  <c r="Z188" i="6"/>
  <c r="Z194" i="6"/>
  <c r="Z10" i="6"/>
  <c r="Z201" i="6"/>
  <c r="Z15" i="6"/>
  <c r="Z16" i="6"/>
  <c r="Z146" i="6"/>
  <c r="Z147" i="6"/>
  <c r="Z3" i="6"/>
  <c r="Z153" i="6"/>
  <c r="Z156" i="6"/>
  <c r="Z175" i="6"/>
  <c r="Z186" i="6"/>
  <c r="Z189" i="6"/>
  <c r="Z191" i="6"/>
  <c r="Z195" i="6"/>
  <c r="Z12" i="6"/>
  <c r="Z202" i="6"/>
  <c r="Z208" i="6"/>
  <c r="Z217" i="6"/>
  <c r="Z223" i="6"/>
  <c r="Z225" i="6"/>
  <c r="Z226" i="6"/>
  <c r="Z243" i="6"/>
  <c r="Z24" i="6"/>
  <c r="Z246" i="6"/>
  <c r="Z25" i="6"/>
  <c r="Z28" i="6"/>
  <c r="Z31" i="6"/>
  <c r="Z253" i="6"/>
  <c r="Z254" i="6"/>
  <c r="Z32" i="6"/>
  <c r="Z256" i="6"/>
  <c r="Z259" i="6"/>
  <c r="Z264" i="6"/>
  <c r="Z265" i="6"/>
  <c r="Z41" i="6"/>
  <c r="Z269" i="6"/>
  <c r="Z43" i="6"/>
  <c r="Z273" i="6"/>
  <c r="Z274" i="6"/>
  <c r="Z45" i="6"/>
  <c r="Z47" i="6"/>
  <c r="Z282" i="6"/>
  <c r="Z52" i="6"/>
  <c r="Z284" i="6"/>
  <c r="Z285" i="6"/>
  <c r="Z289" i="6"/>
  <c r="Z293" i="6"/>
  <c r="Z56" i="6"/>
  <c r="Z298" i="6"/>
  <c r="Z304" i="6"/>
  <c r="Z60" i="6"/>
  <c r="Z310" i="6"/>
  <c r="Z316" i="6"/>
  <c r="Z322" i="6"/>
  <c r="Z327" i="6"/>
  <c r="Z330" i="6"/>
  <c r="Z331" i="6"/>
  <c r="Z332" i="6"/>
  <c r="Z335" i="6"/>
  <c r="Z348" i="6"/>
  <c r="Z349" i="6"/>
  <c r="Z354" i="6"/>
  <c r="Z359" i="6"/>
  <c r="Z360" i="6"/>
  <c r="Z361" i="6"/>
  <c r="Z362" i="6"/>
  <c r="Z77" i="6"/>
  <c r="Z366" i="6"/>
  <c r="Z370" i="6"/>
  <c r="Z82" i="6"/>
  <c r="Z376" i="6"/>
  <c r="Z380" i="6"/>
  <c r="Z84" i="6"/>
  <c r="Z382" i="6"/>
  <c r="Z87" i="6"/>
  <c r="Z88" i="6"/>
  <c r="Z386" i="6"/>
  <c r="Z394" i="6"/>
  <c r="Z397" i="6"/>
  <c r="Z401" i="6"/>
  <c r="Z96" i="6"/>
  <c r="Z404" i="6"/>
  <c r="Z409" i="6"/>
  <c r="Z413" i="6"/>
  <c r="Z104" i="6"/>
  <c r="Z110" i="6"/>
  <c r="Z422" i="6"/>
  <c r="Z427" i="6"/>
  <c r="Z428" i="6"/>
  <c r="Z431" i="6"/>
  <c r="Z436" i="6"/>
  <c r="Z437" i="6"/>
  <c r="Z438" i="6"/>
  <c r="Z120" i="6"/>
  <c r="Z439" i="6"/>
  <c r="Z440" i="6"/>
  <c r="Z446" i="6"/>
  <c r="Z130" i="6"/>
  <c r="Z461" i="6"/>
  <c r="Z131" i="6"/>
  <c r="Z464" i="6"/>
  <c r="Z469" i="6"/>
  <c r="Z470" i="6"/>
  <c r="Z475" i="6"/>
  <c r="Z476" i="6"/>
  <c r="Z482" i="6"/>
  <c r="Z485" i="6"/>
  <c r="Z487" i="6"/>
  <c r="Z488" i="6"/>
  <c r="Z497" i="6"/>
  <c r="Z167" i="6"/>
  <c r="Z169" i="6"/>
  <c r="Z179" i="6"/>
  <c r="Z180" i="6"/>
  <c r="Z184" i="6"/>
  <c r="Z192" i="6"/>
  <c r="Z200" i="6"/>
  <c r="Z203" i="6"/>
  <c r="Z205" i="6"/>
  <c r="Z17" i="6"/>
  <c r="Z207" i="6"/>
  <c r="Z14" i="6"/>
  <c r="Z219" i="6"/>
  <c r="Z22" i="6"/>
  <c r="Z245" i="6"/>
  <c r="Z30" i="6"/>
  <c r="Z255" i="6"/>
  <c r="Z35" i="6"/>
  <c r="Z39" i="6"/>
  <c r="Z267" i="6"/>
  <c r="Z277" i="6"/>
  <c r="Z279" i="6"/>
  <c r="Z280" i="6"/>
  <c r="Z46" i="6"/>
  <c r="Z288" i="6"/>
  <c r="Z309" i="6"/>
  <c r="Z61" i="6"/>
  <c r="Z319" i="6"/>
  <c r="Z321" i="6"/>
  <c r="Z63" i="6"/>
  <c r="Z337" i="6"/>
  <c r="Z351" i="6"/>
  <c r="Z352" i="6"/>
  <c r="Z76" i="6"/>
  <c r="Z358" i="6"/>
  <c r="Z368" i="6"/>
  <c r="Z369" i="6"/>
  <c r="Z372" i="6"/>
  <c r="Z81" i="6"/>
  <c r="Z375" i="6"/>
  <c r="Z86" i="6"/>
  <c r="Z384" i="6"/>
  <c r="Z385" i="6"/>
  <c r="Z388" i="6"/>
  <c r="Z91" i="6"/>
  <c r="Z406" i="6"/>
  <c r="Z419" i="6"/>
  <c r="Z121" i="6"/>
  <c r="Z441" i="6"/>
  <c r="Z447" i="6"/>
  <c r="Z451" i="6"/>
  <c r="Z452" i="6"/>
  <c r="Z126" i="6"/>
  <c r="Z132" i="6"/>
  <c r="Z465" i="6"/>
  <c r="Z480" i="6"/>
  <c r="Z484" i="6"/>
  <c r="Z141" i="6"/>
  <c r="Z171" i="6"/>
  <c r="Z174" i="6"/>
  <c r="Z190" i="6"/>
  <c r="Z11" i="6"/>
  <c r="Z212" i="6"/>
  <c r="Z163" i="6"/>
  <c r="Z166" i="6"/>
  <c r="Z211" i="6"/>
  <c r="Z229" i="6"/>
  <c r="Z239" i="6"/>
  <c r="Z271" i="6"/>
  <c r="Z286" i="6"/>
  <c r="Z294" i="6"/>
  <c r="Z58" i="6"/>
  <c r="Z311" i="6"/>
  <c r="Z65" i="6"/>
  <c r="Z78" i="6"/>
  <c r="Z373" i="6"/>
  <c r="Z85" i="6"/>
  <c r="Z89" i="6"/>
  <c r="Z395" i="6"/>
  <c r="Z412" i="6"/>
  <c r="Z414" i="6"/>
  <c r="Z433" i="6"/>
  <c r="Z443" i="6"/>
  <c r="Z124" i="6"/>
  <c r="Z134" i="6"/>
  <c r="Z473" i="6"/>
  <c r="Z6" i="6"/>
  <c r="Z164" i="6"/>
  <c r="Z7" i="6"/>
  <c r="Z206" i="6"/>
  <c r="Y154" i="6"/>
  <c r="Y158" i="6"/>
  <c r="Y5" i="6"/>
  <c r="Y165" i="6"/>
  <c r="Y170" i="6"/>
  <c r="Y172" i="6"/>
  <c r="Y177" i="6"/>
  <c r="Y178" i="6"/>
  <c r="Y183" i="6"/>
  <c r="Y197" i="6"/>
  <c r="Y199" i="6"/>
  <c r="Y204" i="6"/>
  <c r="Y213" i="6"/>
  <c r="Y20" i="6"/>
  <c r="Y215" i="6"/>
  <c r="Y218" i="6"/>
  <c r="Y220" i="6"/>
  <c r="Y221" i="6"/>
  <c r="Y224" i="6"/>
  <c r="Y228" i="6"/>
  <c r="Y231" i="6"/>
  <c r="Y233" i="6"/>
  <c r="Y235" i="6"/>
  <c r="Y236" i="6"/>
  <c r="Y238" i="6"/>
  <c r="Y240" i="6"/>
  <c r="Y242" i="6"/>
  <c r="Y247" i="6"/>
  <c r="Y248" i="6"/>
  <c r="Y26" i="6"/>
  <c r="Y29" i="6"/>
  <c r="Y249" i="6"/>
  <c r="Y252" i="6"/>
  <c r="Y33" i="6"/>
  <c r="Y257" i="6"/>
  <c r="Y34" i="6"/>
  <c r="Y260" i="6"/>
  <c r="Y261" i="6"/>
  <c r="Y266" i="6"/>
  <c r="Y40" i="6"/>
  <c r="Y42" i="6"/>
  <c r="Y270" i="6"/>
  <c r="Y272" i="6"/>
  <c r="Y44" i="6"/>
  <c r="Y276" i="6"/>
  <c r="Y278" i="6"/>
  <c r="Y50" i="6"/>
  <c r="Y51" i="6"/>
  <c r="Y54" i="6"/>
  <c r="Y287" i="6"/>
  <c r="Y290" i="6"/>
  <c r="Y291" i="6"/>
  <c r="Y295" i="6"/>
  <c r="Y57" i="6"/>
  <c r="Y299" i="6"/>
  <c r="Y301" i="6"/>
  <c r="Y59" i="6"/>
  <c r="Y302" i="6"/>
  <c r="Y303" i="6"/>
  <c r="Y305" i="6"/>
  <c r="Y306" i="6"/>
  <c r="Y307" i="6"/>
  <c r="Y312" i="6"/>
  <c r="Y314" i="6"/>
  <c r="Y315" i="6"/>
  <c r="Y317" i="6"/>
  <c r="Y318" i="6"/>
  <c r="Y320" i="6"/>
  <c r="Y324" i="6"/>
  <c r="Y326" i="6"/>
  <c r="Y329" i="6"/>
  <c r="Y64" i="6"/>
  <c r="Y336" i="6"/>
  <c r="Y338" i="6"/>
  <c r="Y340" i="6"/>
  <c r="Y343" i="6"/>
  <c r="Y344" i="6"/>
  <c r="Y345" i="6"/>
  <c r="Y346" i="6"/>
  <c r="Y350" i="6"/>
  <c r="Y70" i="6"/>
  <c r="Y353" i="6"/>
  <c r="Y73" i="6"/>
  <c r="Y74" i="6"/>
  <c r="Y75" i="6"/>
  <c r="Y356" i="6"/>
  <c r="Y363" i="6"/>
  <c r="Y364" i="6"/>
  <c r="Y365" i="6"/>
  <c r="Y367" i="6"/>
  <c r="Y371" i="6"/>
  <c r="Y377" i="6"/>
  <c r="Y379" i="6"/>
  <c r="Y383" i="6"/>
  <c r="Y389" i="6"/>
  <c r="Y391" i="6"/>
  <c r="Y392" i="6"/>
  <c r="Y396" i="6"/>
  <c r="Y90" i="6"/>
  <c r="Y92" i="6"/>
  <c r="Y398" i="6"/>
  <c r="Y399" i="6"/>
  <c r="Y400" i="6"/>
  <c r="Y93" i="6"/>
  <c r="Y94" i="6"/>
  <c r="Y402" i="6"/>
  <c r="Y405" i="6"/>
  <c r="Y407" i="6"/>
  <c r="Y98" i="6"/>
  <c r="Y99" i="6"/>
  <c r="Y408" i="6"/>
  <c r="Y100" i="6"/>
  <c r="Y101" i="6"/>
  <c r="Y103" i="6"/>
  <c r="Y411" i="6"/>
  <c r="Y106" i="6"/>
  <c r="Y107" i="6"/>
  <c r="Y109" i="6"/>
  <c r="Y416" i="6"/>
  <c r="Y418" i="6"/>
  <c r="Y421" i="6"/>
  <c r="Y423" i="6"/>
  <c r="Y424" i="6"/>
  <c r="Y426" i="6"/>
  <c r="Y111" i="6"/>
  <c r="Y432" i="6"/>
  <c r="Y112" i="6"/>
  <c r="Y434" i="6"/>
  <c r="Y114" i="6"/>
  <c r="Y435" i="6"/>
  <c r="Y117" i="6"/>
  <c r="Y118" i="6"/>
  <c r="Y119" i="6"/>
  <c r="Y122" i="6"/>
  <c r="Y444" i="6"/>
  <c r="Y448" i="6"/>
  <c r="Y125" i="6"/>
  <c r="Y455" i="6"/>
  <c r="Y456" i="6"/>
  <c r="Y457" i="6"/>
  <c r="Y458" i="6"/>
  <c r="Y459" i="6"/>
  <c r="Y460" i="6"/>
  <c r="Y129" i="6"/>
  <c r="Y462" i="6"/>
  <c r="Y133" i="6"/>
  <c r="Y468" i="6"/>
  <c r="Y471" i="6"/>
  <c r="Y472" i="6"/>
  <c r="Y474" i="6"/>
  <c r="Y138" i="6"/>
  <c r="Y139" i="6"/>
  <c r="Y478" i="6"/>
  <c r="Y483" i="6"/>
  <c r="Y486" i="6"/>
  <c r="Y489" i="6"/>
  <c r="Y491" i="6"/>
  <c r="Y143" i="6"/>
  <c r="Y492" i="6"/>
  <c r="Y494" i="6"/>
  <c r="Y144" i="6"/>
  <c r="Y495" i="6"/>
  <c r="Y496" i="6"/>
  <c r="Y152" i="6"/>
  <c r="Y4" i="6"/>
  <c r="Y157" i="6"/>
  <c r="Y162" i="6"/>
  <c r="Y176" i="6"/>
  <c r="Y9" i="6"/>
  <c r="Y198" i="6"/>
  <c r="Y209" i="6"/>
  <c r="Y19" i="6"/>
  <c r="Y210" i="6"/>
  <c r="Y148" i="6"/>
  <c r="Y150" i="6"/>
  <c r="Y161" i="6"/>
  <c r="Y168" i="6"/>
  <c r="Y173" i="6"/>
  <c r="Y181" i="6"/>
  <c r="Y8" i="6"/>
  <c r="Y185" i="6"/>
  <c r="Y187" i="6"/>
  <c r="Y193" i="6"/>
  <c r="Y196" i="6"/>
  <c r="Y13" i="6"/>
  <c r="Y18" i="6"/>
  <c r="Y214" i="6"/>
  <c r="Y21" i="6"/>
  <c r="Y216" i="6"/>
  <c r="Y222" i="6"/>
  <c r="Y227" i="6"/>
  <c r="Y230" i="6"/>
  <c r="Y232" i="6"/>
  <c r="Y23" i="6"/>
  <c r="Y234" i="6"/>
  <c r="Y237" i="6"/>
  <c r="Y241" i="6"/>
  <c r="Y244" i="6"/>
  <c r="Y27" i="6"/>
  <c r="Y250" i="6"/>
  <c r="Y251" i="6"/>
  <c r="Y258" i="6"/>
  <c r="Y36" i="6"/>
  <c r="Y262" i="6"/>
  <c r="Y263" i="6"/>
  <c r="Y37" i="6"/>
  <c r="Y38" i="6"/>
  <c r="Y268" i="6"/>
  <c r="Y275" i="6"/>
  <c r="Y281" i="6"/>
  <c r="Y48" i="6"/>
  <c r="Y283" i="6"/>
  <c r="Y49" i="6"/>
  <c r="Y53" i="6"/>
  <c r="Y55" i="6"/>
  <c r="Y292" i="6"/>
  <c r="Y296" i="6"/>
  <c r="Y297" i="6"/>
  <c r="Y300" i="6"/>
  <c r="Y308" i="6"/>
  <c r="Y313" i="6"/>
  <c r="Y323" i="6"/>
  <c r="Y62" i="6"/>
  <c r="Y325" i="6"/>
  <c r="Y328" i="6"/>
  <c r="Y333" i="6"/>
  <c r="Y334" i="6"/>
  <c r="Y66" i="6"/>
  <c r="Y339" i="6"/>
  <c r="Y341" i="6"/>
  <c r="Y342" i="6"/>
  <c r="Y67" i="6"/>
  <c r="Y68" i="6"/>
  <c r="Y69" i="6"/>
  <c r="Y347" i="6"/>
  <c r="Y71" i="6"/>
  <c r="Y72" i="6"/>
  <c r="Y355" i="6"/>
  <c r="Y357" i="6"/>
  <c r="Y79" i="6"/>
  <c r="Y80" i="6"/>
  <c r="Y374" i="6"/>
  <c r="Y83" i="6"/>
  <c r="Y378" i="6"/>
  <c r="Y381" i="6"/>
  <c r="Y387" i="6"/>
  <c r="Y390" i="6"/>
  <c r="Y393" i="6"/>
  <c r="Y95" i="6"/>
  <c r="Y403" i="6"/>
  <c r="Y97" i="6"/>
  <c r="Y102" i="6"/>
  <c r="Y410" i="6"/>
  <c r="Y415" i="6"/>
  <c r="Y105" i="6"/>
  <c r="Y108" i="6"/>
  <c r="Y417" i="6"/>
  <c r="Y420" i="6"/>
  <c r="Y425" i="6"/>
  <c r="Y429" i="6"/>
  <c r="Y430" i="6"/>
  <c r="Y113" i="6"/>
  <c r="Y115" i="6"/>
  <c r="Y116" i="6"/>
  <c r="Y442" i="6"/>
  <c r="Y445" i="6"/>
  <c r="Y123" i="6"/>
  <c r="Y449" i="6"/>
  <c r="Y450" i="6"/>
  <c r="Y453" i="6"/>
  <c r="Y127" i="6"/>
  <c r="Y454" i="6"/>
  <c r="Y128" i="6"/>
  <c r="Y463" i="6"/>
  <c r="Y466" i="6"/>
  <c r="Y467" i="6"/>
  <c r="Y135" i="6"/>
  <c r="Y136" i="6"/>
  <c r="Y137" i="6"/>
  <c r="Y477" i="6"/>
  <c r="Y479" i="6"/>
  <c r="Y481" i="6"/>
  <c r="Y140" i="6"/>
  <c r="Y490" i="6"/>
  <c r="Y142" i="6"/>
  <c r="Y493" i="6"/>
  <c r="Y149" i="6"/>
  <c r="Y2" i="6"/>
  <c r="Y155" i="6"/>
  <c r="Y159" i="6"/>
  <c r="Y160" i="6"/>
  <c r="Y182" i="6"/>
  <c r="Y188" i="6"/>
  <c r="Y194" i="6"/>
  <c r="Y10" i="6"/>
  <c r="Y201" i="6"/>
  <c r="Y15" i="6"/>
  <c r="Y16" i="6"/>
  <c r="Y146" i="6"/>
  <c r="Y147" i="6"/>
  <c r="Y3" i="6"/>
  <c r="Y153" i="6"/>
  <c r="Y156" i="6"/>
  <c r="Y175" i="6"/>
  <c r="Y186" i="6"/>
  <c r="Y189" i="6"/>
  <c r="Y191" i="6"/>
  <c r="Y195" i="6"/>
  <c r="Y12" i="6"/>
  <c r="Y202" i="6"/>
  <c r="Y208" i="6"/>
  <c r="Y217" i="6"/>
  <c r="Y223" i="6"/>
  <c r="Y225" i="6"/>
  <c r="Y226" i="6"/>
  <c r="Y243" i="6"/>
  <c r="Y24" i="6"/>
  <c r="Y246" i="6"/>
  <c r="Y25" i="6"/>
  <c r="Y28" i="6"/>
  <c r="Y31" i="6"/>
  <c r="Y253" i="6"/>
  <c r="Y254" i="6"/>
  <c r="Y32" i="6"/>
  <c r="Y256" i="6"/>
  <c r="Y259" i="6"/>
  <c r="Y264" i="6"/>
  <c r="Y265" i="6"/>
  <c r="Y41" i="6"/>
  <c r="Y269" i="6"/>
  <c r="Y43" i="6"/>
  <c r="Y273" i="6"/>
  <c r="Y274" i="6"/>
  <c r="Y45" i="6"/>
  <c r="Y47" i="6"/>
  <c r="Y282" i="6"/>
  <c r="Y52" i="6"/>
  <c r="Y284" i="6"/>
  <c r="Y285" i="6"/>
  <c r="Y289" i="6"/>
  <c r="Y293" i="6"/>
  <c r="Y56" i="6"/>
  <c r="Y298" i="6"/>
  <c r="Y304" i="6"/>
  <c r="Y60" i="6"/>
  <c r="Y310" i="6"/>
  <c r="Y316" i="6"/>
  <c r="Y322" i="6"/>
  <c r="Y327" i="6"/>
  <c r="Y330" i="6"/>
  <c r="Y331" i="6"/>
  <c r="Y332" i="6"/>
  <c r="Y335" i="6"/>
  <c r="Y348" i="6"/>
  <c r="Y349" i="6"/>
  <c r="Y354" i="6"/>
  <c r="Y359" i="6"/>
  <c r="Y360" i="6"/>
  <c r="Y361" i="6"/>
  <c r="Y362" i="6"/>
  <c r="Y77" i="6"/>
  <c r="Y366" i="6"/>
  <c r="Y370" i="6"/>
  <c r="Y82" i="6"/>
  <c r="Y376" i="6"/>
  <c r="Y380" i="6"/>
  <c r="Y84" i="6"/>
  <c r="Y382" i="6"/>
  <c r="Y87" i="6"/>
  <c r="Y88" i="6"/>
  <c r="Y386" i="6"/>
  <c r="Y394" i="6"/>
  <c r="Y397" i="6"/>
  <c r="Y401" i="6"/>
  <c r="Y96" i="6"/>
  <c r="Y404" i="6"/>
  <c r="Y409" i="6"/>
  <c r="Y413" i="6"/>
  <c r="Y104" i="6"/>
  <c r="Y110" i="6"/>
  <c r="Y422" i="6"/>
  <c r="Y427" i="6"/>
  <c r="Y428" i="6"/>
  <c r="Y431" i="6"/>
  <c r="Y436" i="6"/>
  <c r="Y437" i="6"/>
  <c r="Y438" i="6"/>
  <c r="Y120" i="6"/>
  <c r="Y439" i="6"/>
  <c r="Y440" i="6"/>
  <c r="Y446" i="6"/>
  <c r="Y130" i="6"/>
  <c r="Y461" i="6"/>
  <c r="Y131" i="6"/>
  <c r="Y464" i="6"/>
  <c r="Y469" i="6"/>
  <c r="Y470" i="6"/>
  <c r="Y475" i="6"/>
  <c r="Y476" i="6"/>
  <c r="Y482" i="6"/>
  <c r="Y485" i="6"/>
  <c r="Y487" i="6"/>
  <c r="Y488" i="6"/>
  <c r="Y497" i="6"/>
  <c r="Y167" i="6"/>
  <c r="Y169" i="6"/>
  <c r="Y179" i="6"/>
  <c r="Y180" i="6"/>
  <c r="Y184" i="6"/>
  <c r="Y192" i="6"/>
  <c r="Y200" i="6"/>
  <c r="Y203" i="6"/>
  <c r="Y205" i="6"/>
  <c r="Y17" i="6"/>
  <c r="Y207" i="6"/>
  <c r="Y14" i="6"/>
  <c r="Y219" i="6"/>
  <c r="Y22" i="6"/>
  <c r="Y245" i="6"/>
  <c r="Y30" i="6"/>
  <c r="Y255" i="6"/>
  <c r="Y35" i="6"/>
  <c r="Y39" i="6"/>
  <c r="Y267" i="6"/>
  <c r="Y277" i="6"/>
  <c r="Y279" i="6"/>
  <c r="Y280" i="6"/>
  <c r="Y46" i="6"/>
  <c r="Y288" i="6"/>
  <c r="Y309" i="6"/>
  <c r="Y61" i="6"/>
  <c r="Y319" i="6"/>
  <c r="Y321" i="6"/>
  <c r="Y63" i="6"/>
  <c r="Y337" i="6"/>
  <c r="Y351" i="6"/>
  <c r="Y352" i="6"/>
  <c r="Y76" i="6"/>
  <c r="Y358" i="6"/>
  <c r="Y368" i="6"/>
  <c r="Y369" i="6"/>
  <c r="Y372" i="6"/>
  <c r="Y81" i="6"/>
  <c r="Y375" i="6"/>
  <c r="Y86" i="6"/>
  <c r="Y384" i="6"/>
  <c r="Y385" i="6"/>
  <c r="Y388" i="6"/>
  <c r="Y91" i="6"/>
  <c r="Y406" i="6"/>
  <c r="Y419" i="6"/>
  <c r="Y121" i="6"/>
  <c r="Y441" i="6"/>
  <c r="Y447" i="6"/>
  <c r="Y451" i="6"/>
  <c r="Y452" i="6"/>
  <c r="Y126" i="6"/>
  <c r="Y132" i="6"/>
  <c r="Y465" i="6"/>
  <c r="Y480" i="6"/>
  <c r="Y484" i="6"/>
  <c r="Y141" i="6"/>
  <c r="Y171" i="6"/>
  <c r="Y174" i="6"/>
  <c r="Y190" i="6"/>
  <c r="Y11" i="6"/>
  <c r="Y212" i="6"/>
  <c r="Y163" i="6"/>
  <c r="Y166" i="6"/>
  <c r="Y211" i="6"/>
  <c r="Y229" i="6"/>
  <c r="Y239" i="6"/>
  <c r="Y271" i="6"/>
  <c r="Y286" i="6"/>
  <c r="Y294" i="6"/>
  <c r="Y58" i="6"/>
  <c r="Y311" i="6"/>
  <c r="Y65" i="6"/>
  <c r="Y78" i="6"/>
  <c r="Y373" i="6"/>
  <c r="Y85" i="6"/>
  <c r="Y89" i="6"/>
  <c r="Y395" i="6"/>
  <c r="Y412" i="6"/>
  <c r="Y414" i="6"/>
  <c r="Y433" i="6"/>
  <c r="Y443" i="6"/>
  <c r="Y124" i="6"/>
  <c r="Y134" i="6"/>
  <c r="Y473" i="6"/>
  <c r="Y6" i="6"/>
  <c r="Y164" i="6"/>
  <c r="Y7" i="6"/>
  <c r="Y206" i="6"/>
  <c r="X154" i="6"/>
  <c r="X158" i="6"/>
  <c r="X5" i="6"/>
  <c r="X165" i="6"/>
  <c r="X170" i="6"/>
  <c r="X172" i="6"/>
  <c r="X177" i="6"/>
  <c r="X178" i="6"/>
  <c r="X183" i="6"/>
  <c r="X197" i="6"/>
  <c r="X199" i="6"/>
  <c r="X204" i="6"/>
  <c r="X213" i="6"/>
  <c r="X20" i="6"/>
  <c r="X215" i="6"/>
  <c r="X218" i="6"/>
  <c r="X220" i="6"/>
  <c r="X221" i="6"/>
  <c r="X224" i="6"/>
  <c r="X228" i="6"/>
  <c r="X231" i="6"/>
  <c r="X233" i="6"/>
  <c r="X235" i="6"/>
  <c r="X236" i="6"/>
  <c r="X238" i="6"/>
  <c r="X240" i="6"/>
  <c r="X242" i="6"/>
  <c r="X247" i="6"/>
  <c r="X248" i="6"/>
  <c r="X26" i="6"/>
  <c r="X29" i="6"/>
  <c r="X249" i="6"/>
  <c r="X252" i="6"/>
  <c r="X33" i="6"/>
  <c r="X257" i="6"/>
  <c r="X34" i="6"/>
  <c r="X260" i="6"/>
  <c r="X261" i="6"/>
  <c r="X266" i="6"/>
  <c r="X40" i="6"/>
  <c r="X42" i="6"/>
  <c r="X270" i="6"/>
  <c r="X272" i="6"/>
  <c r="X44" i="6"/>
  <c r="X276" i="6"/>
  <c r="X278" i="6"/>
  <c r="X50" i="6"/>
  <c r="X51" i="6"/>
  <c r="X54" i="6"/>
  <c r="X287" i="6"/>
  <c r="X290" i="6"/>
  <c r="X291" i="6"/>
  <c r="X295" i="6"/>
  <c r="X57" i="6"/>
  <c r="X299" i="6"/>
  <c r="X301" i="6"/>
  <c r="X59" i="6"/>
  <c r="X302" i="6"/>
  <c r="X303" i="6"/>
  <c r="X305" i="6"/>
  <c r="X306" i="6"/>
  <c r="X307" i="6"/>
  <c r="X312" i="6"/>
  <c r="X314" i="6"/>
  <c r="X315" i="6"/>
  <c r="X317" i="6"/>
  <c r="X318" i="6"/>
  <c r="X320" i="6"/>
  <c r="X324" i="6"/>
  <c r="X326" i="6"/>
  <c r="X329" i="6"/>
  <c r="X64" i="6"/>
  <c r="X336" i="6"/>
  <c r="X338" i="6"/>
  <c r="X340" i="6"/>
  <c r="X343" i="6"/>
  <c r="X344" i="6"/>
  <c r="X345" i="6"/>
  <c r="X346" i="6"/>
  <c r="X350" i="6"/>
  <c r="X70" i="6"/>
  <c r="X353" i="6"/>
  <c r="X73" i="6"/>
  <c r="X74" i="6"/>
  <c r="X75" i="6"/>
  <c r="X356" i="6"/>
  <c r="X363" i="6"/>
  <c r="X364" i="6"/>
  <c r="X365" i="6"/>
  <c r="X367" i="6"/>
  <c r="X371" i="6"/>
  <c r="X377" i="6"/>
  <c r="X379" i="6"/>
  <c r="X383" i="6"/>
  <c r="X389" i="6"/>
  <c r="X391" i="6"/>
  <c r="X392" i="6"/>
  <c r="X396" i="6"/>
  <c r="X90" i="6"/>
  <c r="X92" i="6"/>
  <c r="X398" i="6"/>
  <c r="X399" i="6"/>
  <c r="X400" i="6"/>
  <c r="X93" i="6"/>
  <c r="X94" i="6"/>
  <c r="X402" i="6"/>
  <c r="X405" i="6"/>
  <c r="X407" i="6"/>
  <c r="X98" i="6"/>
  <c r="X99" i="6"/>
  <c r="X408" i="6"/>
  <c r="X100" i="6"/>
  <c r="X101" i="6"/>
  <c r="X103" i="6"/>
  <c r="X411" i="6"/>
  <c r="X106" i="6"/>
  <c r="X107" i="6"/>
  <c r="X109" i="6"/>
  <c r="X416" i="6"/>
  <c r="X418" i="6"/>
  <c r="X421" i="6"/>
  <c r="X423" i="6"/>
  <c r="X424" i="6"/>
  <c r="X426" i="6"/>
  <c r="X111" i="6"/>
  <c r="X432" i="6"/>
  <c r="X112" i="6"/>
  <c r="X434" i="6"/>
  <c r="X114" i="6"/>
  <c r="X435" i="6"/>
  <c r="X117" i="6"/>
  <c r="X118" i="6"/>
  <c r="X119" i="6"/>
  <c r="X122" i="6"/>
  <c r="X444" i="6"/>
  <c r="X448" i="6"/>
  <c r="X125" i="6"/>
  <c r="X455" i="6"/>
  <c r="X456" i="6"/>
  <c r="X457" i="6"/>
  <c r="X458" i="6"/>
  <c r="X459" i="6"/>
  <c r="X460" i="6"/>
  <c r="X129" i="6"/>
  <c r="X462" i="6"/>
  <c r="X133" i="6"/>
  <c r="X468" i="6"/>
  <c r="X471" i="6"/>
  <c r="X472" i="6"/>
  <c r="X474" i="6"/>
  <c r="X138" i="6"/>
  <c r="X139" i="6"/>
  <c r="X478" i="6"/>
  <c r="X483" i="6"/>
  <c r="X486" i="6"/>
  <c r="X489" i="6"/>
  <c r="X491" i="6"/>
  <c r="X143" i="6"/>
  <c r="X492" i="6"/>
  <c r="X494" i="6"/>
  <c r="X144" i="6"/>
  <c r="X495" i="6"/>
  <c r="X496" i="6"/>
  <c r="X152" i="6"/>
  <c r="X4" i="6"/>
  <c r="X157" i="6"/>
  <c r="X162" i="6"/>
  <c r="X176" i="6"/>
  <c r="X9" i="6"/>
  <c r="X198" i="6"/>
  <c r="X209" i="6"/>
  <c r="X19" i="6"/>
  <c r="X210" i="6"/>
  <c r="X148" i="6"/>
  <c r="X150" i="6"/>
  <c r="X161" i="6"/>
  <c r="X168" i="6"/>
  <c r="X173" i="6"/>
  <c r="X181" i="6"/>
  <c r="X8" i="6"/>
  <c r="X185" i="6"/>
  <c r="X187" i="6"/>
  <c r="X193" i="6"/>
  <c r="X196" i="6"/>
  <c r="X13" i="6"/>
  <c r="X18" i="6"/>
  <c r="X214" i="6"/>
  <c r="X21" i="6"/>
  <c r="X216" i="6"/>
  <c r="X222" i="6"/>
  <c r="X227" i="6"/>
  <c r="X230" i="6"/>
  <c r="X232" i="6"/>
  <c r="X23" i="6"/>
  <c r="X234" i="6"/>
  <c r="X237" i="6"/>
  <c r="X241" i="6"/>
  <c r="X244" i="6"/>
  <c r="X27" i="6"/>
  <c r="X250" i="6"/>
  <c r="X251" i="6"/>
  <c r="X258" i="6"/>
  <c r="X36" i="6"/>
  <c r="X262" i="6"/>
  <c r="X263" i="6"/>
  <c r="X37" i="6"/>
  <c r="X38" i="6"/>
  <c r="X268" i="6"/>
  <c r="X275" i="6"/>
  <c r="X281" i="6"/>
  <c r="X48" i="6"/>
  <c r="X283" i="6"/>
  <c r="X49" i="6"/>
  <c r="X53" i="6"/>
  <c r="X55" i="6"/>
  <c r="X292" i="6"/>
  <c r="X296" i="6"/>
  <c r="X297" i="6"/>
  <c r="X300" i="6"/>
  <c r="X308" i="6"/>
  <c r="X313" i="6"/>
  <c r="X323" i="6"/>
  <c r="X62" i="6"/>
  <c r="X325" i="6"/>
  <c r="X328" i="6"/>
  <c r="X333" i="6"/>
  <c r="X334" i="6"/>
  <c r="X66" i="6"/>
  <c r="X339" i="6"/>
  <c r="X341" i="6"/>
  <c r="X342" i="6"/>
  <c r="X67" i="6"/>
  <c r="X68" i="6"/>
  <c r="X69" i="6"/>
  <c r="X347" i="6"/>
  <c r="X71" i="6"/>
  <c r="X72" i="6"/>
  <c r="X355" i="6"/>
  <c r="X357" i="6"/>
  <c r="X79" i="6"/>
  <c r="X80" i="6"/>
  <c r="X374" i="6"/>
  <c r="X83" i="6"/>
  <c r="X378" i="6"/>
  <c r="X381" i="6"/>
  <c r="X387" i="6"/>
  <c r="X390" i="6"/>
  <c r="X393" i="6"/>
  <c r="X95" i="6"/>
  <c r="X403" i="6"/>
  <c r="X97" i="6"/>
  <c r="X102" i="6"/>
  <c r="X410" i="6"/>
  <c r="X415" i="6"/>
  <c r="X105" i="6"/>
  <c r="X108" i="6"/>
  <c r="X417" i="6"/>
  <c r="X420" i="6"/>
  <c r="X425" i="6"/>
  <c r="X429" i="6"/>
  <c r="X430" i="6"/>
  <c r="X113" i="6"/>
  <c r="X115" i="6"/>
  <c r="X116" i="6"/>
  <c r="X442" i="6"/>
  <c r="X445" i="6"/>
  <c r="X123" i="6"/>
  <c r="X449" i="6"/>
  <c r="X450" i="6"/>
  <c r="X453" i="6"/>
  <c r="X127" i="6"/>
  <c r="X454" i="6"/>
  <c r="X128" i="6"/>
  <c r="X463" i="6"/>
  <c r="X466" i="6"/>
  <c r="X467" i="6"/>
  <c r="X135" i="6"/>
  <c r="X136" i="6"/>
  <c r="X137" i="6"/>
  <c r="X477" i="6"/>
  <c r="X479" i="6"/>
  <c r="X481" i="6"/>
  <c r="X140" i="6"/>
  <c r="X490" i="6"/>
  <c r="X142" i="6"/>
  <c r="X493" i="6"/>
  <c r="X149" i="6"/>
  <c r="X2" i="6"/>
  <c r="X155" i="6"/>
  <c r="X159" i="6"/>
  <c r="X160" i="6"/>
  <c r="X182" i="6"/>
  <c r="X188" i="6"/>
  <c r="X194" i="6"/>
  <c r="X10" i="6"/>
  <c r="X201" i="6"/>
  <c r="X15" i="6"/>
  <c r="X16" i="6"/>
  <c r="X146" i="6"/>
  <c r="X147" i="6"/>
  <c r="X3" i="6"/>
  <c r="X153" i="6"/>
  <c r="X156" i="6"/>
  <c r="X175" i="6"/>
  <c r="X186" i="6"/>
  <c r="X189" i="6"/>
  <c r="X191" i="6"/>
  <c r="X195" i="6"/>
  <c r="X12" i="6"/>
  <c r="X202" i="6"/>
  <c r="X208" i="6"/>
  <c r="X217" i="6"/>
  <c r="X223" i="6"/>
  <c r="X225" i="6"/>
  <c r="X226" i="6"/>
  <c r="X243" i="6"/>
  <c r="X24" i="6"/>
  <c r="X246" i="6"/>
  <c r="X25" i="6"/>
  <c r="X28" i="6"/>
  <c r="X31" i="6"/>
  <c r="X253" i="6"/>
  <c r="X254" i="6"/>
  <c r="X32" i="6"/>
  <c r="X256" i="6"/>
  <c r="X259" i="6"/>
  <c r="X264" i="6"/>
  <c r="X265" i="6"/>
  <c r="X41" i="6"/>
  <c r="X269" i="6"/>
  <c r="X43" i="6"/>
  <c r="X273" i="6"/>
  <c r="X274" i="6"/>
  <c r="X45" i="6"/>
  <c r="X47" i="6"/>
  <c r="X282" i="6"/>
  <c r="X52" i="6"/>
  <c r="X284" i="6"/>
  <c r="X285" i="6"/>
  <c r="X289" i="6"/>
  <c r="X293" i="6"/>
  <c r="X56" i="6"/>
  <c r="X298" i="6"/>
  <c r="X304" i="6"/>
  <c r="X60" i="6"/>
  <c r="X310" i="6"/>
  <c r="X316" i="6"/>
  <c r="X322" i="6"/>
  <c r="X327" i="6"/>
  <c r="X330" i="6"/>
  <c r="X331" i="6"/>
  <c r="X332" i="6"/>
  <c r="X335" i="6"/>
  <c r="X348" i="6"/>
  <c r="X349" i="6"/>
  <c r="X354" i="6"/>
  <c r="X359" i="6"/>
  <c r="X360" i="6"/>
  <c r="X361" i="6"/>
  <c r="X362" i="6"/>
  <c r="X77" i="6"/>
  <c r="X366" i="6"/>
  <c r="X370" i="6"/>
  <c r="X82" i="6"/>
  <c r="X376" i="6"/>
  <c r="X380" i="6"/>
  <c r="X84" i="6"/>
  <c r="X382" i="6"/>
  <c r="X87" i="6"/>
  <c r="X88" i="6"/>
  <c r="X386" i="6"/>
  <c r="X394" i="6"/>
  <c r="X397" i="6"/>
  <c r="X401" i="6"/>
  <c r="X96" i="6"/>
  <c r="X404" i="6"/>
  <c r="X409" i="6"/>
  <c r="X413" i="6"/>
  <c r="X104" i="6"/>
  <c r="X110" i="6"/>
  <c r="X422" i="6"/>
  <c r="X427" i="6"/>
  <c r="X428" i="6"/>
  <c r="X431" i="6"/>
  <c r="X436" i="6"/>
  <c r="X437" i="6"/>
  <c r="X438" i="6"/>
  <c r="X120" i="6"/>
  <c r="X439" i="6"/>
  <c r="X440" i="6"/>
  <c r="X446" i="6"/>
  <c r="X130" i="6"/>
  <c r="X461" i="6"/>
  <c r="X131" i="6"/>
  <c r="X464" i="6"/>
  <c r="X469" i="6"/>
  <c r="X470" i="6"/>
  <c r="X475" i="6"/>
  <c r="X476" i="6"/>
  <c r="X482" i="6"/>
  <c r="X485" i="6"/>
  <c r="X487" i="6"/>
  <c r="X488" i="6"/>
  <c r="X497" i="6"/>
  <c r="X167" i="6"/>
  <c r="X169" i="6"/>
  <c r="X179" i="6"/>
  <c r="X180" i="6"/>
  <c r="X184" i="6"/>
  <c r="X192" i="6"/>
  <c r="X200" i="6"/>
  <c r="X203" i="6"/>
  <c r="X205" i="6"/>
  <c r="X17" i="6"/>
  <c r="X207" i="6"/>
  <c r="X14" i="6"/>
  <c r="X219" i="6"/>
  <c r="X22" i="6"/>
  <c r="X245" i="6"/>
  <c r="X30" i="6"/>
  <c r="X255" i="6"/>
  <c r="X35" i="6"/>
  <c r="X39" i="6"/>
  <c r="X267" i="6"/>
  <c r="X277" i="6"/>
  <c r="X279" i="6"/>
  <c r="X280" i="6"/>
  <c r="X46" i="6"/>
  <c r="X288" i="6"/>
  <c r="X309" i="6"/>
  <c r="X61" i="6"/>
  <c r="X319" i="6"/>
  <c r="X321" i="6"/>
  <c r="X63" i="6"/>
  <c r="X337" i="6"/>
  <c r="X351" i="6"/>
  <c r="X352" i="6"/>
  <c r="X76" i="6"/>
  <c r="X358" i="6"/>
  <c r="X368" i="6"/>
  <c r="X369" i="6"/>
  <c r="X372" i="6"/>
  <c r="X81" i="6"/>
  <c r="X375" i="6"/>
  <c r="X86" i="6"/>
  <c r="X384" i="6"/>
  <c r="X385" i="6"/>
  <c r="X388" i="6"/>
  <c r="X91" i="6"/>
  <c r="X406" i="6"/>
  <c r="X419" i="6"/>
  <c r="X121" i="6"/>
  <c r="X441" i="6"/>
  <c r="X447" i="6"/>
  <c r="X451" i="6"/>
  <c r="X452" i="6"/>
  <c r="X126" i="6"/>
  <c r="X132" i="6"/>
  <c r="X465" i="6"/>
  <c r="X480" i="6"/>
  <c r="X484" i="6"/>
  <c r="X141" i="6"/>
  <c r="X171" i="6"/>
  <c r="X174" i="6"/>
  <c r="X190" i="6"/>
  <c r="X11" i="6"/>
  <c r="X212" i="6"/>
  <c r="X163" i="6"/>
  <c r="X166" i="6"/>
  <c r="X211" i="6"/>
  <c r="X229" i="6"/>
  <c r="X239" i="6"/>
  <c r="X271" i="6"/>
  <c r="X286" i="6"/>
  <c r="X294" i="6"/>
  <c r="X58" i="6"/>
  <c r="X311" i="6"/>
  <c r="X65" i="6"/>
  <c r="X78" i="6"/>
  <c r="X373" i="6"/>
  <c r="X85" i="6"/>
  <c r="X89" i="6"/>
  <c r="X395" i="6"/>
  <c r="X412" i="6"/>
  <c r="X414" i="6"/>
  <c r="X433" i="6"/>
  <c r="X443" i="6"/>
  <c r="X124" i="6"/>
  <c r="X134" i="6"/>
  <c r="X473" i="6"/>
  <c r="X6" i="6"/>
  <c r="X164" i="6"/>
  <c r="X7" i="6"/>
  <c r="X206" i="6"/>
  <c r="W154" i="6"/>
  <c r="W158" i="6"/>
  <c r="W5" i="6"/>
  <c r="W165" i="6"/>
  <c r="W170" i="6"/>
  <c r="W172" i="6"/>
  <c r="W177" i="6"/>
  <c r="W178" i="6"/>
  <c r="W183" i="6"/>
  <c r="W197" i="6"/>
  <c r="W199" i="6"/>
  <c r="W204" i="6"/>
  <c r="W213" i="6"/>
  <c r="W20" i="6"/>
  <c r="W215" i="6"/>
  <c r="W218" i="6"/>
  <c r="W220" i="6"/>
  <c r="W221" i="6"/>
  <c r="W224" i="6"/>
  <c r="W228" i="6"/>
  <c r="W231" i="6"/>
  <c r="W233" i="6"/>
  <c r="W235" i="6"/>
  <c r="W236" i="6"/>
  <c r="W238" i="6"/>
  <c r="W240" i="6"/>
  <c r="W242" i="6"/>
  <c r="W247" i="6"/>
  <c r="W248" i="6"/>
  <c r="W26" i="6"/>
  <c r="W29" i="6"/>
  <c r="W249" i="6"/>
  <c r="W252" i="6"/>
  <c r="W33" i="6"/>
  <c r="W257" i="6"/>
  <c r="W34" i="6"/>
  <c r="W260" i="6"/>
  <c r="W261" i="6"/>
  <c r="W266" i="6"/>
  <c r="W40" i="6"/>
  <c r="W42" i="6"/>
  <c r="W270" i="6"/>
  <c r="W272" i="6"/>
  <c r="W44" i="6"/>
  <c r="W276" i="6"/>
  <c r="W278" i="6"/>
  <c r="W50" i="6"/>
  <c r="W51" i="6"/>
  <c r="W54" i="6"/>
  <c r="W287" i="6"/>
  <c r="W290" i="6"/>
  <c r="W291" i="6"/>
  <c r="W295" i="6"/>
  <c r="W57" i="6"/>
  <c r="W299" i="6"/>
  <c r="W301" i="6"/>
  <c r="W59" i="6"/>
  <c r="W302" i="6"/>
  <c r="W303" i="6"/>
  <c r="W305" i="6"/>
  <c r="W306" i="6"/>
  <c r="W307" i="6"/>
  <c r="W312" i="6"/>
  <c r="W314" i="6"/>
  <c r="W315" i="6"/>
  <c r="W317" i="6"/>
  <c r="W318" i="6"/>
  <c r="W320" i="6"/>
  <c r="W324" i="6"/>
  <c r="W326" i="6"/>
  <c r="W329" i="6"/>
  <c r="W64" i="6"/>
  <c r="W336" i="6"/>
  <c r="W338" i="6"/>
  <c r="W340" i="6"/>
  <c r="W343" i="6"/>
  <c r="W344" i="6"/>
  <c r="W345" i="6"/>
  <c r="W346" i="6"/>
  <c r="W350" i="6"/>
  <c r="W70" i="6"/>
  <c r="W353" i="6"/>
  <c r="W73" i="6"/>
  <c r="W74" i="6"/>
  <c r="W75" i="6"/>
  <c r="W356" i="6"/>
  <c r="W363" i="6"/>
  <c r="W364" i="6"/>
  <c r="W365" i="6"/>
  <c r="W367" i="6"/>
  <c r="W371" i="6"/>
  <c r="W377" i="6"/>
  <c r="W379" i="6"/>
  <c r="W383" i="6"/>
  <c r="W389" i="6"/>
  <c r="W391" i="6"/>
  <c r="W392" i="6"/>
  <c r="W396" i="6"/>
  <c r="W90" i="6"/>
  <c r="W92" i="6"/>
  <c r="W398" i="6"/>
  <c r="W399" i="6"/>
  <c r="W400" i="6"/>
  <c r="W93" i="6"/>
  <c r="W94" i="6"/>
  <c r="W402" i="6"/>
  <c r="W405" i="6"/>
  <c r="W407" i="6"/>
  <c r="W98" i="6"/>
  <c r="W99" i="6"/>
  <c r="W408" i="6"/>
  <c r="W100" i="6"/>
  <c r="W101" i="6"/>
  <c r="W103" i="6"/>
  <c r="W411" i="6"/>
  <c r="W106" i="6"/>
  <c r="W107" i="6"/>
  <c r="W109" i="6"/>
  <c r="W416" i="6"/>
  <c r="W418" i="6"/>
  <c r="W421" i="6"/>
  <c r="W423" i="6"/>
  <c r="W424" i="6"/>
  <c r="W426" i="6"/>
  <c r="W111" i="6"/>
  <c r="W432" i="6"/>
  <c r="W112" i="6"/>
  <c r="W434" i="6"/>
  <c r="W114" i="6"/>
  <c r="W435" i="6"/>
  <c r="W117" i="6"/>
  <c r="W118" i="6"/>
  <c r="W119" i="6"/>
  <c r="W122" i="6"/>
  <c r="W444" i="6"/>
  <c r="W448" i="6"/>
  <c r="W125" i="6"/>
  <c r="W455" i="6"/>
  <c r="W456" i="6"/>
  <c r="W457" i="6"/>
  <c r="W458" i="6"/>
  <c r="W459" i="6"/>
  <c r="W460" i="6"/>
  <c r="W129" i="6"/>
  <c r="W462" i="6"/>
  <c r="W133" i="6"/>
  <c r="W468" i="6"/>
  <c r="W471" i="6"/>
  <c r="W472" i="6"/>
  <c r="W474" i="6"/>
  <c r="W138" i="6"/>
  <c r="W139" i="6"/>
  <c r="W478" i="6"/>
  <c r="W483" i="6"/>
  <c r="W486" i="6"/>
  <c r="W489" i="6"/>
  <c r="W491" i="6"/>
  <c r="W143" i="6"/>
  <c r="W492" i="6"/>
  <c r="W494" i="6"/>
  <c r="W144" i="6"/>
  <c r="W495" i="6"/>
  <c r="W496" i="6"/>
  <c r="W152" i="6"/>
  <c r="W4" i="6"/>
  <c r="W157" i="6"/>
  <c r="W162" i="6"/>
  <c r="W176" i="6"/>
  <c r="W9" i="6"/>
  <c r="W198" i="6"/>
  <c r="W209" i="6"/>
  <c r="W19" i="6"/>
  <c r="W210" i="6"/>
  <c r="W148" i="6"/>
  <c r="W150" i="6"/>
  <c r="W161" i="6"/>
  <c r="W168" i="6"/>
  <c r="W173" i="6"/>
  <c r="W181" i="6"/>
  <c r="W8" i="6"/>
  <c r="W185" i="6"/>
  <c r="W187" i="6"/>
  <c r="W193" i="6"/>
  <c r="W196" i="6"/>
  <c r="W13" i="6"/>
  <c r="W18" i="6"/>
  <c r="W214" i="6"/>
  <c r="W21" i="6"/>
  <c r="W216" i="6"/>
  <c r="W222" i="6"/>
  <c r="W227" i="6"/>
  <c r="W230" i="6"/>
  <c r="W232" i="6"/>
  <c r="W23" i="6"/>
  <c r="W234" i="6"/>
  <c r="W237" i="6"/>
  <c r="W241" i="6"/>
  <c r="W244" i="6"/>
  <c r="W27" i="6"/>
  <c r="W250" i="6"/>
  <c r="W251" i="6"/>
  <c r="W258" i="6"/>
  <c r="W36" i="6"/>
  <c r="W262" i="6"/>
  <c r="W263" i="6"/>
  <c r="W37" i="6"/>
  <c r="W38" i="6"/>
  <c r="W268" i="6"/>
  <c r="W275" i="6"/>
  <c r="W281" i="6"/>
  <c r="W48" i="6"/>
  <c r="W283" i="6"/>
  <c r="W49" i="6"/>
  <c r="W53" i="6"/>
  <c r="W55" i="6"/>
  <c r="W292" i="6"/>
  <c r="W296" i="6"/>
  <c r="W297" i="6"/>
  <c r="W300" i="6"/>
  <c r="W308" i="6"/>
  <c r="W313" i="6"/>
  <c r="W323" i="6"/>
  <c r="W62" i="6"/>
  <c r="W325" i="6"/>
  <c r="W328" i="6"/>
  <c r="W333" i="6"/>
  <c r="W334" i="6"/>
  <c r="W66" i="6"/>
  <c r="W339" i="6"/>
  <c r="W341" i="6"/>
  <c r="W342" i="6"/>
  <c r="W67" i="6"/>
  <c r="W68" i="6"/>
  <c r="W69" i="6"/>
  <c r="W347" i="6"/>
  <c r="W71" i="6"/>
  <c r="W72" i="6"/>
  <c r="W355" i="6"/>
  <c r="W357" i="6"/>
  <c r="W79" i="6"/>
  <c r="W80" i="6"/>
  <c r="W374" i="6"/>
  <c r="W83" i="6"/>
  <c r="W378" i="6"/>
  <c r="W381" i="6"/>
  <c r="W387" i="6"/>
  <c r="W390" i="6"/>
  <c r="W393" i="6"/>
  <c r="W95" i="6"/>
  <c r="W403" i="6"/>
  <c r="W97" i="6"/>
  <c r="W102" i="6"/>
  <c r="W410" i="6"/>
  <c r="W415" i="6"/>
  <c r="W105" i="6"/>
  <c r="W108" i="6"/>
  <c r="W417" i="6"/>
  <c r="W420" i="6"/>
  <c r="W425" i="6"/>
  <c r="W429" i="6"/>
  <c r="W430" i="6"/>
  <c r="W113" i="6"/>
  <c r="W115" i="6"/>
  <c r="W116" i="6"/>
  <c r="W442" i="6"/>
  <c r="W445" i="6"/>
  <c r="W123" i="6"/>
  <c r="W449" i="6"/>
  <c r="W450" i="6"/>
  <c r="W453" i="6"/>
  <c r="W127" i="6"/>
  <c r="W454" i="6"/>
  <c r="W128" i="6"/>
  <c r="W463" i="6"/>
  <c r="W466" i="6"/>
  <c r="W467" i="6"/>
  <c r="W135" i="6"/>
  <c r="W136" i="6"/>
  <c r="W137" i="6"/>
  <c r="W477" i="6"/>
  <c r="W479" i="6"/>
  <c r="W481" i="6"/>
  <c r="W140" i="6"/>
  <c r="W490" i="6"/>
  <c r="W142" i="6"/>
  <c r="W493" i="6"/>
  <c r="W149" i="6"/>
  <c r="W2" i="6"/>
  <c r="W155" i="6"/>
  <c r="W159" i="6"/>
  <c r="W160" i="6"/>
  <c r="W182" i="6"/>
  <c r="W188" i="6"/>
  <c r="W194" i="6"/>
  <c r="W10" i="6"/>
  <c r="W201" i="6"/>
  <c r="W15" i="6"/>
  <c r="W16" i="6"/>
  <c r="W146" i="6"/>
  <c r="W147" i="6"/>
  <c r="W3" i="6"/>
  <c r="W153" i="6"/>
  <c r="W156" i="6"/>
  <c r="W175" i="6"/>
  <c r="W186" i="6"/>
  <c r="W189" i="6"/>
  <c r="W191" i="6"/>
  <c r="W195" i="6"/>
  <c r="W12" i="6"/>
  <c r="W202" i="6"/>
  <c r="W208" i="6"/>
  <c r="W217" i="6"/>
  <c r="W223" i="6"/>
  <c r="W225" i="6"/>
  <c r="W226" i="6"/>
  <c r="W243" i="6"/>
  <c r="W24" i="6"/>
  <c r="W246" i="6"/>
  <c r="W25" i="6"/>
  <c r="W28" i="6"/>
  <c r="W31" i="6"/>
  <c r="W253" i="6"/>
  <c r="W254" i="6"/>
  <c r="W32" i="6"/>
  <c r="W256" i="6"/>
  <c r="W259" i="6"/>
  <c r="W264" i="6"/>
  <c r="W265" i="6"/>
  <c r="W41" i="6"/>
  <c r="W269" i="6"/>
  <c r="W43" i="6"/>
  <c r="W273" i="6"/>
  <c r="W274" i="6"/>
  <c r="W45" i="6"/>
  <c r="W47" i="6"/>
  <c r="W282" i="6"/>
  <c r="W52" i="6"/>
  <c r="W284" i="6"/>
  <c r="W285" i="6"/>
  <c r="W289" i="6"/>
  <c r="W293" i="6"/>
  <c r="W56" i="6"/>
  <c r="W298" i="6"/>
  <c r="W304" i="6"/>
  <c r="W60" i="6"/>
  <c r="W310" i="6"/>
  <c r="W316" i="6"/>
  <c r="W322" i="6"/>
  <c r="W327" i="6"/>
  <c r="W330" i="6"/>
  <c r="W331" i="6"/>
  <c r="W332" i="6"/>
  <c r="W335" i="6"/>
  <c r="W348" i="6"/>
  <c r="W349" i="6"/>
  <c r="W354" i="6"/>
  <c r="W359" i="6"/>
  <c r="W360" i="6"/>
  <c r="W361" i="6"/>
  <c r="W362" i="6"/>
  <c r="W77" i="6"/>
  <c r="W366" i="6"/>
  <c r="W370" i="6"/>
  <c r="W82" i="6"/>
  <c r="W376" i="6"/>
  <c r="W380" i="6"/>
  <c r="W84" i="6"/>
  <c r="W382" i="6"/>
  <c r="W87" i="6"/>
  <c r="W88" i="6"/>
  <c r="W386" i="6"/>
  <c r="W394" i="6"/>
  <c r="W397" i="6"/>
  <c r="W401" i="6"/>
  <c r="W96" i="6"/>
  <c r="W404" i="6"/>
  <c r="W409" i="6"/>
  <c r="W413" i="6"/>
  <c r="W104" i="6"/>
  <c r="W110" i="6"/>
  <c r="W422" i="6"/>
  <c r="W427" i="6"/>
  <c r="W428" i="6"/>
  <c r="W431" i="6"/>
  <c r="W436" i="6"/>
  <c r="W437" i="6"/>
  <c r="W438" i="6"/>
  <c r="W120" i="6"/>
  <c r="W439" i="6"/>
  <c r="W440" i="6"/>
  <c r="W446" i="6"/>
  <c r="W130" i="6"/>
  <c r="W461" i="6"/>
  <c r="W131" i="6"/>
  <c r="W464" i="6"/>
  <c r="W469" i="6"/>
  <c r="W470" i="6"/>
  <c r="W475" i="6"/>
  <c r="W476" i="6"/>
  <c r="W482" i="6"/>
  <c r="W485" i="6"/>
  <c r="W487" i="6"/>
  <c r="W488" i="6"/>
  <c r="W497" i="6"/>
  <c r="W167" i="6"/>
  <c r="W169" i="6"/>
  <c r="W179" i="6"/>
  <c r="W180" i="6"/>
  <c r="W184" i="6"/>
  <c r="W192" i="6"/>
  <c r="W200" i="6"/>
  <c r="W203" i="6"/>
  <c r="W205" i="6"/>
  <c r="W17" i="6"/>
  <c r="W207" i="6"/>
  <c r="W14" i="6"/>
  <c r="W219" i="6"/>
  <c r="W22" i="6"/>
  <c r="W245" i="6"/>
  <c r="W30" i="6"/>
  <c r="W255" i="6"/>
  <c r="W35" i="6"/>
  <c r="W39" i="6"/>
  <c r="W267" i="6"/>
  <c r="W277" i="6"/>
  <c r="W279" i="6"/>
  <c r="W280" i="6"/>
  <c r="W46" i="6"/>
  <c r="W288" i="6"/>
  <c r="W309" i="6"/>
  <c r="W61" i="6"/>
  <c r="W319" i="6"/>
  <c r="W321" i="6"/>
  <c r="W63" i="6"/>
  <c r="W337" i="6"/>
  <c r="W351" i="6"/>
  <c r="W352" i="6"/>
  <c r="W76" i="6"/>
  <c r="W358" i="6"/>
  <c r="W368" i="6"/>
  <c r="W369" i="6"/>
  <c r="W372" i="6"/>
  <c r="W81" i="6"/>
  <c r="W375" i="6"/>
  <c r="W86" i="6"/>
  <c r="W384" i="6"/>
  <c r="W385" i="6"/>
  <c r="W388" i="6"/>
  <c r="W91" i="6"/>
  <c r="W406" i="6"/>
  <c r="W419" i="6"/>
  <c r="W121" i="6"/>
  <c r="W441" i="6"/>
  <c r="W447" i="6"/>
  <c r="W451" i="6"/>
  <c r="W452" i="6"/>
  <c r="W126" i="6"/>
  <c r="W132" i="6"/>
  <c r="W465" i="6"/>
  <c r="W480" i="6"/>
  <c r="W484" i="6"/>
  <c r="W141" i="6"/>
  <c r="W171" i="6"/>
  <c r="W174" i="6"/>
  <c r="W190" i="6"/>
  <c r="W11" i="6"/>
  <c r="W212" i="6"/>
  <c r="W163" i="6"/>
  <c r="W166" i="6"/>
  <c r="W211" i="6"/>
  <c r="W229" i="6"/>
  <c r="W239" i="6"/>
  <c r="W271" i="6"/>
  <c r="W286" i="6"/>
  <c r="W294" i="6"/>
  <c r="W58" i="6"/>
  <c r="W311" i="6"/>
  <c r="W65" i="6"/>
  <c r="W78" i="6"/>
  <c r="W373" i="6"/>
  <c r="W85" i="6"/>
  <c r="W89" i="6"/>
  <c r="W395" i="6"/>
  <c r="W412" i="6"/>
  <c r="W414" i="6"/>
  <c r="W433" i="6"/>
  <c r="W443" i="6"/>
  <c r="W124" i="6"/>
  <c r="W134" i="6"/>
  <c r="W473" i="6"/>
  <c r="W6" i="6"/>
  <c r="W164" i="6"/>
  <c r="W7" i="6"/>
  <c r="W206" i="6"/>
  <c r="V154" i="6"/>
  <c r="V158" i="6"/>
  <c r="V5" i="6"/>
  <c r="V165" i="6"/>
  <c r="V170" i="6"/>
  <c r="V172" i="6"/>
  <c r="V177" i="6"/>
  <c r="V178" i="6"/>
  <c r="V183" i="6"/>
  <c r="V197" i="6"/>
  <c r="V199" i="6"/>
  <c r="V204" i="6"/>
  <c r="V213" i="6"/>
  <c r="V20" i="6"/>
  <c r="V215" i="6"/>
  <c r="V218" i="6"/>
  <c r="V220" i="6"/>
  <c r="V221" i="6"/>
  <c r="V224" i="6"/>
  <c r="V228" i="6"/>
  <c r="V231" i="6"/>
  <c r="V233" i="6"/>
  <c r="V235" i="6"/>
  <c r="V236" i="6"/>
  <c r="V238" i="6"/>
  <c r="V240" i="6"/>
  <c r="V242" i="6"/>
  <c r="V247" i="6"/>
  <c r="V248" i="6"/>
  <c r="V26" i="6"/>
  <c r="V29" i="6"/>
  <c r="V249" i="6"/>
  <c r="V252" i="6"/>
  <c r="V33" i="6"/>
  <c r="V257" i="6"/>
  <c r="V34" i="6"/>
  <c r="V260" i="6"/>
  <c r="V261" i="6"/>
  <c r="V266" i="6"/>
  <c r="V40" i="6"/>
  <c r="V42" i="6"/>
  <c r="V270" i="6"/>
  <c r="V272" i="6"/>
  <c r="V44" i="6"/>
  <c r="V276" i="6"/>
  <c r="V278" i="6"/>
  <c r="V50" i="6"/>
  <c r="V51" i="6"/>
  <c r="V54" i="6"/>
  <c r="V287" i="6"/>
  <c r="V290" i="6"/>
  <c r="V291" i="6"/>
  <c r="V295" i="6"/>
  <c r="V57" i="6"/>
  <c r="V299" i="6"/>
  <c r="V301" i="6"/>
  <c r="V59" i="6"/>
  <c r="V302" i="6"/>
  <c r="V303" i="6"/>
  <c r="V305" i="6"/>
  <c r="V306" i="6"/>
  <c r="V307" i="6"/>
  <c r="V312" i="6"/>
  <c r="V314" i="6"/>
  <c r="V315" i="6"/>
  <c r="V317" i="6"/>
  <c r="V318" i="6"/>
  <c r="V320" i="6"/>
  <c r="V324" i="6"/>
  <c r="V326" i="6"/>
  <c r="V329" i="6"/>
  <c r="V64" i="6"/>
  <c r="V336" i="6"/>
  <c r="V338" i="6"/>
  <c r="V340" i="6"/>
  <c r="V343" i="6"/>
  <c r="V344" i="6"/>
  <c r="V345" i="6"/>
  <c r="V346" i="6"/>
  <c r="V350" i="6"/>
  <c r="V70" i="6"/>
  <c r="V353" i="6"/>
  <c r="V73" i="6"/>
  <c r="V74" i="6"/>
  <c r="V75" i="6"/>
  <c r="V356" i="6"/>
  <c r="V363" i="6"/>
  <c r="V364" i="6"/>
  <c r="V365" i="6"/>
  <c r="V367" i="6"/>
  <c r="V371" i="6"/>
  <c r="V377" i="6"/>
  <c r="V379" i="6"/>
  <c r="V383" i="6"/>
  <c r="V389" i="6"/>
  <c r="V391" i="6"/>
  <c r="V392" i="6"/>
  <c r="V396" i="6"/>
  <c r="V90" i="6"/>
  <c r="V92" i="6"/>
  <c r="V398" i="6"/>
  <c r="V399" i="6"/>
  <c r="V400" i="6"/>
  <c r="V93" i="6"/>
  <c r="V94" i="6"/>
  <c r="V402" i="6"/>
  <c r="V405" i="6"/>
  <c r="V407" i="6"/>
  <c r="V98" i="6"/>
  <c r="V99" i="6"/>
  <c r="V408" i="6"/>
  <c r="V100" i="6"/>
  <c r="V101" i="6"/>
  <c r="V103" i="6"/>
  <c r="V411" i="6"/>
  <c r="V106" i="6"/>
  <c r="V107" i="6"/>
  <c r="V109" i="6"/>
  <c r="V416" i="6"/>
  <c r="V418" i="6"/>
  <c r="V421" i="6"/>
  <c r="V423" i="6"/>
  <c r="V424" i="6"/>
  <c r="V426" i="6"/>
  <c r="V111" i="6"/>
  <c r="V432" i="6"/>
  <c r="V112" i="6"/>
  <c r="V434" i="6"/>
  <c r="V114" i="6"/>
  <c r="V435" i="6"/>
  <c r="V117" i="6"/>
  <c r="V118" i="6"/>
  <c r="V119" i="6"/>
  <c r="V122" i="6"/>
  <c r="V444" i="6"/>
  <c r="V448" i="6"/>
  <c r="V125" i="6"/>
  <c r="V455" i="6"/>
  <c r="V456" i="6"/>
  <c r="V457" i="6"/>
  <c r="V458" i="6"/>
  <c r="V459" i="6"/>
  <c r="V460" i="6"/>
  <c r="V129" i="6"/>
  <c r="V462" i="6"/>
  <c r="V133" i="6"/>
  <c r="V468" i="6"/>
  <c r="V471" i="6"/>
  <c r="V472" i="6"/>
  <c r="V474" i="6"/>
  <c r="V138" i="6"/>
  <c r="V139" i="6"/>
  <c r="V478" i="6"/>
  <c r="V483" i="6"/>
  <c r="V486" i="6"/>
  <c r="V489" i="6"/>
  <c r="V491" i="6"/>
  <c r="V143" i="6"/>
  <c r="V492" i="6"/>
  <c r="V494" i="6"/>
  <c r="V144" i="6"/>
  <c r="V495" i="6"/>
  <c r="V496" i="6"/>
  <c r="V152" i="6"/>
  <c r="V4" i="6"/>
  <c r="V157" i="6"/>
  <c r="V162" i="6"/>
  <c r="V176" i="6"/>
  <c r="V9" i="6"/>
  <c r="V198" i="6"/>
  <c r="V209" i="6"/>
  <c r="V19" i="6"/>
  <c r="V210" i="6"/>
  <c r="V148" i="6"/>
  <c r="V150" i="6"/>
  <c r="V161" i="6"/>
  <c r="V168" i="6"/>
  <c r="V173" i="6"/>
  <c r="V181" i="6"/>
  <c r="V8" i="6"/>
  <c r="V185" i="6"/>
  <c r="V187" i="6"/>
  <c r="V193" i="6"/>
  <c r="V196" i="6"/>
  <c r="V13" i="6"/>
  <c r="V18" i="6"/>
  <c r="V214" i="6"/>
  <c r="V21" i="6"/>
  <c r="V216" i="6"/>
  <c r="V222" i="6"/>
  <c r="V227" i="6"/>
  <c r="V230" i="6"/>
  <c r="V232" i="6"/>
  <c r="V23" i="6"/>
  <c r="V234" i="6"/>
  <c r="V237" i="6"/>
  <c r="V241" i="6"/>
  <c r="V244" i="6"/>
  <c r="V27" i="6"/>
  <c r="V250" i="6"/>
  <c r="V251" i="6"/>
  <c r="V258" i="6"/>
  <c r="V36" i="6"/>
  <c r="V262" i="6"/>
  <c r="V263" i="6"/>
  <c r="V37" i="6"/>
  <c r="V38" i="6"/>
  <c r="V268" i="6"/>
  <c r="V275" i="6"/>
  <c r="V281" i="6"/>
  <c r="V48" i="6"/>
  <c r="V283" i="6"/>
  <c r="V49" i="6"/>
  <c r="V53" i="6"/>
  <c r="V55" i="6"/>
  <c r="V292" i="6"/>
  <c r="V296" i="6"/>
  <c r="V297" i="6"/>
  <c r="V300" i="6"/>
  <c r="V308" i="6"/>
  <c r="V313" i="6"/>
  <c r="V323" i="6"/>
  <c r="V62" i="6"/>
  <c r="V325" i="6"/>
  <c r="V328" i="6"/>
  <c r="V333" i="6"/>
  <c r="V334" i="6"/>
  <c r="V66" i="6"/>
  <c r="V339" i="6"/>
  <c r="V341" i="6"/>
  <c r="V342" i="6"/>
  <c r="V67" i="6"/>
  <c r="V68" i="6"/>
  <c r="V69" i="6"/>
  <c r="V347" i="6"/>
  <c r="V71" i="6"/>
  <c r="V72" i="6"/>
  <c r="V355" i="6"/>
  <c r="V357" i="6"/>
  <c r="V79" i="6"/>
  <c r="V80" i="6"/>
  <c r="V374" i="6"/>
  <c r="V83" i="6"/>
  <c r="V378" i="6"/>
  <c r="V381" i="6"/>
  <c r="V387" i="6"/>
  <c r="V390" i="6"/>
  <c r="V393" i="6"/>
  <c r="V95" i="6"/>
  <c r="V403" i="6"/>
  <c r="V97" i="6"/>
  <c r="V102" i="6"/>
  <c r="V410" i="6"/>
  <c r="V415" i="6"/>
  <c r="V105" i="6"/>
  <c r="V108" i="6"/>
  <c r="V417" i="6"/>
  <c r="V420" i="6"/>
  <c r="V425" i="6"/>
  <c r="V429" i="6"/>
  <c r="V430" i="6"/>
  <c r="V113" i="6"/>
  <c r="V115" i="6"/>
  <c r="V116" i="6"/>
  <c r="V442" i="6"/>
  <c r="V445" i="6"/>
  <c r="V123" i="6"/>
  <c r="V449" i="6"/>
  <c r="V450" i="6"/>
  <c r="V453" i="6"/>
  <c r="V127" i="6"/>
  <c r="V454" i="6"/>
  <c r="V128" i="6"/>
  <c r="V463" i="6"/>
  <c r="V466" i="6"/>
  <c r="V467" i="6"/>
  <c r="V135" i="6"/>
  <c r="V136" i="6"/>
  <c r="V137" i="6"/>
  <c r="V477" i="6"/>
  <c r="V479" i="6"/>
  <c r="V481" i="6"/>
  <c r="V140" i="6"/>
  <c r="V490" i="6"/>
  <c r="V142" i="6"/>
  <c r="V493" i="6"/>
  <c r="V149" i="6"/>
  <c r="V2" i="6"/>
  <c r="V155" i="6"/>
  <c r="V159" i="6"/>
  <c r="V160" i="6"/>
  <c r="V182" i="6"/>
  <c r="V188" i="6"/>
  <c r="V194" i="6"/>
  <c r="V10" i="6"/>
  <c r="V201" i="6"/>
  <c r="V15" i="6"/>
  <c r="V16" i="6"/>
  <c r="V147" i="6"/>
  <c r="V3" i="6"/>
  <c r="V153" i="6"/>
  <c r="V156" i="6"/>
  <c r="V175" i="6"/>
  <c r="V186" i="6"/>
  <c r="V189" i="6"/>
  <c r="V191" i="6"/>
  <c r="V195" i="6"/>
  <c r="V12" i="6"/>
  <c r="V202" i="6"/>
  <c r="V208" i="6"/>
  <c r="V217" i="6"/>
  <c r="V223" i="6"/>
  <c r="V225" i="6"/>
  <c r="V226" i="6"/>
  <c r="V243" i="6"/>
  <c r="V24" i="6"/>
  <c r="V246" i="6"/>
  <c r="V25" i="6"/>
  <c r="V28" i="6"/>
  <c r="V31" i="6"/>
  <c r="V253" i="6"/>
  <c r="V254" i="6"/>
  <c r="V32" i="6"/>
  <c r="V256" i="6"/>
  <c r="V259" i="6"/>
  <c r="V264" i="6"/>
  <c r="V265" i="6"/>
  <c r="V41" i="6"/>
  <c r="V269" i="6"/>
  <c r="V43" i="6"/>
  <c r="V273" i="6"/>
  <c r="V274" i="6"/>
  <c r="V45" i="6"/>
  <c r="V47" i="6"/>
  <c r="V282" i="6"/>
  <c r="V52" i="6"/>
  <c r="V284" i="6"/>
  <c r="V285" i="6"/>
  <c r="V289" i="6"/>
  <c r="V293" i="6"/>
  <c r="V56" i="6"/>
  <c r="V298" i="6"/>
  <c r="V304" i="6"/>
  <c r="V60" i="6"/>
  <c r="V310" i="6"/>
  <c r="V316" i="6"/>
  <c r="V322" i="6"/>
  <c r="V327" i="6"/>
  <c r="V330" i="6"/>
  <c r="V331" i="6"/>
  <c r="V332" i="6"/>
  <c r="V335" i="6"/>
  <c r="V348" i="6"/>
  <c r="V349" i="6"/>
  <c r="V354" i="6"/>
  <c r="V359" i="6"/>
  <c r="V360" i="6"/>
  <c r="V361" i="6"/>
  <c r="V362" i="6"/>
  <c r="V77" i="6"/>
  <c r="V366" i="6"/>
  <c r="V370" i="6"/>
  <c r="V82" i="6"/>
  <c r="V376" i="6"/>
  <c r="V380" i="6"/>
  <c r="V84" i="6"/>
  <c r="V382" i="6"/>
  <c r="V87" i="6"/>
  <c r="V88" i="6"/>
  <c r="V386" i="6"/>
  <c r="V394" i="6"/>
  <c r="V397" i="6"/>
  <c r="V401" i="6"/>
  <c r="V96" i="6"/>
  <c r="V404" i="6"/>
  <c r="V409" i="6"/>
  <c r="V413" i="6"/>
  <c r="V104" i="6"/>
  <c r="V110" i="6"/>
  <c r="V422" i="6"/>
  <c r="V427" i="6"/>
  <c r="V428" i="6"/>
  <c r="V431" i="6"/>
  <c r="V436" i="6"/>
  <c r="V437" i="6"/>
  <c r="V438" i="6"/>
  <c r="V120" i="6"/>
  <c r="V439" i="6"/>
  <c r="V440" i="6"/>
  <c r="V446" i="6"/>
  <c r="V130" i="6"/>
  <c r="V461" i="6"/>
  <c r="V131" i="6"/>
  <c r="V464" i="6"/>
  <c r="V469" i="6"/>
  <c r="V470" i="6"/>
  <c r="V475" i="6"/>
  <c r="V476" i="6"/>
  <c r="V482" i="6"/>
  <c r="V485" i="6"/>
  <c r="V487" i="6"/>
  <c r="V488" i="6"/>
  <c r="V497" i="6"/>
  <c r="V167" i="6"/>
  <c r="V169" i="6"/>
  <c r="V179" i="6"/>
  <c r="V180" i="6"/>
  <c r="V184" i="6"/>
  <c r="V192" i="6"/>
  <c r="V200" i="6"/>
  <c r="V203" i="6"/>
  <c r="V205" i="6"/>
  <c r="V17" i="6"/>
  <c r="V207" i="6"/>
  <c r="V14" i="6"/>
  <c r="V219" i="6"/>
  <c r="V22" i="6"/>
  <c r="V245" i="6"/>
  <c r="V30" i="6"/>
  <c r="V255" i="6"/>
  <c r="V35" i="6"/>
  <c r="V39" i="6"/>
  <c r="V267" i="6"/>
  <c r="V277" i="6"/>
  <c r="V279" i="6"/>
  <c r="V280" i="6"/>
  <c r="V46" i="6"/>
  <c r="V288" i="6"/>
  <c r="V309" i="6"/>
  <c r="V61" i="6"/>
  <c r="V319" i="6"/>
  <c r="V321" i="6"/>
  <c r="V63" i="6"/>
  <c r="V337" i="6"/>
  <c r="V351" i="6"/>
  <c r="V352" i="6"/>
  <c r="V76" i="6"/>
  <c r="V358" i="6"/>
  <c r="V368" i="6"/>
  <c r="V369" i="6"/>
  <c r="V372" i="6"/>
  <c r="V81" i="6"/>
  <c r="V375" i="6"/>
  <c r="V86" i="6"/>
  <c r="V384" i="6"/>
  <c r="V385" i="6"/>
  <c r="V388" i="6"/>
  <c r="V91" i="6"/>
  <c r="V406" i="6"/>
  <c r="V419" i="6"/>
  <c r="V121" i="6"/>
  <c r="V441" i="6"/>
  <c r="V447" i="6"/>
  <c r="V451" i="6"/>
  <c r="V452" i="6"/>
  <c r="V126" i="6"/>
  <c r="V132" i="6"/>
  <c r="V465" i="6"/>
  <c r="V480" i="6"/>
  <c r="V484" i="6"/>
  <c r="V141" i="6"/>
  <c r="V171" i="6"/>
  <c r="V174" i="6"/>
  <c r="V190" i="6"/>
  <c r="V11" i="6"/>
  <c r="V212" i="6"/>
  <c r="V163" i="6"/>
  <c r="V166" i="6"/>
  <c r="V211" i="6"/>
  <c r="V229" i="6"/>
  <c r="V239" i="6"/>
  <c r="V271" i="6"/>
  <c r="V286" i="6"/>
  <c r="V294" i="6"/>
  <c r="V58" i="6"/>
  <c r="V311" i="6"/>
  <c r="V65" i="6"/>
  <c r="V78" i="6"/>
  <c r="V373" i="6"/>
  <c r="V85" i="6"/>
  <c r="V89" i="6"/>
  <c r="V395" i="6"/>
  <c r="V412" i="6"/>
  <c r="V414" i="6"/>
  <c r="V433" i="6"/>
  <c r="V443" i="6"/>
  <c r="V124" i="6"/>
  <c r="V134" i="6"/>
  <c r="V473" i="6"/>
  <c r="V6" i="6"/>
  <c r="V164" i="6"/>
  <c r="V7" i="6"/>
  <c r="V206" i="6"/>
  <c r="Y151" i="6"/>
  <c r="X151" i="6"/>
  <c r="V151" i="6"/>
  <c r="W151" i="6"/>
  <c r="Z151" i="6"/>
  <c r="AA151" i="6"/>
  <c r="U154" i="6"/>
  <c r="U158" i="6"/>
  <c r="U5" i="6"/>
  <c r="U165" i="6"/>
  <c r="U170" i="6"/>
  <c r="U172" i="6"/>
  <c r="U177" i="6"/>
  <c r="U178" i="6"/>
  <c r="U183" i="6"/>
  <c r="U197" i="6"/>
  <c r="U199" i="6"/>
  <c r="U204" i="6"/>
  <c r="U213" i="6"/>
  <c r="U20" i="6"/>
  <c r="U215" i="6"/>
  <c r="U218" i="6"/>
  <c r="T218" i="6" s="1"/>
  <c r="A218" i="6" s="1"/>
  <c r="U220" i="6"/>
  <c r="U221" i="6"/>
  <c r="U224" i="6"/>
  <c r="U228" i="6"/>
  <c r="U231" i="6"/>
  <c r="U233" i="6"/>
  <c r="U235" i="6"/>
  <c r="U236" i="6"/>
  <c r="U238" i="6"/>
  <c r="U240" i="6"/>
  <c r="U242" i="6"/>
  <c r="U247" i="6"/>
  <c r="U248" i="6"/>
  <c r="U26" i="6"/>
  <c r="U29" i="6"/>
  <c r="U249" i="6"/>
  <c r="U252" i="6"/>
  <c r="U33" i="6"/>
  <c r="U257" i="6"/>
  <c r="U34" i="6"/>
  <c r="U260" i="6"/>
  <c r="U261" i="6"/>
  <c r="U266" i="6"/>
  <c r="U40" i="6"/>
  <c r="T40" i="6" s="1"/>
  <c r="A40" i="6" s="1"/>
  <c r="U42" i="6"/>
  <c r="U270" i="6"/>
  <c r="U272" i="6"/>
  <c r="U44" i="6"/>
  <c r="U276" i="6"/>
  <c r="U278" i="6"/>
  <c r="U50" i="6"/>
  <c r="U51" i="6"/>
  <c r="U54" i="6"/>
  <c r="U287" i="6"/>
  <c r="U290" i="6"/>
  <c r="U291" i="6"/>
  <c r="U295" i="6"/>
  <c r="U57" i="6"/>
  <c r="U299" i="6"/>
  <c r="U301" i="6"/>
  <c r="U59" i="6"/>
  <c r="U302" i="6"/>
  <c r="U303" i="6"/>
  <c r="U305" i="6"/>
  <c r="U306" i="6"/>
  <c r="U307" i="6"/>
  <c r="U312" i="6"/>
  <c r="U314" i="6"/>
  <c r="T314" i="6" s="1"/>
  <c r="A314" i="6" s="1"/>
  <c r="U315" i="6"/>
  <c r="U317" i="6"/>
  <c r="U318" i="6"/>
  <c r="U320" i="6"/>
  <c r="U324" i="6"/>
  <c r="U326" i="6"/>
  <c r="U329" i="6"/>
  <c r="U64" i="6"/>
  <c r="U336" i="6"/>
  <c r="U338" i="6"/>
  <c r="U340" i="6"/>
  <c r="U343" i="6"/>
  <c r="U344" i="6"/>
  <c r="U345" i="6"/>
  <c r="U346" i="6"/>
  <c r="U350" i="6"/>
  <c r="U70" i="6"/>
  <c r="U353" i="6"/>
  <c r="U73" i="6"/>
  <c r="U74" i="6"/>
  <c r="U75" i="6"/>
  <c r="U356" i="6"/>
  <c r="U363" i="6"/>
  <c r="U364" i="6"/>
  <c r="T364" i="6" s="1"/>
  <c r="A364" i="6" s="1"/>
  <c r="U365" i="6"/>
  <c r="U367" i="6"/>
  <c r="U371" i="6"/>
  <c r="U377" i="6"/>
  <c r="U379" i="6"/>
  <c r="U383" i="6"/>
  <c r="U389" i="6"/>
  <c r="U391" i="6"/>
  <c r="U392" i="6"/>
  <c r="U396" i="6"/>
  <c r="U90" i="6"/>
  <c r="U92" i="6"/>
  <c r="U398" i="6"/>
  <c r="U399" i="6"/>
  <c r="U400" i="6"/>
  <c r="U93" i="6"/>
  <c r="U94" i="6"/>
  <c r="U402" i="6"/>
  <c r="U405" i="6"/>
  <c r="U407" i="6"/>
  <c r="U98" i="6"/>
  <c r="U99" i="6"/>
  <c r="U408" i="6"/>
  <c r="U100" i="6"/>
  <c r="T100" i="6" s="1"/>
  <c r="A100" i="6" s="1"/>
  <c r="U101" i="6"/>
  <c r="U103" i="6"/>
  <c r="U411" i="6"/>
  <c r="U106" i="6"/>
  <c r="U107" i="6"/>
  <c r="U109" i="6"/>
  <c r="U416" i="6"/>
  <c r="U418" i="6"/>
  <c r="U421" i="6"/>
  <c r="U423" i="6"/>
  <c r="U424" i="6"/>
  <c r="U426" i="6"/>
  <c r="U111" i="6"/>
  <c r="U432" i="6"/>
  <c r="U112" i="6"/>
  <c r="U434" i="6"/>
  <c r="U114" i="6"/>
  <c r="U435" i="6"/>
  <c r="U117" i="6"/>
  <c r="U118" i="6"/>
  <c r="U119" i="6"/>
  <c r="U122" i="6"/>
  <c r="U444" i="6"/>
  <c r="U448" i="6"/>
  <c r="T448" i="6" s="1"/>
  <c r="A448" i="6" s="1"/>
  <c r="U125" i="6"/>
  <c r="U455" i="6"/>
  <c r="U456" i="6"/>
  <c r="U457" i="6"/>
  <c r="U458" i="6"/>
  <c r="U459" i="6"/>
  <c r="U460" i="6"/>
  <c r="U129" i="6"/>
  <c r="U462" i="6"/>
  <c r="U133" i="6"/>
  <c r="U468" i="6"/>
  <c r="U471" i="6"/>
  <c r="U472" i="6"/>
  <c r="U474" i="6"/>
  <c r="U138" i="6"/>
  <c r="U139" i="6"/>
  <c r="U478" i="6"/>
  <c r="U483" i="6"/>
  <c r="U486" i="6"/>
  <c r="U489" i="6"/>
  <c r="U491" i="6"/>
  <c r="U143" i="6"/>
  <c r="U492" i="6"/>
  <c r="U494" i="6"/>
  <c r="T494" i="6" s="1"/>
  <c r="A494" i="6" s="1"/>
  <c r="U144" i="6"/>
  <c r="U495" i="6"/>
  <c r="U496" i="6"/>
  <c r="U152" i="6"/>
  <c r="U4" i="6"/>
  <c r="U157" i="6"/>
  <c r="U162" i="6"/>
  <c r="U176" i="6"/>
  <c r="U9" i="6"/>
  <c r="U198" i="6"/>
  <c r="U209" i="6"/>
  <c r="U19" i="6"/>
  <c r="U210" i="6"/>
  <c r="U148" i="6"/>
  <c r="U150" i="6"/>
  <c r="U161" i="6"/>
  <c r="U168" i="6"/>
  <c r="U173" i="6"/>
  <c r="U181" i="6"/>
  <c r="U8" i="6"/>
  <c r="U185" i="6"/>
  <c r="U187" i="6"/>
  <c r="U193" i="6"/>
  <c r="U196" i="6"/>
  <c r="T196" i="6" s="1"/>
  <c r="A196" i="6" s="1"/>
  <c r="U13" i="6"/>
  <c r="U18" i="6"/>
  <c r="U214" i="6"/>
  <c r="U21" i="6"/>
  <c r="U216" i="6"/>
  <c r="U222" i="6"/>
  <c r="U227" i="6"/>
  <c r="U230" i="6"/>
  <c r="U232" i="6"/>
  <c r="U23" i="6"/>
  <c r="U234" i="6"/>
  <c r="U237" i="6"/>
  <c r="U241" i="6"/>
  <c r="U244" i="6"/>
  <c r="U27" i="6"/>
  <c r="U250" i="6"/>
  <c r="U251" i="6"/>
  <c r="U258" i="6"/>
  <c r="U36" i="6"/>
  <c r="U262" i="6"/>
  <c r="U263" i="6"/>
  <c r="U37" i="6"/>
  <c r="U38" i="6"/>
  <c r="U268" i="6"/>
  <c r="T268" i="6" s="1"/>
  <c r="A268" i="6" s="1"/>
  <c r="U275" i="6"/>
  <c r="U281" i="6"/>
  <c r="U48" i="6"/>
  <c r="U283" i="6"/>
  <c r="U49" i="6"/>
  <c r="U53" i="6"/>
  <c r="U55" i="6"/>
  <c r="U292" i="6"/>
  <c r="U296" i="6"/>
  <c r="U297" i="6"/>
  <c r="U300" i="6"/>
  <c r="U308" i="6"/>
  <c r="U313" i="6"/>
  <c r="U323" i="6"/>
  <c r="U62" i="6"/>
  <c r="U325" i="6"/>
  <c r="U328" i="6"/>
  <c r="U333" i="6"/>
  <c r="U334" i="6"/>
  <c r="U66" i="6"/>
  <c r="U339" i="6"/>
  <c r="U341" i="6"/>
  <c r="U342" i="6"/>
  <c r="U67" i="6"/>
  <c r="T67" i="6" s="1"/>
  <c r="A67" i="6" s="1"/>
  <c r="U68" i="6"/>
  <c r="U69" i="6"/>
  <c r="U347" i="6"/>
  <c r="U71" i="6"/>
  <c r="U72" i="6"/>
  <c r="U355" i="6"/>
  <c r="U357" i="6"/>
  <c r="U79" i="6"/>
  <c r="U80" i="6"/>
  <c r="U374" i="6"/>
  <c r="U83" i="6"/>
  <c r="U378" i="6"/>
  <c r="U381" i="6"/>
  <c r="U387" i="6"/>
  <c r="U390" i="6"/>
  <c r="U393" i="6"/>
  <c r="U95" i="6"/>
  <c r="U403" i="6"/>
  <c r="U97" i="6"/>
  <c r="U102" i="6"/>
  <c r="U410" i="6"/>
  <c r="U415" i="6"/>
  <c r="U105" i="6"/>
  <c r="U108" i="6"/>
  <c r="T108" i="6" s="1"/>
  <c r="A108" i="6" s="1"/>
  <c r="U417" i="6"/>
  <c r="U420" i="6"/>
  <c r="U425" i="6"/>
  <c r="U429" i="6"/>
  <c r="U430" i="6"/>
  <c r="U113" i="6"/>
  <c r="U115" i="6"/>
  <c r="U116" i="6"/>
  <c r="U442" i="6"/>
  <c r="U445" i="6"/>
  <c r="U123" i="6"/>
  <c r="U449" i="6"/>
  <c r="U450" i="6"/>
  <c r="U453" i="6"/>
  <c r="U127" i="6"/>
  <c r="U454" i="6"/>
  <c r="U128" i="6"/>
  <c r="U463" i="6"/>
  <c r="U466" i="6"/>
  <c r="U467" i="6"/>
  <c r="U135" i="6"/>
  <c r="U136" i="6"/>
  <c r="U137" i="6"/>
  <c r="U477" i="6"/>
  <c r="T477" i="6" s="1"/>
  <c r="A477" i="6" s="1"/>
  <c r="U479" i="6"/>
  <c r="U481" i="6"/>
  <c r="U140" i="6"/>
  <c r="U490" i="6"/>
  <c r="U142" i="6"/>
  <c r="U493" i="6"/>
  <c r="U149" i="6"/>
  <c r="U2" i="6"/>
  <c r="U155" i="6"/>
  <c r="U159" i="6"/>
  <c r="U160" i="6"/>
  <c r="U182" i="6"/>
  <c r="U188" i="6"/>
  <c r="U194" i="6"/>
  <c r="U10" i="6"/>
  <c r="U201" i="6"/>
  <c r="U15" i="6"/>
  <c r="U16" i="6"/>
  <c r="U147" i="6"/>
  <c r="U3" i="6"/>
  <c r="U153" i="6"/>
  <c r="U156" i="6"/>
  <c r="U175" i="6"/>
  <c r="T175" i="6" s="1"/>
  <c r="A175" i="6" s="1"/>
  <c r="U186" i="6"/>
  <c r="T186" i="6" s="1"/>
  <c r="A186" i="6" s="1"/>
  <c r="U189" i="6"/>
  <c r="U191" i="6"/>
  <c r="U195" i="6"/>
  <c r="U12" i="6"/>
  <c r="U202" i="6"/>
  <c r="U208" i="6"/>
  <c r="U217" i="6"/>
  <c r="U223" i="6"/>
  <c r="U225" i="6"/>
  <c r="U226" i="6"/>
  <c r="U243" i="6"/>
  <c r="U24" i="6"/>
  <c r="U246" i="6"/>
  <c r="U25" i="6"/>
  <c r="U28" i="6"/>
  <c r="U31" i="6"/>
  <c r="U253" i="6"/>
  <c r="U254" i="6"/>
  <c r="U32" i="6"/>
  <c r="U256" i="6"/>
  <c r="U259" i="6"/>
  <c r="U264" i="6"/>
  <c r="U265" i="6"/>
  <c r="T265" i="6" s="1"/>
  <c r="A265" i="6" s="1"/>
  <c r="U41" i="6"/>
  <c r="T41" i="6" s="1"/>
  <c r="A41" i="6" s="1"/>
  <c r="U269" i="6"/>
  <c r="U43" i="6"/>
  <c r="U273" i="6"/>
  <c r="U274" i="6"/>
  <c r="U45" i="6"/>
  <c r="U47" i="6"/>
  <c r="U282" i="6"/>
  <c r="U52" i="6"/>
  <c r="U284" i="6"/>
  <c r="U285" i="6"/>
  <c r="U289" i="6"/>
  <c r="U293" i="6"/>
  <c r="U56" i="6"/>
  <c r="U298" i="6"/>
  <c r="U304" i="6"/>
  <c r="U60" i="6"/>
  <c r="U310" i="6"/>
  <c r="U316" i="6"/>
  <c r="U322" i="6"/>
  <c r="U327" i="6"/>
  <c r="U330" i="6"/>
  <c r="U331" i="6"/>
  <c r="U332" i="6"/>
  <c r="T332" i="6" s="1"/>
  <c r="A332" i="6" s="1"/>
  <c r="U335" i="6"/>
  <c r="T335" i="6" s="1"/>
  <c r="A335" i="6" s="1"/>
  <c r="U348" i="6"/>
  <c r="U349" i="6"/>
  <c r="U354" i="6"/>
  <c r="U359" i="6"/>
  <c r="U360" i="6"/>
  <c r="U361" i="6"/>
  <c r="U362" i="6"/>
  <c r="U77" i="6"/>
  <c r="U366" i="6"/>
  <c r="U370" i="6"/>
  <c r="U82" i="6"/>
  <c r="U376" i="6"/>
  <c r="U380" i="6"/>
  <c r="U84" i="6"/>
  <c r="U382" i="6"/>
  <c r="U87" i="6"/>
  <c r="U88" i="6"/>
  <c r="U386" i="6"/>
  <c r="U394" i="6"/>
  <c r="U397" i="6"/>
  <c r="U401" i="6"/>
  <c r="U96" i="6"/>
  <c r="U404" i="6"/>
  <c r="T404" i="6" s="1"/>
  <c r="A404" i="6" s="1"/>
  <c r="U409" i="6"/>
  <c r="T409" i="6" s="1"/>
  <c r="A409" i="6" s="1"/>
  <c r="U413" i="6"/>
  <c r="U104" i="6"/>
  <c r="U110" i="6"/>
  <c r="U422" i="6"/>
  <c r="U427" i="6"/>
  <c r="U428" i="6"/>
  <c r="U431" i="6"/>
  <c r="U436" i="6"/>
  <c r="U437" i="6"/>
  <c r="U438" i="6"/>
  <c r="U120" i="6"/>
  <c r="U439" i="6"/>
  <c r="U440" i="6"/>
  <c r="U446" i="6"/>
  <c r="U130" i="6"/>
  <c r="U461" i="6"/>
  <c r="U131" i="6"/>
  <c r="U464" i="6"/>
  <c r="U469" i="6"/>
  <c r="U470" i="6"/>
  <c r="U475" i="6"/>
  <c r="U476" i="6"/>
  <c r="U482" i="6"/>
  <c r="T482" i="6" s="1"/>
  <c r="A482" i="6" s="1"/>
  <c r="U485" i="6"/>
  <c r="T485" i="6" s="1"/>
  <c r="A485" i="6" s="1"/>
  <c r="U487" i="6"/>
  <c r="U488" i="6"/>
  <c r="U497" i="6"/>
  <c r="U167" i="6"/>
  <c r="U169" i="6"/>
  <c r="U179" i="6"/>
  <c r="U180" i="6"/>
  <c r="U184" i="6"/>
  <c r="U192" i="6"/>
  <c r="U200" i="6"/>
  <c r="U203" i="6"/>
  <c r="U205" i="6"/>
  <c r="U17" i="6"/>
  <c r="U207" i="6"/>
  <c r="U14" i="6"/>
  <c r="U219" i="6"/>
  <c r="U22" i="6"/>
  <c r="U245" i="6"/>
  <c r="U30" i="6"/>
  <c r="U255" i="6"/>
  <c r="U35" i="6"/>
  <c r="U39" i="6"/>
  <c r="U267" i="6"/>
  <c r="T267" i="6" s="1"/>
  <c r="A267" i="6" s="1"/>
  <c r="U277" i="6"/>
  <c r="T277" i="6" s="1"/>
  <c r="A277" i="6" s="1"/>
  <c r="U279" i="6"/>
  <c r="U280" i="6"/>
  <c r="U46" i="6"/>
  <c r="U288" i="6"/>
  <c r="U309" i="6"/>
  <c r="U61" i="6"/>
  <c r="U319" i="6"/>
  <c r="U321" i="6"/>
  <c r="U63" i="6"/>
  <c r="U337" i="6"/>
  <c r="U351" i="6"/>
  <c r="U352" i="6"/>
  <c r="U76" i="6"/>
  <c r="U358" i="6"/>
  <c r="U368" i="6"/>
  <c r="U369" i="6"/>
  <c r="U372" i="6"/>
  <c r="U81" i="6"/>
  <c r="U375" i="6"/>
  <c r="U86" i="6"/>
  <c r="U384" i="6"/>
  <c r="U385" i="6"/>
  <c r="U388" i="6"/>
  <c r="T388" i="6" s="1"/>
  <c r="A388" i="6" s="1"/>
  <c r="U91" i="6"/>
  <c r="T91" i="6" s="1"/>
  <c r="A91" i="6" s="1"/>
  <c r="U406" i="6"/>
  <c r="U419" i="6"/>
  <c r="U121" i="6"/>
  <c r="U441" i="6"/>
  <c r="U447" i="6"/>
  <c r="U451" i="6"/>
  <c r="U452" i="6"/>
  <c r="U126" i="6"/>
  <c r="U132" i="6"/>
  <c r="U465" i="6"/>
  <c r="U480" i="6"/>
  <c r="U484" i="6"/>
  <c r="U141" i="6"/>
  <c r="U171" i="6"/>
  <c r="U174" i="6"/>
  <c r="U190" i="6"/>
  <c r="U11" i="6"/>
  <c r="U212" i="6"/>
  <c r="U163" i="6"/>
  <c r="U166" i="6"/>
  <c r="U211" i="6"/>
  <c r="U229" i="6"/>
  <c r="U239" i="6"/>
  <c r="T239" i="6" s="1"/>
  <c r="A239" i="6" s="1"/>
  <c r="U271" i="6"/>
  <c r="T271" i="6" s="1"/>
  <c r="A271" i="6" s="1"/>
  <c r="U286" i="6"/>
  <c r="U294" i="6"/>
  <c r="U58" i="6"/>
  <c r="U311" i="6"/>
  <c r="U65" i="6"/>
  <c r="U78" i="6"/>
  <c r="U373" i="6"/>
  <c r="U85" i="6"/>
  <c r="U89" i="6"/>
  <c r="U395" i="6"/>
  <c r="U412" i="6"/>
  <c r="U414" i="6"/>
  <c r="U433" i="6"/>
  <c r="U443" i="6"/>
  <c r="U124" i="6"/>
  <c r="U134" i="6"/>
  <c r="U473" i="6"/>
  <c r="U6" i="6"/>
  <c r="U164" i="6"/>
  <c r="U7" i="6"/>
  <c r="U206" i="6"/>
  <c r="U151" i="6"/>
  <c r="T151" i="6" s="1"/>
  <c r="A151" i="6" s="1"/>
  <c r="N449" i="4"/>
  <c r="N372" i="4"/>
  <c r="N124" i="4"/>
  <c r="N282" i="4"/>
  <c r="N430" i="4"/>
  <c r="N485" i="4"/>
  <c r="N281" i="4"/>
  <c r="N313" i="4"/>
  <c r="N441" i="4"/>
  <c r="N433" i="4"/>
  <c r="N91" i="4"/>
  <c r="N135" i="4"/>
  <c r="N125" i="4"/>
  <c r="N172" i="4"/>
  <c r="N315" i="4"/>
  <c r="N226" i="4"/>
  <c r="N156" i="4"/>
  <c r="N472" i="4"/>
  <c r="N293" i="4"/>
  <c r="N207" i="4"/>
  <c r="N143" i="4"/>
  <c r="N425" i="4"/>
  <c r="N127" i="4"/>
  <c r="N184" i="4"/>
  <c r="N234" i="4"/>
  <c r="N269" i="4"/>
  <c r="N319" i="4"/>
  <c r="N488" i="4"/>
  <c r="N411" i="4"/>
  <c r="N211" i="4"/>
  <c r="N274" i="4"/>
  <c r="N63" i="4"/>
  <c r="N412" i="4"/>
  <c r="N3" i="4"/>
  <c r="N121" i="4"/>
  <c r="N321" i="4"/>
  <c r="N468" i="4"/>
  <c r="N142" i="4"/>
  <c r="N25" i="4"/>
  <c r="N86" i="4"/>
  <c r="N380" i="4"/>
  <c r="N206" i="4"/>
  <c r="N265" i="4"/>
  <c r="N99" i="4"/>
  <c r="N405" i="4"/>
  <c r="N215" i="4"/>
  <c r="N448" i="4"/>
  <c r="N101" i="4"/>
  <c r="N148" i="4"/>
  <c r="N113" i="4"/>
  <c r="N296" i="4"/>
  <c r="N40" i="4"/>
  <c r="N146" i="4"/>
  <c r="N446" i="4"/>
  <c r="N198" i="4"/>
  <c r="N407" i="4"/>
  <c r="N318" i="4"/>
  <c r="N88" i="4"/>
  <c r="N139" i="4"/>
  <c r="N90" i="4"/>
  <c r="N260" i="4"/>
  <c r="N232" i="4"/>
  <c r="N473" i="4"/>
  <c r="N487" i="4"/>
  <c r="N87" i="4"/>
  <c r="N263" i="4"/>
  <c r="N14" i="4"/>
  <c r="N240" i="4"/>
  <c r="N159" i="4"/>
  <c r="N227" i="4"/>
  <c r="N212" i="4"/>
  <c r="N117" i="4"/>
  <c r="N208" i="4"/>
  <c r="N289" i="4"/>
  <c r="N423" i="4"/>
  <c r="N304" i="4"/>
  <c r="N257" i="4"/>
  <c r="N388" i="4"/>
  <c r="N32" i="4"/>
  <c r="N249" i="4"/>
  <c r="N247" i="4"/>
  <c r="N112" i="4"/>
  <c r="N428" i="4"/>
  <c r="N120" i="4"/>
  <c r="N320" i="4"/>
  <c r="N51" i="4"/>
  <c r="N326" i="4"/>
  <c r="N97" i="4"/>
  <c r="N300" i="4"/>
  <c r="N290" i="4"/>
  <c r="N334" i="4"/>
  <c r="N310" i="4"/>
  <c r="N52" i="4"/>
  <c r="N410" i="4"/>
  <c r="N322" i="4"/>
  <c r="N173" i="4"/>
  <c r="N417" i="4"/>
  <c r="N67" i="4"/>
  <c r="N167" i="4"/>
  <c r="N434" i="4"/>
  <c r="N44" i="4"/>
  <c r="N294" i="4"/>
  <c r="N339" i="4"/>
  <c r="N149" i="4"/>
  <c r="N478" i="4"/>
  <c r="N482" i="4"/>
  <c r="N233" i="4"/>
  <c r="N332" i="4"/>
  <c r="N104" i="4"/>
  <c r="N432" i="4"/>
  <c r="N39" i="4"/>
  <c r="N225" i="4"/>
  <c r="N153" i="4"/>
  <c r="N66" i="4"/>
  <c r="N340" i="4"/>
  <c r="N280" i="4"/>
  <c r="N377" i="4"/>
  <c r="N444" i="4"/>
  <c r="N477" i="4"/>
  <c r="N37" i="4"/>
  <c r="N462" i="4"/>
  <c r="N158" i="4"/>
  <c r="N246" i="4"/>
  <c r="N110" i="4"/>
  <c r="N459" i="4"/>
  <c r="N489" i="4"/>
  <c r="N398" i="4"/>
  <c r="N317" i="4"/>
  <c r="N420" i="4"/>
  <c r="N266" i="4"/>
  <c r="N387" i="4"/>
  <c r="N69" i="4"/>
  <c r="N323" i="4"/>
  <c r="N55" i="4"/>
  <c r="N443" i="4"/>
  <c r="N264" i="4"/>
  <c r="N383" i="4"/>
  <c r="N119" i="4"/>
  <c r="N307" i="4"/>
  <c r="N453" i="4"/>
  <c r="N205" i="4"/>
  <c r="N38" i="4"/>
  <c r="N275" i="4"/>
  <c r="N56" i="4"/>
  <c r="N180" i="4"/>
  <c r="N341" i="4"/>
  <c r="N357" i="4"/>
  <c r="N21" i="4"/>
  <c r="N54" i="4"/>
  <c r="N382" i="4"/>
  <c r="N483" i="4"/>
  <c r="N58" i="4"/>
  <c r="N238" i="4"/>
  <c r="N389" i="4"/>
  <c r="N254" i="4"/>
  <c r="N360" i="4"/>
  <c r="N463" i="4"/>
  <c r="N401" i="4"/>
  <c r="N242" i="4"/>
  <c r="N312" i="4"/>
  <c r="N182" i="4"/>
  <c r="N29" i="4"/>
  <c r="N481" i="4"/>
  <c r="N278" i="4"/>
  <c r="N7" i="4"/>
  <c r="N228" i="4"/>
  <c r="N391" i="4"/>
  <c r="N288" i="4"/>
  <c r="N174" i="4"/>
  <c r="N333" i="4"/>
  <c r="N306" i="4"/>
  <c r="N136" i="4"/>
  <c r="N19" i="4"/>
  <c r="N440" i="4"/>
  <c r="N308" i="4"/>
  <c r="N50" i="4"/>
  <c r="N465" i="4"/>
  <c r="N89" i="4"/>
  <c r="N385" i="4"/>
  <c r="N93" i="4"/>
  <c r="N464" i="4"/>
  <c r="N336" i="4"/>
  <c r="N2" i="4"/>
  <c r="N45" i="4"/>
  <c r="N328" i="4"/>
  <c r="N176" i="4"/>
  <c r="N418" i="4"/>
  <c r="N95" i="4"/>
  <c r="N218" i="4"/>
  <c r="N438" i="4"/>
  <c r="N187" i="4"/>
  <c r="N183" i="4"/>
  <c r="N244" i="4"/>
  <c r="N68" i="4"/>
  <c r="N239" i="4"/>
  <c r="N366" i="4"/>
  <c r="N190" i="4"/>
  <c r="N492" i="4"/>
  <c r="N330" i="4"/>
  <c r="N75" i="4"/>
  <c r="N456" i="4"/>
  <c r="N426" i="4"/>
  <c r="N415" i="4"/>
  <c r="N193" i="4"/>
  <c r="N335" i="4"/>
  <c r="N298" i="4"/>
  <c r="N403" i="4"/>
  <c r="N12" i="4"/>
  <c r="N163" i="4"/>
  <c r="N154" i="4"/>
  <c r="N157" i="4"/>
  <c r="N324" i="4"/>
  <c r="N325" i="4"/>
  <c r="N494" i="4"/>
  <c r="N109" i="4"/>
  <c r="N131" i="4"/>
  <c r="N414" i="4"/>
  <c r="N222" i="4"/>
  <c r="N286" i="4"/>
  <c r="N450" i="4"/>
  <c r="N189" i="4"/>
  <c r="N195" i="4"/>
  <c r="N134" i="4"/>
  <c r="N43" i="4"/>
  <c r="N386" i="4"/>
  <c r="N311" i="4"/>
  <c r="N11" i="4"/>
  <c r="N253" i="4"/>
  <c r="N81" i="4"/>
  <c r="N145" i="4"/>
  <c r="N258" i="4"/>
  <c r="N381" i="4"/>
  <c r="N393" i="4"/>
  <c r="N96" i="4"/>
  <c r="N150" i="4"/>
  <c r="N338" i="4"/>
  <c r="N371" i="4"/>
  <c r="N41" i="4"/>
  <c r="N251" i="4"/>
  <c r="N35" i="4"/>
  <c r="N455" i="4"/>
  <c r="N46" i="4"/>
  <c r="N164" i="4"/>
  <c r="N329" i="4"/>
  <c r="N373" i="4"/>
  <c r="N276" i="4"/>
  <c r="N170" i="4"/>
  <c r="N435" i="4"/>
  <c r="N454" i="4"/>
  <c r="N314" i="4"/>
  <c r="N460" i="4"/>
  <c r="N498" i="4"/>
  <c r="N160" i="4"/>
  <c r="N64" i="4"/>
  <c r="N22" i="4"/>
  <c r="N6" i="4"/>
  <c r="N23" i="4"/>
  <c r="N344" i="4"/>
  <c r="N31" i="4"/>
  <c r="N219" i="4"/>
  <c r="N33" i="4"/>
  <c r="N374" i="4"/>
  <c r="N283" i="4"/>
  <c r="N47" i="4"/>
  <c r="N10" i="4"/>
  <c r="N358" i="4"/>
  <c r="N122" i="4"/>
  <c r="N49" i="4"/>
  <c r="N147" i="4"/>
  <c r="N34" i="4"/>
  <c r="N245" i="4"/>
  <c r="N379" i="4"/>
  <c r="N111" i="4"/>
  <c r="N361" i="4"/>
  <c r="N70" i="4"/>
  <c r="N399" i="4"/>
  <c r="N427" i="4"/>
  <c r="N416" i="4"/>
  <c r="N404" i="4"/>
  <c r="N409" i="4"/>
  <c r="N396" i="4"/>
  <c r="N272" i="4"/>
  <c r="N13" i="4"/>
  <c r="N197" i="4"/>
  <c r="N287" i="4"/>
  <c r="N484" i="4"/>
  <c r="N303" i="4"/>
  <c r="N116" i="4"/>
  <c r="N196" i="4"/>
  <c r="N102" i="4"/>
  <c r="N129" i="4"/>
  <c r="N231" i="4"/>
  <c r="N161" i="4"/>
  <c r="N138" i="4"/>
  <c r="N84" i="4"/>
  <c r="N73" i="4"/>
  <c r="N235" i="4"/>
  <c r="N85" i="4"/>
  <c r="N16" i="4"/>
  <c r="N213" i="4"/>
  <c r="N229" i="4"/>
  <c r="N267" i="4"/>
  <c r="N199" i="4"/>
  <c r="N128" i="4"/>
  <c r="N200" i="4"/>
  <c r="N42" i="4"/>
  <c r="N59" i="4"/>
  <c r="N181" i="4"/>
  <c r="N78" i="4"/>
  <c r="N486" i="4"/>
  <c r="N495" i="4"/>
  <c r="N107" i="4"/>
  <c r="N204" i="4"/>
  <c r="N346" i="4"/>
  <c r="N295" i="4"/>
  <c r="N30" i="4"/>
  <c r="N165" i="4"/>
  <c r="N390" i="4"/>
  <c r="N439" i="4"/>
  <c r="N467" i="4"/>
  <c r="N347" i="4"/>
  <c r="N8" i="4"/>
  <c r="N118" i="4"/>
  <c r="N476" i="4"/>
  <c r="N137" i="4"/>
  <c r="N141" i="4"/>
  <c r="N94" i="4"/>
  <c r="N470" i="4"/>
  <c r="N452" i="4"/>
  <c r="N359" i="4"/>
  <c r="N402" i="4"/>
  <c r="N250" i="4"/>
  <c r="N316" i="4"/>
  <c r="N155" i="4"/>
  <c r="N203" i="4"/>
  <c r="N461" i="4"/>
  <c r="N342" i="4"/>
  <c r="N469" i="4"/>
  <c r="N220" i="4"/>
  <c r="N301" i="4"/>
  <c r="N376" i="4"/>
  <c r="N348" i="4"/>
  <c r="N349" i="4"/>
  <c r="N18" i="4"/>
  <c r="N378" i="4"/>
  <c r="N270" i="4"/>
  <c r="N26" i="4"/>
  <c r="N447" i="4"/>
  <c r="N201" i="4"/>
  <c r="N209" i="4"/>
  <c r="N395" i="4"/>
  <c r="N493" i="4"/>
  <c r="N105" i="4"/>
  <c r="N115" i="4"/>
  <c r="N350" i="4"/>
  <c r="N24" i="4"/>
  <c r="N9" i="4"/>
  <c r="N351" i="4"/>
  <c r="N436" i="4"/>
  <c r="N291" i="4"/>
  <c r="N442" i="4"/>
  <c r="N15" i="4"/>
  <c r="N80" i="4"/>
  <c r="N192" i="4"/>
  <c r="N352" i="4"/>
  <c r="N353" i="4"/>
  <c r="N413" i="4"/>
  <c r="N177" i="4"/>
  <c r="N480" i="4"/>
  <c r="N299" i="4"/>
  <c r="N178" i="4"/>
  <c r="N106" i="4"/>
  <c r="N179" i="4"/>
  <c r="N82" i="4"/>
  <c r="N354" i="4"/>
  <c r="N48" i="4"/>
  <c r="N355" i="4"/>
  <c r="N100" i="4"/>
  <c r="N490" i="4"/>
  <c r="N279" i="4"/>
  <c r="N4" i="4"/>
  <c r="N175" i="4"/>
  <c r="N17" i="4"/>
  <c r="N243" i="4"/>
  <c r="N457" i="4"/>
  <c r="N60" i="4"/>
  <c r="N83" i="4"/>
  <c r="N191" i="4"/>
  <c r="N144" i="4"/>
  <c r="N451" i="4"/>
  <c r="N309" i="4"/>
  <c r="N103" i="4"/>
  <c r="N305" i="4"/>
  <c r="N356" i="4"/>
  <c r="N368" i="4"/>
  <c r="N53" i="4"/>
  <c r="N230" i="4"/>
  <c r="N400" i="4"/>
  <c r="N345" i="4"/>
  <c r="N429" i="4"/>
  <c r="N188" i="4"/>
  <c r="N217" i="4"/>
  <c r="N419" i="4"/>
  <c r="N466" i="4"/>
  <c r="N284" i="4"/>
  <c r="N168" i="4"/>
  <c r="N406" i="4"/>
  <c r="N171" i="4"/>
  <c r="N285" i="4"/>
  <c r="N497" i="4"/>
  <c r="N369" i="4"/>
  <c r="N475" i="4"/>
  <c r="N108" i="4"/>
  <c r="N237" i="4"/>
  <c r="N297" i="4"/>
  <c r="N458" i="4"/>
  <c r="N166" i="4"/>
  <c r="N363" i="4"/>
  <c r="N27" i="4"/>
  <c r="N337" i="4"/>
  <c r="N133" i="4"/>
  <c r="N216" i="4"/>
  <c r="N202" i="4"/>
  <c r="N367" i="4"/>
  <c r="N392" i="4"/>
  <c r="N20" i="4"/>
  <c r="N273" i="4"/>
  <c r="N65" i="4"/>
  <c r="N223" i="4"/>
  <c r="N394" i="4"/>
  <c r="N98" i="4"/>
  <c r="N362" i="4"/>
  <c r="N140" i="4"/>
  <c r="N424" i="4"/>
  <c r="N302" i="4"/>
  <c r="N384" i="4"/>
  <c r="N61" i="4"/>
  <c r="N74" i="4"/>
  <c r="N152" i="4"/>
  <c r="N36" i="4"/>
  <c r="N445" i="4"/>
  <c r="N408" i="4"/>
  <c r="N210" i="4"/>
  <c r="N162" i="4"/>
  <c r="N221" i="4"/>
  <c r="N114" i="4"/>
  <c r="N72" i="4"/>
  <c r="N422" i="4"/>
  <c r="N370" i="4"/>
  <c r="N331" i="4"/>
  <c r="N57" i="4"/>
  <c r="N327" i="4"/>
  <c r="N62" i="4"/>
  <c r="N169" i="4"/>
  <c r="N241" i="4"/>
  <c r="N76" i="4"/>
  <c r="N77" i="4"/>
  <c r="N236" i="4"/>
  <c r="N132" i="4"/>
  <c r="N277" i="4"/>
  <c r="N252" i="4"/>
  <c r="N28" i="4"/>
  <c r="N248" i="4"/>
  <c r="N431" i="4"/>
  <c r="N268" i="4"/>
  <c r="N126" i="4"/>
  <c r="N471" i="4"/>
  <c r="N92" i="4"/>
  <c r="N271" i="4"/>
  <c r="N5" i="4"/>
  <c r="N261" i="4"/>
  <c r="N79" i="4"/>
  <c r="N186" i="4"/>
  <c r="N194" i="4"/>
  <c r="N123" i="4"/>
  <c r="N479" i="4"/>
  <c r="N364" i="4"/>
  <c r="N214" i="4"/>
  <c r="N130" i="4"/>
  <c r="N259" i="4"/>
  <c r="N185" i="4"/>
  <c r="N421" i="4"/>
  <c r="N262" i="4"/>
  <c r="N256" i="4"/>
  <c r="N397" i="4"/>
  <c r="N437" i="4"/>
  <c r="N343" i="4"/>
  <c r="N71" i="4"/>
  <c r="N375" i="4"/>
  <c r="N224" i="4"/>
  <c r="N151" i="4"/>
  <c r="N365" i="4"/>
  <c r="N255" i="4"/>
  <c r="N292" i="4"/>
  <c r="N474" i="4"/>
  <c r="M449" i="4"/>
  <c r="M372" i="4"/>
  <c r="M124" i="4"/>
  <c r="M282" i="4"/>
  <c r="M430" i="4"/>
  <c r="M485" i="4"/>
  <c r="M281" i="4"/>
  <c r="M313" i="4"/>
  <c r="M441" i="4"/>
  <c r="M433" i="4"/>
  <c r="M91" i="4"/>
  <c r="M135" i="4"/>
  <c r="M125" i="4"/>
  <c r="M172" i="4"/>
  <c r="M315" i="4"/>
  <c r="M226" i="4"/>
  <c r="M156" i="4"/>
  <c r="M472" i="4"/>
  <c r="M293" i="4"/>
  <c r="M207" i="4"/>
  <c r="M143" i="4"/>
  <c r="M425" i="4"/>
  <c r="M127" i="4"/>
  <c r="M184" i="4"/>
  <c r="M234" i="4"/>
  <c r="M269" i="4"/>
  <c r="M319" i="4"/>
  <c r="M488" i="4"/>
  <c r="M411" i="4"/>
  <c r="M211" i="4"/>
  <c r="M274" i="4"/>
  <c r="M63" i="4"/>
  <c r="M412" i="4"/>
  <c r="M3" i="4"/>
  <c r="M121" i="4"/>
  <c r="M321" i="4"/>
  <c r="M468" i="4"/>
  <c r="M142" i="4"/>
  <c r="M25" i="4"/>
  <c r="M86" i="4"/>
  <c r="M380" i="4"/>
  <c r="M206" i="4"/>
  <c r="M265" i="4"/>
  <c r="M99" i="4"/>
  <c r="M405" i="4"/>
  <c r="M215" i="4"/>
  <c r="M448" i="4"/>
  <c r="M101" i="4"/>
  <c r="M148" i="4"/>
  <c r="M113" i="4"/>
  <c r="M296" i="4"/>
  <c r="M40" i="4"/>
  <c r="M146" i="4"/>
  <c r="M446" i="4"/>
  <c r="M198" i="4"/>
  <c r="M407" i="4"/>
  <c r="M318" i="4"/>
  <c r="M88" i="4"/>
  <c r="M139" i="4"/>
  <c r="M90" i="4"/>
  <c r="M260" i="4"/>
  <c r="M232" i="4"/>
  <c r="M473" i="4"/>
  <c r="M487" i="4"/>
  <c r="M87" i="4"/>
  <c r="M263" i="4"/>
  <c r="M14" i="4"/>
  <c r="M240" i="4"/>
  <c r="M159" i="4"/>
  <c r="M227" i="4"/>
  <c r="M212" i="4"/>
  <c r="M117" i="4"/>
  <c r="M208" i="4"/>
  <c r="M289" i="4"/>
  <c r="M423" i="4"/>
  <c r="M304" i="4"/>
  <c r="M257" i="4"/>
  <c r="M388" i="4"/>
  <c r="M32" i="4"/>
  <c r="M249" i="4"/>
  <c r="M247" i="4"/>
  <c r="M112" i="4"/>
  <c r="M428" i="4"/>
  <c r="M120" i="4"/>
  <c r="M320" i="4"/>
  <c r="M51" i="4"/>
  <c r="M326" i="4"/>
  <c r="M97" i="4"/>
  <c r="M300" i="4"/>
  <c r="M290" i="4"/>
  <c r="M334" i="4"/>
  <c r="M310" i="4"/>
  <c r="M52" i="4"/>
  <c r="M410" i="4"/>
  <c r="M322" i="4"/>
  <c r="M173" i="4"/>
  <c r="M417" i="4"/>
  <c r="M67" i="4"/>
  <c r="M167" i="4"/>
  <c r="M434" i="4"/>
  <c r="M44" i="4"/>
  <c r="M294" i="4"/>
  <c r="M339" i="4"/>
  <c r="M149" i="4"/>
  <c r="M478" i="4"/>
  <c r="M482" i="4"/>
  <c r="M233" i="4"/>
  <c r="M332" i="4"/>
  <c r="M104" i="4"/>
  <c r="M432" i="4"/>
  <c r="M39" i="4"/>
  <c r="M225" i="4"/>
  <c r="M153" i="4"/>
  <c r="M66" i="4"/>
  <c r="M340" i="4"/>
  <c r="M280" i="4"/>
  <c r="M377" i="4"/>
  <c r="M444" i="4"/>
  <c r="M477" i="4"/>
  <c r="M37" i="4"/>
  <c r="M462" i="4"/>
  <c r="M158" i="4"/>
  <c r="M246" i="4"/>
  <c r="M110" i="4"/>
  <c r="M459" i="4"/>
  <c r="M489" i="4"/>
  <c r="M398" i="4"/>
  <c r="M317" i="4"/>
  <c r="M420" i="4"/>
  <c r="M266" i="4"/>
  <c r="M387" i="4"/>
  <c r="M69" i="4"/>
  <c r="M323" i="4"/>
  <c r="M55" i="4"/>
  <c r="M443" i="4"/>
  <c r="M264" i="4"/>
  <c r="M383" i="4"/>
  <c r="M119" i="4"/>
  <c r="M307" i="4"/>
  <c r="M453" i="4"/>
  <c r="M205" i="4"/>
  <c r="M38" i="4"/>
  <c r="M275" i="4"/>
  <c r="M56" i="4"/>
  <c r="M180" i="4"/>
  <c r="M341" i="4"/>
  <c r="M357" i="4"/>
  <c r="M21" i="4"/>
  <c r="M54" i="4"/>
  <c r="M382" i="4"/>
  <c r="M483" i="4"/>
  <c r="M58" i="4"/>
  <c r="M238" i="4"/>
  <c r="M389" i="4"/>
  <c r="M254" i="4"/>
  <c r="M360" i="4"/>
  <c r="M463" i="4"/>
  <c r="M401" i="4"/>
  <c r="M242" i="4"/>
  <c r="M312" i="4"/>
  <c r="M182" i="4"/>
  <c r="M29" i="4"/>
  <c r="M481" i="4"/>
  <c r="M278" i="4"/>
  <c r="M7" i="4"/>
  <c r="M228" i="4"/>
  <c r="M391" i="4"/>
  <c r="M288" i="4"/>
  <c r="M174" i="4"/>
  <c r="M333" i="4"/>
  <c r="M306" i="4"/>
  <c r="M136" i="4"/>
  <c r="M19" i="4"/>
  <c r="M440" i="4"/>
  <c r="M308" i="4"/>
  <c r="M50" i="4"/>
  <c r="M465" i="4"/>
  <c r="M89" i="4"/>
  <c r="M385" i="4"/>
  <c r="M93" i="4"/>
  <c r="M464" i="4"/>
  <c r="M336" i="4"/>
  <c r="M2" i="4"/>
  <c r="M45" i="4"/>
  <c r="M328" i="4"/>
  <c r="M176" i="4"/>
  <c r="M418" i="4"/>
  <c r="M95" i="4"/>
  <c r="M218" i="4"/>
  <c r="M438" i="4"/>
  <c r="M187" i="4"/>
  <c r="M183" i="4"/>
  <c r="M244" i="4"/>
  <c r="M68" i="4"/>
  <c r="M239" i="4"/>
  <c r="M366" i="4"/>
  <c r="M190" i="4"/>
  <c r="M492" i="4"/>
  <c r="M330" i="4"/>
  <c r="M75" i="4"/>
  <c r="M456" i="4"/>
  <c r="M426" i="4"/>
  <c r="M415" i="4"/>
  <c r="M193" i="4"/>
  <c r="M335" i="4"/>
  <c r="M298" i="4"/>
  <c r="M403" i="4"/>
  <c r="M12" i="4"/>
  <c r="M163" i="4"/>
  <c r="M154" i="4"/>
  <c r="M157" i="4"/>
  <c r="M324" i="4"/>
  <c r="M325" i="4"/>
  <c r="M494" i="4"/>
  <c r="M109" i="4"/>
  <c r="M131" i="4"/>
  <c r="M414" i="4"/>
  <c r="M222" i="4"/>
  <c r="M286" i="4"/>
  <c r="M450" i="4"/>
  <c r="M189" i="4"/>
  <c r="M195" i="4"/>
  <c r="M134" i="4"/>
  <c r="M43" i="4"/>
  <c r="M386" i="4"/>
  <c r="M311" i="4"/>
  <c r="M11" i="4"/>
  <c r="M253" i="4"/>
  <c r="M81" i="4"/>
  <c r="M145" i="4"/>
  <c r="M258" i="4"/>
  <c r="M381" i="4"/>
  <c r="M393" i="4"/>
  <c r="M96" i="4"/>
  <c r="M150" i="4"/>
  <c r="M338" i="4"/>
  <c r="M371" i="4"/>
  <c r="M41" i="4"/>
  <c r="M251" i="4"/>
  <c r="M35" i="4"/>
  <c r="M455" i="4"/>
  <c r="M46" i="4"/>
  <c r="M164" i="4"/>
  <c r="M329" i="4"/>
  <c r="M373" i="4"/>
  <c r="M276" i="4"/>
  <c r="M170" i="4"/>
  <c r="M435" i="4"/>
  <c r="M454" i="4"/>
  <c r="M314" i="4"/>
  <c r="M460" i="4"/>
  <c r="M498" i="4"/>
  <c r="M160" i="4"/>
  <c r="M64" i="4"/>
  <c r="M22" i="4"/>
  <c r="M6" i="4"/>
  <c r="M23" i="4"/>
  <c r="M344" i="4"/>
  <c r="M31" i="4"/>
  <c r="M219" i="4"/>
  <c r="M33" i="4"/>
  <c r="M374" i="4"/>
  <c r="M283" i="4"/>
  <c r="M47" i="4"/>
  <c r="M10" i="4"/>
  <c r="M358" i="4"/>
  <c r="M122" i="4"/>
  <c r="M49" i="4"/>
  <c r="M147" i="4"/>
  <c r="M34" i="4"/>
  <c r="M245" i="4"/>
  <c r="M379" i="4"/>
  <c r="M111" i="4"/>
  <c r="M361" i="4"/>
  <c r="M70" i="4"/>
  <c r="M399" i="4"/>
  <c r="M427" i="4"/>
  <c r="M416" i="4"/>
  <c r="M404" i="4"/>
  <c r="M409" i="4"/>
  <c r="M396" i="4"/>
  <c r="M272" i="4"/>
  <c r="M13" i="4"/>
  <c r="M197" i="4"/>
  <c r="M287" i="4"/>
  <c r="M484" i="4"/>
  <c r="M303" i="4"/>
  <c r="M116" i="4"/>
  <c r="M196" i="4"/>
  <c r="M102" i="4"/>
  <c r="M129" i="4"/>
  <c r="M231" i="4"/>
  <c r="M161" i="4"/>
  <c r="M138" i="4"/>
  <c r="M84" i="4"/>
  <c r="M73" i="4"/>
  <c r="M235" i="4"/>
  <c r="M85" i="4"/>
  <c r="M16" i="4"/>
  <c r="M213" i="4"/>
  <c r="M229" i="4"/>
  <c r="M267" i="4"/>
  <c r="M199" i="4"/>
  <c r="M128" i="4"/>
  <c r="M200" i="4"/>
  <c r="M42" i="4"/>
  <c r="M59" i="4"/>
  <c r="M181" i="4"/>
  <c r="M78" i="4"/>
  <c r="M486" i="4"/>
  <c r="M495" i="4"/>
  <c r="M107" i="4"/>
  <c r="M204" i="4"/>
  <c r="M346" i="4"/>
  <c r="M295" i="4"/>
  <c r="M30" i="4"/>
  <c r="M165" i="4"/>
  <c r="M390" i="4"/>
  <c r="M439" i="4"/>
  <c r="M467" i="4"/>
  <c r="M347" i="4"/>
  <c r="M8" i="4"/>
  <c r="M118" i="4"/>
  <c r="M476" i="4"/>
  <c r="M137" i="4"/>
  <c r="M141" i="4"/>
  <c r="M94" i="4"/>
  <c r="M470" i="4"/>
  <c r="M452" i="4"/>
  <c r="M359" i="4"/>
  <c r="M402" i="4"/>
  <c r="M250" i="4"/>
  <c r="M316" i="4"/>
  <c r="M155" i="4"/>
  <c r="M203" i="4"/>
  <c r="M461" i="4"/>
  <c r="M342" i="4"/>
  <c r="M469" i="4"/>
  <c r="M220" i="4"/>
  <c r="M301" i="4"/>
  <c r="M376" i="4"/>
  <c r="M348" i="4"/>
  <c r="M349" i="4"/>
  <c r="M18" i="4"/>
  <c r="M378" i="4"/>
  <c r="M270" i="4"/>
  <c r="M26" i="4"/>
  <c r="M447" i="4"/>
  <c r="M201" i="4"/>
  <c r="M209" i="4"/>
  <c r="M395" i="4"/>
  <c r="M493" i="4"/>
  <c r="M105" i="4"/>
  <c r="M115" i="4"/>
  <c r="M350" i="4"/>
  <c r="M24" i="4"/>
  <c r="M9" i="4"/>
  <c r="M351" i="4"/>
  <c r="M436" i="4"/>
  <c r="M291" i="4"/>
  <c r="M442" i="4"/>
  <c r="M15" i="4"/>
  <c r="M80" i="4"/>
  <c r="M192" i="4"/>
  <c r="M352" i="4"/>
  <c r="M353" i="4"/>
  <c r="M413" i="4"/>
  <c r="M177" i="4"/>
  <c r="M480" i="4"/>
  <c r="M299" i="4"/>
  <c r="M178" i="4"/>
  <c r="M106" i="4"/>
  <c r="M179" i="4"/>
  <c r="M82" i="4"/>
  <c r="M354" i="4"/>
  <c r="M48" i="4"/>
  <c r="M355" i="4"/>
  <c r="M100" i="4"/>
  <c r="M490" i="4"/>
  <c r="M279" i="4"/>
  <c r="M4" i="4"/>
  <c r="M175" i="4"/>
  <c r="M17" i="4"/>
  <c r="M243" i="4"/>
  <c r="M457" i="4"/>
  <c r="M60" i="4"/>
  <c r="M83" i="4"/>
  <c r="M191" i="4"/>
  <c r="M144" i="4"/>
  <c r="M451" i="4"/>
  <c r="M309" i="4"/>
  <c r="M103" i="4"/>
  <c r="M305" i="4"/>
  <c r="M356" i="4"/>
  <c r="M368" i="4"/>
  <c r="M53" i="4"/>
  <c r="M230" i="4"/>
  <c r="M400" i="4"/>
  <c r="M345" i="4"/>
  <c r="M429" i="4"/>
  <c r="M188" i="4"/>
  <c r="M217" i="4"/>
  <c r="M419" i="4"/>
  <c r="M466" i="4"/>
  <c r="M284" i="4"/>
  <c r="M168" i="4"/>
  <c r="M406" i="4"/>
  <c r="M171" i="4"/>
  <c r="M285" i="4"/>
  <c r="M497" i="4"/>
  <c r="M369" i="4"/>
  <c r="M475" i="4"/>
  <c r="M108" i="4"/>
  <c r="M237" i="4"/>
  <c r="M297" i="4"/>
  <c r="M458" i="4"/>
  <c r="M166" i="4"/>
  <c r="M363" i="4"/>
  <c r="M27" i="4"/>
  <c r="M337" i="4"/>
  <c r="M133" i="4"/>
  <c r="M216" i="4"/>
  <c r="M202" i="4"/>
  <c r="M367" i="4"/>
  <c r="M392" i="4"/>
  <c r="M20" i="4"/>
  <c r="M273" i="4"/>
  <c r="M65" i="4"/>
  <c r="M223" i="4"/>
  <c r="M394" i="4"/>
  <c r="M98" i="4"/>
  <c r="M362" i="4"/>
  <c r="M140" i="4"/>
  <c r="M424" i="4"/>
  <c r="M302" i="4"/>
  <c r="M384" i="4"/>
  <c r="M61" i="4"/>
  <c r="M74" i="4"/>
  <c r="M152" i="4"/>
  <c r="M36" i="4"/>
  <c r="M445" i="4"/>
  <c r="M408" i="4"/>
  <c r="M210" i="4"/>
  <c r="M162" i="4"/>
  <c r="M221" i="4"/>
  <c r="M114" i="4"/>
  <c r="M72" i="4"/>
  <c r="M422" i="4"/>
  <c r="M370" i="4"/>
  <c r="M331" i="4"/>
  <c r="M57" i="4"/>
  <c r="M327" i="4"/>
  <c r="M62" i="4"/>
  <c r="M169" i="4"/>
  <c r="M241" i="4"/>
  <c r="M76" i="4"/>
  <c r="M77" i="4"/>
  <c r="M236" i="4"/>
  <c r="M132" i="4"/>
  <c r="M277" i="4"/>
  <c r="M252" i="4"/>
  <c r="M28" i="4"/>
  <c r="M248" i="4"/>
  <c r="M431" i="4"/>
  <c r="M268" i="4"/>
  <c r="M126" i="4"/>
  <c r="M471" i="4"/>
  <c r="M92" i="4"/>
  <c r="M271" i="4"/>
  <c r="M5" i="4"/>
  <c r="M261" i="4"/>
  <c r="M79" i="4"/>
  <c r="M186" i="4"/>
  <c r="M194" i="4"/>
  <c r="M123" i="4"/>
  <c r="M479" i="4"/>
  <c r="M364" i="4"/>
  <c r="M214" i="4"/>
  <c r="M130" i="4"/>
  <c r="M259" i="4"/>
  <c r="M185" i="4"/>
  <c r="M421" i="4"/>
  <c r="M262" i="4"/>
  <c r="M256" i="4"/>
  <c r="M397" i="4"/>
  <c r="M437" i="4"/>
  <c r="M343" i="4"/>
  <c r="M71" i="4"/>
  <c r="M375" i="4"/>
  <c r="M224" i="4"/>
  <c r="M151" i="4"/>
  <c r="M365" i="4"/>
  <c r="M255" i="4"/>
  <c r="M292" i="4"/>
  <c r="M474" i="4"/>
  <c r="J449" i="4"/>
  <c r="J372" i="4"/>
  <c r="J124" i="4"/>
  <c r="J282" i="4"/>
  <c r="J430" i="4"/>
  <c r="J485" i="4"/>
  <c r="J281" i="4"/>
  <c r="J313" i="4"/>
  <c r="J441" i="4"/>
  <c r="J433" i="4"/>
  <c r="J91" i="4"/>
  <c r="J135" i="4"/>
  <c r="J125" i="4"/>
  <c r="J172" i="4"/>
  <c r="J315" i="4"/>
  <c r="J226" i="4"/>
  <c r="J156" i="4"/>
  <c r="J472" i="4"/>
  <c r="J293" i="4"/>
  <c r="J207" i="4"/>
  <c r="J143" i="4"/>
  <c r="J425" i="4"/>
  <c r="J127" i="4"/>
  <c r="J184" i="4"/>
  <c r="J234" i="4"/>
  <c r="J269" i="4"/>
  <c r="J319" i="4"/>
  <c r="J488" i="4"/>
  <c r="J411" i="4"/>
  <c r="J211" i="4"/>
  <c r="J274" i="4"/>
  <c r="J63" i="4"/>
  <c r="J412" i="4"/>
  <c r="J3" i="4"/>
  <c r="J121" i="4"/>
  <c r="J321" i="4"/>
  <c r="J468" i="4"/>
  <c r="J142" i="4"/>
  <c r="J25" i="4"/>
  <c r="J86" i="4"/>
  <c r="J380" i="4"/>
  <c r="J206" i="4"/>
  <c r="J265" i="4"/>
  <c r="J99" i="4"/>
  <c r="J405" i="4"/>
  <c r="J215" i="4"/>
  <c r="J448" i="4"/>
  <c r="J101" i="4"/>
  <c r="J148" i="4"/>
  <c r="J113" i="4"/>
  <c r="J296" i="4"/>
  <c r="J40" i="4"/>
  <c r="J146" i="4"/>
  <c r="J446" i="4"/>
  <c r="J198" i="4"/>
  <c r="J407" i="4"/>
  <c r="J318" i="4"/>
  <c r="J88" i="4"/>
  <c r="J139" i="4"/>
  <c r="J90" i="4"/>
  <c r="J260" i="4"/>
  <c r="J232" i="4"/>
  <c r="J473" i="4"/>
  <c r="J487" i="4"/>
  <c r="J87" i="4"/>
  <c r="J263" i="4"/>
  <c r="J14" i="4"/>
  <c r="J240" i="4"/>
  <c r="J159" i="4"/>
  <c r="J227" i="4"/>
  <c r="J212" i="4"/>
  <c r="J117" i="4"/>
  <c r="J208" i="4"/>
  <c r="J289" i="4"/>
  <c r="J423" i="4"/>
  <c r="J304" i="4"/>
  <c r="J257" i="4"/>
  <c r="J388" i="4"/>
  <c r="J32" i="4"/>
  <c r="J249" i="4"/>
  <c r="J247" i="4"/>
  <c r="J112" i="4"/>
  <c r="J428" i="4"/>
  <c r="J120" i="4"/>
  <c r="J320" i="4"/>
  <c r="J51" i="4"/>
  <c r="J326" i="4"/>
  <c r="J97" i="4"/>
  <c r="J300" i="4"/>
  <c r="J290" i="4"/>
  <c r="J334" i="4"/>
  <c r="J310" i="4"/>
  <c r="J52" i="4"/>
  <c r="J410" i="4"/>
  <c r="J322" i="4"/>
  <c r="J173" i="4"/>
  <c r="J417" i="4"/>
  <c r="J67" i="4"/>
  <c r="J167" i="4"/>
  <c r="J434" i="4"/>
  <c r="J44" i="4"/>
  <c r="J294" i="4"/>
  <c r="J339" i="4"/>
  <c r="J149" i="4"/>
  <c r="J478" i="4"/>
  <c r="J482" i="4"/>
  <c r="J233" i="4"/>
  <c r="J332" i="4"/>
  <c r="J104" i="4"/>
  <c r="J432" i="4"/>
  <c r="J39" i="4"/>
  <c r="J225" i="4"/>
  <c r="J153" i="4"/>
  <c r="J66" i="4"/>
  <c r="J340" i="4"/>
  <c r="J280" i="4"/>
  <c r="J377" i="4"/>
  <c r="J444" i="4"/>
  <c r="J477" i="4"/>
  <c r="J37" i="4"/>
  <c r="J462" i="4"/>
  <c r="J158" i="4"/>
  <c r="J246" i="4"/>
  <c r="J110" i="4"/>
  <c r="J459" i="4"/>
  <c r="J489" i="4"/>
  <c r="J398" i="4"/>
  <c r="J317" i="4"/>
  <c r="J420" i="4"/>
  <c r="J266" i="4"/>
  <c r="J387" i="4"/>
  <c r="J69" i="4"/>
  <c r="J323" i="4"/>
  <c r="J55" i="4"/>
  <c r="J443" i="4"/>
  <c r="J264" i="4"/>
  <c r="J383" i="4"/>
  <c r="J119" i="4"/>
  <c r="J307" i="4"/>
  <c r="J453" i="4"/>
  <c r="J205" i="4"/>
  <c r="J38" i="4"/>
  <c r="J275" i="4"/>
  <c r="J56" i="4"/>
  <c r="J180" i="4"/>
  <c r="J341" i="4"/>
  <c r="J357" i="4"/>
  <c r="J21" i="4"/>
  <c r="J54" i="4"/>
  <c r="J382" i="4"/>
  <c r="J483" i="4"/>
  <c r="J58" i="4"/>
  <c r="J238" i="4"/>
  <c r="J389" i="4"/>
  <c r="J254" i="4"/>
  <c r="J360" i="4"/>
  <c r="J463" i="4"/>
  <c r="J401" i="4"/>
  <c r="J242" i="4"/>
  <c r="J312" i="4"/>
  <c r="J182" i="4"/>
  <c r="J29" i="4"/>
  <c r="J481" i="4"/>
  <c r="J278" i="4"/>
  <c r="J7" i="4"/>
  <c r="J228" i="4"/>
  <c r="J391" i="4"/>
  <c r="J288" i="4"/>
  <c r="J174" i="4"/>
  <c r="J333" i="4"/>
  <c r="J306" i="4"/>
  <c r="J136" i="4"/>
  <c r="J19" i="4"/>
  <c r="J440" i="4"/>
  <c r="J308" i="4"/>
  <c r="J50" i="4"/>
  <c r="J465" i="4"/>
  <c r="J89" i="4"/>
  <c r="J385" i="4"/>
  <c r="J93" i="4"/>
  <c r="J464" i="4"/>
  <c r="J336" i="4"/>
  <c r="J2" i="4"/>
  <c r="J45" i="4"/>
  <c r="J328" i="4"/>
  <c r="J176" i="4"/>
  <c r="J418" i="4"/>
  <c r="J95" i="4"/>
  <c r="J218" i="4"/>
  <c r="J438" i="4"/>
  <c r="J187" i="4"/>
  <c r="J183" i="4"/>
  <c r="J244" i="4"/>
  <c r="J68" i="4"/>
  <c r="J239" i="4"/>
  <c r="J366" i="4"/>
  <c r="J190" i="4"/>
  <c r="J492" i="4"/>
  <c r="J330" i="4"/>
  <c r="J75" i="4"/>
  <c r="J456" i="4"/>
  <c r="J426" i="4"/>
  <c r="J415" i="4"/>
  <c r="J193" i="4"/>
  <c r="J335" i="4"/>
  <c r="J298" i="4"/>
  <c r="J403" i="4"/>
  <c r="J12" i="4"/>
  <c r="J163" i="4"/>
  <c r="J154" i="4"/>
  <c r="J157" i="4"/>
  <c r="J324" i="4"/>
  <c r="J325" i="4"/>
  <c r="J494" i="4"/>
  <c r="J109" i="4"/>
  <c r="J131" i="4"/>
  <c r="J414" i="4"/>
  <c r="J222" i="4"/>
  <c r="J286" i="4"/>
  <c r="J450" i="4"/>
  <c r="J189" i="4"/>
  <c r="J195" i="4"/>
  <c r="J134" i="4"/>
  <c r="J43" i="4"/>
  <c r="J386" i="4"/>
  <c r="J311" i="4"/>
  <c r="J11" i="4"/>
  <c r="J253" i="4"/>
  <c r="J81" i="4"/>
  <c r="J145" i="4"/>
  <c r="J258" i="4"/>
  <c r="J381" i="4"/>
  <c r="J393" i="4"/>
  <c r="J96" i="4"/>
  <c r="J150" i="4"/>
  <c r="J338" i="4"/>
  <c r="J371" i="4"/>
  <c r="J41" i="4"/>
  <c r="J251" i="4"/>
  <c r="J35" i="4"/>
  <c r="J455" i="4"/>
  <c r="J46" i="4"/>
  <c r="J164" i="4"/>
  <c r="J329" i="4"/>
  <c r="J373" i="4"/>
  <c r="J276" i="4"/>
  <c r="J170" i="4"/>
  <c r="J435" i="4"/>
  <c r="J454" i="4"/>
  <c r="J314" i="4"/>
  <c r="J460" i="4"/>
  <c r="J498" i="4"/>
  <c r="J160" i="4"/>
  <c r="J64" i="4"/>
  <c r="J22" i="4"/>
  <c r="J6" i="4"/>
  <c r="J23" i="4"/>
  <c r="J344" i="4"/>
  <c r="J31" i="4"/>
  <c r="J219" i="4"/>
  <c r="J33" i="4"/>
  <c r="J374" i="4"/>
  <c r="J283" i="4"/>
  <c r="J47" i="4"/>
  <c r="J10" i="4"/>
  <c r="J358" i="4"/>
  <c r="J122" i="4"/>
  <c r="J49" i="4"/>
  <c r="J147" i="4"/>
  <c r="J34" i="4"/>
  <c r="J245" i="4"/>
  <c r="J379" i="4"/>
  <c r="J111" i="4"/>
  <c r="J361" i="4"/>
  <c r="J70" i="4"/>
  <c r="J399" i="4"/>
  <c r="J427" i="4"/>
  <c r="J416" i="4"/>
  <c r="J404" i="4"/>
  <c r="J409" i="4"/>
  <c r="J396" i="4"/>
  <c r="J272" i="4"/>
  <c r="J13" i="4"/>
  <c r="J197" i="4"/>
  <c r="J287" i="4"/>
  <c r="J484" i="4"/>
  <c r="J303" i="4"/>
  <c r="J116" i="4"/>
  <c r="J196" i="4"/>
  <c r="J102" i="4"/>
  <c r="J129" i="4"/>
  <c r="J231" i="4"/>
  <c r="J161" i="4"/>
  <c r="J138" i="4"/>
  <c r="J84" i="4"/>
  <c r="J73" i="4"/>
  <c r="J235" i="4"/>
  <c r="J85" i="4"/>
  <c r="J16" i="4"/>
  <c r="J213" i="4"/>
  <c r="J229" i="4"/>
  <c r="J267" i="4"/>
  <c r="J199" i="4"/>
  <c r="J128" i="4"/>
  <c r="J200" i="4"/>
  <c r="J42" i="4"/>
  <c r="J59" i="4"/>
  <c r="J181" i="4"/>
  <c r="J78" i="4"/>
  <c r="J486" i="4"/>
  <c r="J495" i="4"/>
  <c r="J107" i="4"/>
  <c r="J204" i="4"/>
  <c r="J346" i="4"/>
  <c r="J295" i="4"/>
  <c r="J30" i="4"/>
  <c r="J165" i="4"/>
  <c r="J390" i="4"/>
  <c r="J439" i="4"/>
  <c r="J467" i="4"/>
  <c r="J347" i="4"/>
  <c r="J8" i="4"/>
  <c r="J118" i="4"/>
  <c r="J476" i="4"/>
  <c r="J137" i="4"/>
  <c r="J141" i="4"/>
  <c r="J94" i="4"/>
  <c r="J470" i="4"/>
  <c r="J452" i="4"/>
  <c r="J359" i="4"/>
  <c r="J402" i="4"/>
  <c r="J250" i="4"/>
  <c r="J316" i="4"/>
  <c r="J155" i="4"/>
  <c r="J203" i="4"/>
  <c r="J461" i="4"/>
  <c r="J342" i="4"/>
  <c r="J469" i="4"/>
  <c r="J220" i="4"/>
  <c r="J301" i="4"/>
  <c r="J376" i="4"/>
  <c r="J348" i="4"/>
  <c r="J349" i="4"/>
  <c r="J18" i="4"/>
  <c r="J378" i="4"/>
  <c r="J270" i="4"/>
  <c r="J26" i="4"/>
  <c r="J447" i="4"/>
  <c r="J201" i="4"/>
  <c r="J209" i="4"/>
  <c r="J395" i="4"/>
  <c r="J493" i="4"/>
  <c r="J105" i="4"/>
  <c r="J115" i="4"/>
  <c r="J350" i="4"/>
  <c r="J24" i="4"/>
  <c r="J9" i="4"/>
  <c r="J351" i="4"/>
  <c r="J436" i="4"/>
  <c r="J291" i="4"/>
  <c r="J442" i="4"/>
  <c r="J15" i="4"/>
  <c r="J80" i="4"/>
  <c r="J192" i="4"/>
  <c r="J352" i="4"/>
  <c r="J353" i="4"/>
  <c r="J413" i="4"/>
  <c r="J177" i="4"/>
  <c r="J480" i="4"/>
  <c r="J299" i="4"/>
  <c r="J178" i="4"/>
  <c r="J106" i="4"/>
  <c r="J179" i="4"/>
  <c r="J82" i="4"/>
  <c r="J354" i="4"/>
  <c r="J48" i="4"/>
  <c r="J355" i="4"/>
  <c r="J100" i="4"/>
  <c r="J490" i="4"/>
  <c r="J279" i="4"/>
  <c r="J4" i="4"/>
  <c r="J175" i="4"/>
  <c r="J17" i="4"/>
  <c r="J243" i="4"/>
  <c r="J457" i="4"/>
  <c r="J60" i="4"/>
  <c r="J83" i="4"/>
  <c r="J191" i="4"/>
  <c r="J144" i="4"/>
  <c r="J451" i="4"/>
  <c r="J309" i="4"/>
  <c r="J103" i="4"/>
  <c r="J305" i="4"/>
  <c r="J356" i="4"/>
  <c r="J368" i="4"/>
  <c r="J53" i="4"/>
  <c r="J230" i="4"/>
  <c r="J400" i="4"/>
  <c r="J345" i="4"/>
  <c r="J429" i="4"/>
  <c r="J188" i="4"/>
  <c r="J217" i="4"/>
  <c r="J419" i="4"/>
  <c r="J466" i="4"/>
  <c r="J284" i="4"/>
  <c r="J168" i="4"/>
  <c r="J406" i="4"/>
  <c r="J171" i="4"/>
  <c r="J285" i="4"/>
  <c r="J497" i="4"/>
  <c r="J369" i="4"/>
  <c r="J475" i="4"/>
  <c r="J108" i="4"/>
  <c r="J237" i="4"/>
  <c r="J297" i="4"/>
  <c r="J458" i="4"/>
  <c r="J166" i="4"/>
  <c r="J363" i="4"/>
  <c r="J27" i="4"/>
  <c r="J337" i="4"/>
  <c r="J133" i="4"/>
  <c r="J216" i="4"/>
  <c r="J202" i="4"/>
  <c r="J367" i="4"/>
  <c r="J392" i="4"/>
  <c r="J20" i="4"/>
  <c r="J273" i="4"/>
  <c r="J65" i="4"/>
  <c r="J223" i="4"/>
  <c r="J394" i="4"/>
  <c r="J98" i="4"/>
  <c r="J362" i="4"/>
  <c r="J140" i="4"/>
  <c r="J424" i="4"/>
  <c r="J302" i="4"/>
  <c r="J384" i="4"/>
  <c r="J61" i="4"/>
  <c r="J74" i="4"/>
  <c r="J152" i="4"/>
  <c r="J36" i="4"/>
  <c r="J445" i="4"/>
  <c r="J408" i="4"/>
  <c r="J210" i="4"/>
  <c r="J162" i="4"/>
  <c r="J221" i="4"/>
  <c r="J114" i="4"/>
  <c r="J72" i="4"/>
  <c r="J422" i="4"/>
  <c r="J370" i="4"/>
  <c r="J331" i="4"/>
  <c r="J57" i="4"/>
  <c r="J327" i="4"/>
  <c r="J62" i="4"/>
  <c r="J169" i="4"/>
  <c r="J241" i="4"/>
  <c r="J76" i="4"/>
  <c r="J77" i="4"/>
  <c r="J236" i="4"/>
  <c r="J132" i="4"/>
  <c r="J277" i="4"/>
  <c r="J252" i="4"/>
  <c r="J28" i="4"/>
  <c r="J248" i="4"/>
  <c r="J431" i="4"/>
  <c r="J268" i="4"/>
  <c r="J126" i="4"/>
  <c r="J471" i="4"/>
  <c r="J92" i="4"/>
  <c r="J271" i="4"/>
  <c r="J5" i="4"/>
  <c r="J261" i="4"/>
  <c r="J79" i="4"/>
  <c r="J186" i="4"/>
  <c r="J194" i="4"/>
  <c r="J123" i="4"/>
  <c r="J479" i="4"/>
  <c r="J364" i="4"/>
  <c r="J214" i="4"/>
  <c r="J130" i="4"/>
  <c r="J259" i="4"/>
  <c r="J185" i="4"/>
  <c r="J421" i="4"/>
  <c r="J262" i="4"/>
  <c r="J256" i="4"/>
  <c r="J397" i="4"/>
  <c r="J437" i="4"/>
  <c r="J343" i="4"/>
  <c r="J71" i="4"/>
  <c r="J375" i="4"/>
  <c r="J224" i="4"/>
  <c r="J151" i="4"/>
  <c r="J365" i="4"/>
  <c r="J255" i="4"/>
  <c r="J292" i="4"/>
  <c r="J474" i="4"/>
  <c r="H449" i="4"/>
  <c r="H372" i="4"/>
  <c r="H124" i="4"/>
  <c r="H282" i="4"/>
  <c r="H430" i="4"/>
  <c r="H485" i="4"/>
  <c r="H281" i="4"/>
  <c r="H313" i="4"/>
  <c r="H441" i="4"/>
  <c r="H433" i="4"/>
  <c r="H91" i="4"/>
  <c r="H135" i="4"/>
  <c r="H125" i="4"/>
  <c r="H172" i="4"/>
  <c r="H315" i="4"/>
  <c r="H226" i="4"/>
  <c r="H156" i="4"/>
  <c r="H472" i="4"/>
  <c r="H293" i="4"/>
  <c r="H143" i="4"/>
  <c r="H425" i="4"/>
  <c r="H127" i="4"/>
  <c r="H184" i="4"/>
  <c r="H234" i="4"/>
  <c r="H269" i="4"/>
  <c r="H319" i="4"/>
  <c r="H488" i="4"/>
  <c r="H411" i="4"/>
  <c r="H211" i="4"/>
  <c r="H274" i="4"/>
  <c r="H63" i="4"/>
  <c r="H412" i="4"/>
  <c r="H3" i="4"/>
  <c r="H121" i="4"/>
  <c r="H321" i="4"/>
  <c r="H468" i="4"/>
  <c r="H142" i="4"/>
  <c r="H25" i="4"/>
  <c r="H86" i="4"/>
  <c r="H380" i="4"/>
  <c r="H206" i="4"/>
  <c r="H265" i="4"/>
  <c r="H99" i="4"/>
  <c r="H405" i="4"/>
  <c r="H215" i="4"/>
  <c r="H448" i="4"/>
  <c r="H101" i="4"/>
  <c r="H148" i="4"/>
  <c r="H113" i="4"/>
  <c r="H296" i="4"/>
  <c r="H40" i="4"/>
  <c r="H146" i="4"/>
  <c r="H446" i="4"/>
  <c r="H198" i="4"/>
  <c r="H407" i="4"/>
  <c r="H318" i="4"/>
  <c r="H88" i="4"/>
  <c r="H139" i="4"/>
  <c r="H90" i="4"/>
  <c r="H260" i="4"/>
  <c r="H232" i="4"/>
  <c r="H473" i="4"/>
  <c r="H487" i="4"/>
  <c r="H87" i="4"/>
  <c r="H263" i="4"/>
  <c r="H14" i="4"/>
  <c r="H240" i="4"/>
  <c r="H159" i="4"/>
  <c r="H227" i="4"/>
  <c r="H212" i="4"/>
  <c r="H117" i="4"/>
  <c r="H208" i="4"/>
  <c r="H289" i="4"/>
  <c r="H423" i="4"/>
  <c r="H304" i="4"/>
  <c r="H257" i="4"/>
  <c r="H388" i="4"/>
  <c r="H32" i="4"/>
  <c r="H249" i="4"/>
  <c r="H247" i="4"/>
  <c r="H112" i="4"/>
  <c r="H428" i="4"/>
  <c r="H120" i="4"/>
  <c r="H320" i="4"/>
  <c r="H51" i="4"/>
  <c r="H326" i="4"/>
  <c r="H97" i="4"/>
  <c r="H300" i="4"/>
  <c r="H290" i="4"/>
  <c r="H334" i="4"/>
  <c r="H310" i="4"/>
  <c r="H52" i="4"/>
  <c r="H410" i="4"/>
  <c r="H322" i="4"/>
  <c r="H173" i="4"/>
  <c r="H417" i="4"/>
  <c r="H67" i="4"/>
  <c r="H167" i="4"/>
  <c r="H434" i="4"/>
  <c r="H44" i="4"/>
  <c r="H294" i="4"/>
  <c r="H339" i="4"/>
  <c r="H149" i="4"/>
  <c r="H478" i="4"/>
  <c r="H482" i="4"/>
  <c r="H233" i="4"/>
  <c r="H332" i="4"/>
  <c r="H104" i="4"/>
  <c r="H432" i="4"/>
  <c r="H39" i="4"/>
  <c r="H225" i="4"/>
  <c r="H153" i="4"/>
  <c r="H66" i="4"/>
  <c r="H340" i="4"/>
  <c r="H280" i="4"/>
  <c r="H377" i="4"/>
  <c r="H444" i="4"/>
  <c r="H477" i="4"/>
  <c r="H37" i="4"/>
  <c r="H462" i="4"/>
  <c r="H158" i="4"/>
  <c r="H246" i="4"/>
  <c r="H110" i="4"/>
  <c r="H459" i="4"/>
  <c r="H489" i="4"/>
  <c r="H398" i="4"/>
  <c r="H317" i="4"/>
  <c r="H420" i="4"/>
  <c r="H266" i="4"/>
  <c r="H387" i="4"/>
  <c r="H69" i="4"/>
  <c r="H323" i="4"/>
  <c r="H55" i="4"/>
  <c r="H443" i="4"/>
  <c r="H264" i="4"/>
  <c r="H383" i="4"/>
  <c r="H119" i="4"/>
  <c r="H307" i="4"/>
  <c r="H453" i="4"/>
  <c r="H205" i="4"/>
  <c r="H38" i="4"/>
  <c r="H275" i="4"/>
  <c r="H56" i="4"/>
  <c r="H180" i="4"/>
  <c r="H341" i="4"/>
  <c r="H357" i="4"/>
  <c r="H21" i="4"/>
  <c r="H54" i="4"/>
  <c r="H382" i="4"/>
  <c r="H483" i="4"/>
  <c r="H58" i="4"/>
  <c r="H238" i="4"/>
  <c r="H389" i="4"/>
  <c r="H254" i="4"/>
  <c r="H360" i="4"/>
  <c r="H463" i="4"/>
  <c r="H401" i="4"/>
  <c r="H242" i="4"/>
  <c r="H312" i="4"/>
  <c r="H182" i="4"/>
  <c r="H29" i="4"/>
  <c r="H481" i="4"/>
  <c r="H278" i="4"/>
  <c r="H7" i="4"/>
  <c r="H228" i="4"/>
  <c r="H391" i="4"/>
  <c r="H288" i="4"/>
  <c r="H174" i="4"/>
  <c r="H333" i="4"/>
  <c r="H306" i="4"/>
  <c r="H136" i="4"/>
  <c r="H19" i="4"/>
  <c r="H440" i="4"/>
  <c r="H308" i="4"/>
  <c r="H50" i="4"/>
  <c r="H465" i="4"/>
  <c r="H89" i="4"/>
  <c r="H385" i="4"/>
  <c r="H93" i="4"/>
  <c r="H464" i="4"/>
  <c r="H336" i="4"/>
  <c r="H2" i="4"/>
  <c r="H45" i="4"/>
  <c r="H328" i="4"/>
  <c r="H176" i="4"/>
  <c r="H418" i="4"/>
  <c r="H95" i="4"/>
  <c r="H218" i="4"/>
  <c r="H438" i="4"/>
  <c r="H187" i="4"/>
  <c r="H183" i="4"/>
  <c r="H244" i="4"/>
  <c r="H68" i="4"/>
  <c r="H239" i="4"/>
  <c r="H366" i="4"/>
  <c r="H190" i="4"/>
  <c r="H492" i="4"/>
  <c r="H330" i="4"/>
  <c r="H75" i="4"/>
  <c r="H456" i="4"/>
  <c r="H426" i="4"/>
  <c r="H415" i="4"/>
  <c r="H193" i="4"/>
  <c r="H335" i="4"/>
  <c r="H298" i="4"/>
  <c r="H403" i="4"/>
  <c r="H12" i="4"/>
  <c r="H163" i="4"/>
  <c r="H154" i="4"/>
  <c r="H157" i="4"/>
  <c r="H324" i="4"/>
  <c r="H325" i="4"/>
  <c r="H494" i="4"/>
  <c r="H109" i="4"/>
  <c r="H131" i="4"/>
  <c r="H414" i="4"/>
  <c r="H222" i="4"/>
  <c r="H286" i="4"/>
  <c r="H450" i="4"/>
  <c r="H189" i="4"/>
  <c r="H195" i="4"/>
  <c r="H134" i="4"/>
  <c r="H43" i="4"/>
  <c r="H386" i="4"/>
  <c r="H311" i="4"/>
  <c r="H11" i="4"/>
  <c r="H253" i="4"/>
  <c r="H81" i="4"/>
  <c r="H145" i="4"/>
  <c r="H258" i="4"/>
  <c r="H381" i="4"/>
  <c r="H393" i="4"/>
  <c r="H96" i="4"/>
  <c r="H150" i="4"/>
  <c r="H338" i="4"/>
  <c r="H371" i="4"/>
  <c r="H41" i="4"/>
  <c r="H251" i="4"/>
  <c r="H35" i="4"/>
  <c r="H455" i="4"/>
  <c r="H46" i="4"/>
  <c r="H164" i="4"/>
  <c r="H329" i="4"/>
  <c r="H373" i="4"/>
  <c r="H276" i="4"/>
  <c r="H170" i="4"/>
  <c r="H435" i="4"/>
  <c r="H454" i="4"/>
  <c r="H314" i="4"/>
  <c r="H460" i="4"/>
  <c r="H498" i="4"/>
  <c r="H160" i="4"/>
  <c r="H64" i="4"/>
  <c r="H22" i="4"/>
  <c r="H6" i="4"/>
  <c r="H23" i="4"/>
  <c r="H344" i="4"/>
  <c r="H31" i="4"/>
  <c r="H219" i="4"/>
  <c r="H33" i="4"/>
  <c r="H374" i="4"/>
  <c r="H283" i="4"/>
  <c r="H47" i="4"/>
  <c r="H10" i="4"/>
  <c r="H358" i="4"/>
  <c r="H122" i="4"/>
  <c r="H49" i="4"/>
  <c r="H147" i="4"/>
  <c r="H34" i="4"/>
  <c r="H245" i="4"/>
  <c r="H379" i="4"/>
  <c r="H111" i="4"/>
  <c r="H361" i="4"/>
  <c r="H70" i="4"/>
  <c r="H399" i="4"/>
  <c r="H427" i="4"/>
  <c r="H416" i="4"/>
  <c r="H404" i="4"/>
  <c r="H409" i="4"/>
  <c r="H396" i="4"/>
  <c r="H272" i="4"/>
  <c r="H13" i="4"/>
  <c r="H197" i="4"/>
  <c r="H287" i="4"/>
  <c r="H484" i="4"/>
  <c r="H303" i="4"/>
  <c r="H116" i="4"/>
  <c r="H196" i="4"/>
  <c r="H102" i="4"/>
  <c r="H129" i="4"/>
  <c r="H231" i="4"/>
  <c r="H161" i="4"/>
  <c r="H138" i="4"/>
  <c r="H84" i="4"/>
  <c r="H73" i="4"/>
  <c r="H235" i="4"/>
  <c r="H85" i="4"/>
  <c r="H16" i="4"/>
  <c r="H213" i="4"/>
  <c r="H229" i="4"/>
  <c r="H267" i="4"/>
  <c r="H199" i="4"/>
  <c r="H128" i="4"/>
  <c r="H200" i="4"/>
  <c r="H42" i="4"/>
  <c r="H59" i="4"/>
  <c r="H181" i="4"/>
  <c r="H78" i="4"/>
  <c r="H486" i="4"/>
  <c r="H495" i="4"/>
  <c r="H107" i="4"/>
  <c r="H204" i="4"/>
  <c r="H346" i="4"/>
  <c r="H295" i="4"/>
  <c r="H30" i="4"/>
  <c r="H165" i="4"/>
  <c r="H390" i="4"/>
  <c r="H439" i="4"/>
  <c r="H467" i="4"/>
  <c r="H347" i="4"/>
  <c r="H8" i="4"/>
  <c r="H118" i="4"/>
  <c r="H476" i="4"/>
  <c r="H137" i="4"/>
  <c r="H141" i="4"/>
  <c r="H94" i="4"/>
  <c r="H470" i="4"/>
  <c r="H452" i="4"/>
  <c r="H359" i="4"/>
  <c r="H402" i="4"/>
  <c r="H250" i="4"/>
  <c r="H316" i="4"/>
  <c r="H155" i="4"/>
  <c r="H203" i="4"/>
  <c r="H461" i="4"/>
  <c r="H342" i="4"/>
  <c r="H469" i="4"/>
  <c r="H220" i="4"/>
  <c r="H301" i="4"/>
  <c r="H376" i="4"/>
  <c r="H348" i="4"/>
  <c r="H349" i="4"/>
  <c r="H18" i="4"/>
  <c r="H378" i="4"/>
  <c r="H270" i="4"/>
  <c r="H26" i="4"/>
  <c r="H447" i="4"/>
  <c r="H201" i="4"/>
  <c r="H209" i="4"/>
  <c r="H395" i="4"/>
  <c r="H493" i="4"/>
  <c r="H105" i="4"/>
  <c r="H115" i="4"/>
  <c r="H350" i="4"/>
  <c r="H24" i="4"/>
  <c r="H9" i="4"/>
  <c r="H351" i="4"/>
  <c r="H436" i="4"/>
  <c r="H291" i="4"/>
  <c r="H442" i="4"/>
  <c r="H15" i="4"/>
  <c r="H80" i="4"/>
  <c r="H192" i="4"/>
  <c r="H352" i="4"/>
  <c r="H353" i="4"/>
  <c r="H413" i="4"/>
  <c r="H177" i="4"/>
  <c r="H480" i="4"/>
  <c r="H299" i="4"/>
  <c r="H178" i="4"/>
  <c r="H106" i="4"/>
  <c r="H179" i="4"/>
  <c r="H82" i="4"/>
  <c r="H354" i="4"/>
  <c r="H48" i="4"/>
  <c r="H355" i="4"/>
  <c r="H100" i="4"/>
  <c r="H490" i="4"/>
  <c r="H279" i="4"/>
  <c r="H4" i="4"/>
  <c r="H175" i="4"/>
  <c r="H17" i="4"/>
  <c r="H243" i="4"/>
  <c r="H457" i="4"/>
  <c r="H60" i="4"/>
  <c r="H83" i="4"/>
  <c r="H191" i="4"/>
  <c r="H144" i="4"/>
  <c r="H451" i="4"/>
  <c r="H309" i="4"/>
  <c r="H103" i="4"/>
  <c r="H305" i="4"/>
  <c r="H356" i="4"/>
  <c r="H368" i="4"/>
  <c r="H53" i="4"/>
  <c r="H230" i="4"/>
  <c r="H400" i="4"/>
  <c r="H345" i="4"/>
  <c r="H429" i="4"/>
  <c r="H188" i="4"/>
  <c r="H217" i="4"/>
  <c r="H419" i="4"/>
  <c r="H466" i="4"/>
  <c r="H284" i="4"/>
  <c r="H168" i="4"/>
  <c r="H406" i="4"/>
  <c r="H171" i="4"/>
  <c r="H285" i="4"/>
  <c r="H497" i="4"/>
  <c r="H369" i="4"/>
  <c r="H475" i="4"/>
  <c r="H108" i="4"/>
  <c r="H237" i="4"/>
  <c r="H297" i="4"/>
  <c r="H458" i="4"/>
  <c r="H166" i="4"/>
  <c r="H363" i="4"/>
  <c r="H27" i="4"/>
  <c r="H337" i="4"/>
  <c r="H133" i="4"/>
  <c r="H216" i="4"/>
  <c r="H202" i="4"/>
  <c r="H367" i="4"/>
  <c r="H392" i="4"/>
  <c r="H20" i="4"/>
  <c r="H273" i="4"/>
  <c r="H65" i="4"/>
  <c r="H223" i="4"/>
  <c r="H394" i="4"/>
  <c r="H98" i="4"/>
  <c r="H362" i="4"/>
  <c r="H140" i="4"/>
  <c r="H424" i="4"/>
  <c r="H302" i="4"/>
  <c r="H384" i="4"/>
  <c r="H61" i="4"/>
  <c r="H74" i="4"/>
  <c r="H152" i="4"/>
  <c r="H36" i="4"/>
  <c r="H445" i="4"/>
  <c r="H408" i="4"/>
  <c r="H210" i="4"/>
  <c r="H162" i="4"/>
  <c r="H221" i="4"/>
  <c r="H114" i="4"/>
  <c r="H72" i="4"/>
  <c r="H422" i="4"/>
  <c r="H370" i="4"/>
  <c r="H331" i="4"/>
  <c r="H57" i="4"/>
  <c r="H327" i="4"/>
  <c r="H62" i="4"/>
  <c r="H169" i="4"/>
  <c r="H241" i="4"/>
  <c r="H76" i="4"/>
  <c r="H77" i="4"/>
  <c r="H236" i="4"/>
  <c r="H132" i="4"/>
  <c r="H277" i="4"/>
  <c r="H252" i="4"/>
  <c r="H28" i="4"/>
  <c r="H248" i="4"/>
  <c r="H431" i="4"/>
  <c r="H268" i="4"/>
  <c r="H126" i="4"/>
  <c r="H471" i="4"/>
  <c r="H92" i="4"/>
  <c r="H271" i="4"/>
  <c r="H5" i="4"/>
  <c r="H261" i="4"/>
  <c r="H79" i="4"/>
  <c r="H186" i="4"/>
  <c r="H194" i="4"/>
  <c r="H123" i="4"/>
  <c r="H479" i="4"/>
  <c r="H364" i="4"/>
  <c r="H214" i="4"/>
  <c r="H130" i="4"/>
  <c r="H259" i="4"/>
  <c r="H185" i="4"/>
  <c r="H421" i="4"/>
  <c r="H262" i="4"/>
  <c r="H256" i="4"/>
  <c r="H397" i="4"/>
  <c r="H437" i="4"/>
  <c r="H343" i="4"/>
  <c r="H71" i="4"/>
  <c r="H375" i="4"/>
  <c r="H224" i="4"/>
  <c r="H151" i="4"/>
  <c r="H365" i="4"/>
  <c r="H255" i="4"/>
  <c r="H292" i="4"/>
  <c r="H474" i="4"/>
  <c r="I474" i="4"/>
  <c r="I365" i="4"/>
  <c r="K365" i="4"/>
  <c r="L365" i="4"/>
  <c r="I255" i="4"/>
  <c r="K255" i="4"/>
  <c r="L255" i="4"/>
  <c r="I33" i="4"/>
  <c r="K33" i="4"/>
  <c r="L33" i="4"/>
  <c r="I292" i="4"/>
  <c r="K292" i="4"/>
  <c r="L292" i="4"/>
  <c r="I374" i="4"/>
  <c r="K374" i="4"/>
  <c r="L374" i="4"/>
  <c r="I323" i="4"/>
  <c r="K323" i="4"/>
  <c r="L323" i="4"/>
  <c r="C507" i="6"/>
  <c r="H501" i="4"/>
  <c r="L404" i="4"/>
  <c r="I55" i="4"/>
  <c r="L409" i="4"/>
  <c r="L396" i="4"/>
  <c r="L272" i="4"/>
  <c r="L13" i="4"/>
  <c r="L197" i="4"/>
  <c r="L287" i="4"/>
  <c r="L383" i="4"/>
  <c r="L484" i="4"/>
  <c r="L303" i="4"/>
  <c r="L116" i="4"/>
  <c r="L196" i="4"/>
  <c r="L102" i="4"/>
  <c r="L129" i="4"/>
  <c r="L231" i="4"/>
  <c r="L161" i="4"/>
  <c r="L138" i="4"/>
  <c r="L84" i="4"/>
  <c r="L73" i="4"/>
  <c r="L235" i="4"/>
  <c r="L85" i="4"/>
  <c r="L16" i="4"/>
  <c r="L213" i="4"/>
  <c r="L449" i="4"/>
  <c r="L229" i="4"/>
  <c r="L267" i="4"/>
  <c r="L199" i="4"/>
  <c r="L119" i="4"/>
  <c r="L128" i="4"/>
  <c r="L200" i="4"/>
  <c r="L42" i="4"/>
  <c r="L59" i="4"/>
  <c r="L307" i="4"/>
  <c r="L453" i="4"/>
  <c r="L181" i="4"/>
  <c r="L205" i="4"/>
  <c r="L372" i="4"/>
  <c r="L78" i="4"/>
  <c r="L38" i="4"/>
  <c r="L275" i="4"/>
  <c r="L486" i="4"/>
  <c r="L495" i="4"/>
  <c r="L107" i="4"/>
  <c r="L204" i="4"/>
  <c r="L346" i="4"/>
  <c r="L56" i="4"/>
  <c r="L405" i="4"/>
  <c r="L295" i="4"/>
  <c r="L30" i="4"/>
  <c r="L215" i="4"/>
  <c r="L448" i="4"/>
  <c r="L165" i="4"/>
  <c r="L390" i="4"/>
  <c r="L124" i="4"/>
  <c r="L101" i="4"/>
  <c r="L439" i="4"/>
  <c r="L467" i="4"/>
  <c r="L180" i="4"/>
  <c r="L282" i="4"/>
  <c r="L347" i="4"/>
  <c r="L8" i="4"/>
  <c r="L118" i="4"/>
  <c r="L476" i="4"/>
  <c r="L341" i="4"/>
  <c r="L137" i="4"/>
  <c r="L141" i="4"/>
  <c r="L94" i="4"/>
  <c r="L148" i="4"/>
  <c r="L357" i="4"/>
  <c r="L470" i="4"/>
  <c r="L452" i="4"/>
  <c r="L359" i="4"/>
  <c r="L402" i="4"/>
  <c r="L250" i="4"/>
  <c r="L316" i="4"/>
  <c r="L127" i="4"/>
  <c r="L21" i="4"/>
  <c r="L155" i="4"/>
  <c r="L203" i="4"/>
  <c r="L461" i="4"/>
  <c r="L342" i="4"/>
  <c r="L469" i="4"/>
  <c r="L220" i="4"/>
  <c r="L301" i="4"/>
  <c r="L184" i="4"/>
  <c r="L376" i="4"/>
  <c r="L348" i="4"/>
  <c r="L349" i="4"/>
  <c r="L18" i="4"/>
  <c r="L378" i="4"/>
  <c r="L270" i="4"/>
  <c r="L26" i="4"/>
  <c r="L447" i="4"/>
  <c r="L201" i="4"/>
  <c r="L209" i="4"/>
  <c r="L395" i="4"/>
  <c r="L493" i="4"/>
  <c r="L105" i="4"/>
  <c r="L115" i="4"/>
  <c r="L350" i="4"/>
  <c r="L24" i="4"/>
  <c r="L9" i="4"/>
  <c r="L113" i="4"/>
  <c r="L54" i="4"/>
  <c r="L430" i="4"/>
  <c r="L351" i="4"/>
  <c r="L436" i="4"/>
  <c r="L291" i="4"/>
  <c r="L382" i="4"/>
  <c r="L442" i="4"/>
  <c r="L485" i="4"/>
  <c r="L15" i="4"/>
  <c r="L80" i="4"/>
  <c r="L192" i="4"/>
  <c r="L352" i="4"/>
  <c r="L353" i="4"/>
  <c r="L483" i="4"/>
  <c r="L413" i="4"/>
  <c r="L177" i="4"/>
  <c r="L480" i="4"/>
  <c r="L299" i="4"/>
  <c r="L178" i="4"/>
  <c r="L106" i="4"/>
  <c r="L58" i="4"/>
  <c r="L179" i="4"/>
  <c r="L238" i="4"/>
  <c r="L82" i="4"/>
  <c r="L354" i="4"/>
  <c r="L296" i="4"/>
  <c r="L48" i="4"/>
  <c r="L234" i="4"/>
  <c r="L355" i="4"/>
  <c r="L100" i="4"/>
  <c r="L490" i="4"/>
  <c r="L279" i="4"/>
  <c r="L4" i="4"/>
  <c r="L175" i="4"/>
  <c r="L17" i="4"/>
  <c r="L243" i="4"/>
  <c r="L457" i="4"/>
  <c r="L60" i="4"/>
  <c r="L389" i="4"/>
  <c r="L83" i="4"/>
  <c r="L191" i="4"/>
  <c r="L254" i="4"/>
  <c r="L360" i="4"/>
  <c r="L144" i="4"/>
  <c r="L451" i="4"/>
  <c r="L309" i="4"/>
  <c r="L103" i="4"/>
  <c r="L463" i="4"/>
  <c r="L305" i="4"/>
  <c r="L356" i="4"/>
  <c r="L40" i="4"/>
  <c r="L146" i="4"/>
  <c r="L368" i="4"/>
  <c r="L446" i="4"/>
  <c r="L198" i="4"/>
  <c r="L401" i="4"/>
  <c r="L242" i="4"/>
  <c r="L53" i="4"/>
  <c r="L407" i="4"/>
  <c r="L312" i="4"/>
  <c r="L230" i="4"/>
  <c r="L182" i="4"/>
  <c r="L29" i="4"/>
  <c r="L481" i="4"/>
  <c r="L318" i="4"/>
  <c r="L88" i="4"/>
  <c r="L400" i="4"/>
  <c r="L345" i="4"/>
  <c r="L278" i="4"/>
  <c r="L269" i="4"/>
  <c r="L7" i="4"/>
  <c r="L139" i="4"/>
  <c r="L228" i="4"/>
  <c r="L429" i="4"/>
  <c r="L188" i="4"/>
  <c r="L391" i="4"/>
  <c r="L90" i="4"/>
  <c r="L217" i="4"/>
  <c r="L419" i="4"/>
  <c r="L260" i="4"/>
  <c r="L466" i="4"/>
  <c r="L281" i="4"/>
  <c r="L288" i="4"/>
  <c r="L284" i="4"/>
  <c r="L168" i="4"/>
  <c r="L174" i="4"/>
  <c r="L406" i="4"/>
  <c r="L333" i="4"/>
  <c r="L171" i="4"/>
  <c r="L285" i="4"/>
  <c r="L306" i="4"/>
  <c r="L232" i="4"/>
  <c r="L136" i="4"/>
  <c r="L19" i="4"/>
  <c r="L440" i="4"/>
  <c r="L497" i="4"/>
  <c r="L369" i="4"/>
  <c r="L475" i="4"/>
  <c r="L308" i="4"/>
  <c r="L473" i="4"/>
  <c r="L108" i="4"/>
  <c r="L237" i="4"/>
  <c r="L297" i="4"/>
  <c r="L458" i="4"/>
  <c r="L166" i="4"/>
  <c r="L363" i="4"/>
  <c r="L487" i="4"/>
  <c r="L27" i="4"/>
  <c r="L50" i="4"/>
  <c r="L337" i="4"/>
  <c r="L465" i="4"/>
  <c r="L89" i="4"/>
  <c r="L385" i="4"/>
  <c r="L93" i="4"/>
  <c r="L133" i="4"/>
  <c r="L319" i="4"/>
  <c r="L464" i="4"/>
  <c r="L336" i="4"/>
  <c r="L87" i="4"/>
  <c r="L216" i="4"/>
  <c r="L202" i="4"/>
  <c r="L2" i="4"/>
  <c r="L45" i="4"/>
  <c r="L328" i="4"/>
  <c r="L263" i="4"/>
  <c r="L176" i="4"/>
  <c r="L14" i="4"/>
  <c r="L488" i="4"/>
  <c r="L418" i="4"/>
  <c r="L95" i="4"/>
  <c r="L218" i="4"/>
  <c r="L438" i="4"/>
  <c r="L187" i="4"/>
  <c r="L411" i="4"/>
  <c r="L240" i="4"/>
  <c r="L183" i="4"/>
  <c r="L367" i="4"/>
  <c r="L211" i="4"/>
  <c r="L392" i="4"/>
  <c r="L244" i="4"/>
  <c r="L159" i="4"/>
  <c r="L68" i="4"/>
  <c r="L239" i="4"/>
  <c r="L227" i="4"/>
  <c r="L366" i="4"/>
  <c r="L212" i="4"/>
  <c r="L190" i="4"/>
  <c r="L492" i="4"/>
  <c r="L330" i="4"/>
  <c r="L75" i="4"/>
  <c r="L456" i="4"/>
  <c r="L426" i="4"/>
  <c r="L117" i="4"/>
  <c r="L415" i="4"/>
  <c r="L274" i="4"/>
  <c r="L193" i="4"/>
  <c r="L20" i="4"/>
  <c r="L273" i="4"/>
  <c r="L335" i="4"/>
  <c r="L65" i="4"/>
  <c r="L298" i="4"/>
  <c r="L403" i="4"/>
  <c r="L223" i="4"/>
  <c r="L12" i="4"/>
  <c r="L163" i="4"/>
  <c r="L394" i="4"/>
  <c r="L208" i="4"/>
  <c r="L98" i="4"/>
  <c r="L154" i="4"/>
  <c r="L313" i="4"/>
  <c r="L362" i="4"/>
  <c r="L441" i="4"/>
  <c r="L157" i="4"/>
  <c r="L324" i="4"/>
  <c r="L140" i="4"/>
  <c r="L433" i="4"/>
  <c r="L289" i="4"/>
  <c r="L325" i="4"/>
  <c r="L91" i="4"/>
  <c r="L424" i="4"/>
  <c r="L423" i="4"/>
  <c r="L302" i="4"/>
  <c r="L63" i="4"/>
  <c r="L384" i="4"/>
  <c r="L304" i="4"/>
  <c r="L257" i="4"/>
  <c r="L388" i="4"/>
  <c r="L494" i="4"/>
  <c r="L61" i="4"/>
  <c r="L32" i="4"/>
  <c r="L74" i="4"/>
  <c r="L135" i="4"/>
  <c r="L152" i="4"/>
  <c r="L249" i="4"/>
  <c r="L109" i="4"/>
  <c r="L247" i="4"/>
  <c r="L131" i="4"/>
  <c r="L112" i="4"/>
  <c r="L428" i="4"/>
  <c r="L120" i="4"/>
  <c r="L414" i="4"/>
  <c r="L222" i="4"/>
  <c r="L320" i="4"/>
  <c r="L36" i="4"/>
  <c r="L445" i="4"/>
  <c r="L51" i="4"/>
  <c r="L326" i="4"/>
  <c r="L286" i="4"/>
  <c r="L450" i="4"/>
  <c r="L125" i="4"/>
  <c r="L189" i="4"/>
  <c r="L412" i="4"/>
  <c r="L195" i="4"/>
  <c r="L97" i="4"/>
  <c r="L134" i="4"/>
  <c r="L408" i="4"/>
  <c r="L300" i="4"/>
  <c r="L43" i="4"/>
  <c r="L3" i="4"/>
  <c r="L210" i="4"/>
  <c r="L121" i="4"/>
  <c r="L290" i="4"/>
  <c r="L334" i="4"/>
  <c r="L386" i="4"/>
  <c r="L311" i="4"/>
  <c r="L162" i="4"/>
  <c r="L221" i="4"/>
  <c r="L114" i="4"/>
  <c r="L11" i="4"/>
  <c r="L253" i="4"/>
  <c r="L310" i="4"/>
  <c r="L81" i="4"/>
  <c r="L145" i="4"/>
  <c r="L52" i="4"/>
  <c r="L72" i="4"/>
  <c r="L422" i="4"/>
  <c r="L410" i="4"/>
  <c r="L322" i="4"/>
  <c r="L370" i="4"/>
  <c r="L173" i="4"/>
  <c r="L331" i="4"/>
  <c r="L417" i="4"/>
  <c r="L258" i="4"/>
  <c r="L381" i="4"/>
  <c r="L57" i="4"/>
  <c r="L327" i="4"/>
  <c r="L393" i="4"/>
  <c r="L67" i="4"/>
  <c r="L96" i="4"/>
  <c r="L150" i="4"/>
  <c r="L167" i="4"/>
  <c r="L434" i="4"/>
  <c r="L44" i="4"/>
  <c r="L62" i="4"/>
  <c r="L294" i="4"/>
  <c r="L321" i="4"/>
  <c r="L468" i="4"/>
  <c r="L142" i="4"/>
  <c r="L338" i="4"/>
  <c r="L339" i="4"/>
  <c r="L149" i="4"/>
  <c r="L169" i="4"/>
  <c r="L172" i="4"/>
  <c r="L478" i="4"/>
  <c r="L482" i="4"/>
  <c r="L233" i="4"/>
  <c r="L25" i="4"/>
  <c r="L241" i="4"/>
  <c r="L332" i="4"/>
  <c r="L76" i="4"/>
  <c r="L104" i="4"/>
  <c r="L77" i="4"/>
  <c r="L236" i="4"/>
  <c r="L132" i="4"/>
  <c r="L371" i="4"/>
  <c r="L41" i="4"/>
  <c r="L86" i="4"/>
  <c r="L380" i="4"/>
  <c r="L432" i="4"/>
  <c r="L251" i="4"/>
  <c r="L35" i="4"/>
  <c r="L39" i="4"/>
  <c r="L225" i="4"/>
  <c r="L455" i="4"/>
  <c r="L315" i="4"/>
  <c r="L277" i="4"/>
  <c r="L153" i="4"/>
  <c r="L66" i="4"/>
  <c r="L340" i="4"/>
  <c r="L46" i="4"/>
  <c r="L280" i="4"/>
  <c r="L164" i="4"/>
  <c r="L329" i="4"/>
  <c r="L373" i="4"/>
  <c r="L252" i="4"/>
  <c r="L377" i="4"/>
  <c r="L444" i="4"/>
  <c r="L276" i="4"/>
  <c r="L206" i="4"/>
  <c r="L28" i="4"/>
  <c r="L248" i="4"/>
  <c r="L431" i="4"/>
  <c r="L268" i="4"/>
  <c r="L477" i="4"/>
  <c r="L126" i="4"/>
  <c r="L170" i="4"/>
  <c r="L471" i="4"/>
  <c r="L435" i="4"/>
  <c r="L226" i="4"/>
  <c r="L454" i="4"/>
  <c r="L92" i="4"/>
  <c r="L271" i="4"/>
  <c r="L314" i="4"/>
  <c r="L37" i="4"/>
  <c r="L462" i="4"/>
  <c r="L5" i="4"/>
  <c r="L158" i="4"/>
  <c r="L261" i="4"/>
  <c r="L246" i="4"/>
  <c r="L79" i="4"/>
  <c r="L186" i="4"/>
  <c r="L156" i="4"/>
  <c r="L194" i="4"/>
  <c r="L460" i="4"/>
  <c r="L123" i="4"/>
  <c r="L498" i="4"/>
  <c r="L110" i="4"/>
  <c r="L160" i="4"/>
  <c r="L64" i="4"/>
  <c r="L459" i="4"/>
  <c r="L489" i="4"/>
  <c r="L398" i="4"/>
  <c r="L22" i="4"/>
  <c r="L479" i="4"/>
  <c r="L364" i="4"/>
  <c r="L6" i="4"/>
  <c r="L23" i="4"/>
  <c r="L317" i="4"/>
  <c r="L265" i="4"/>
  <c r="L420" i="4"/>
  <c r="L344" i="4"/>
  <c r="L214" i="4"/>
  <c r="L130" i="4"/>
  <c r="L259" i="4"/>
  <c r="L266" i="4"/>
  <c r="L472" i="4"/>
  <c r="L185" i="4"/>
  <c r="L387" i="4"/>
  <c r="L421" i="4"/>
  <c r="L262" i="4"/>
  <c r="L69" i="4"/>
  <c r="L31" i="4"/>
  <c r="L99" i="4"/>
  <c r="L256" i="4"/>
  <c r="L293" i="4"/>
  <c r="L397" i="4"/>
  <c r="L219" i="4"/>
  <c r="L437" i="4"/>
  <c r="L343" i="4"/>
  <c r="L71" i="4"/>
  <c r="L375" i="4"/>
  <c r="L224" i="4"/>
  <c r="L207" i="4"/>
  <c r="L143" i="4"/>
  <c r="L151" i="4"/>
  <c r="K151" i="4"/>
  <c r="K143" i="4"/>
  <c r="K207" i="4"/>
  <c r="K224" i="4"/>
  <c r="K375" i="4"/>
  <c r="K71" i="4"/>
  <c r="K343" i="4"/>
  <c r="K437" i="4"/>
  <c r="K219" i="4"/>
  <c r="K397" i="4"/>
  <c r="K293" i="4"/>
  <c r="K256" i="4"/>
  <c r="K99" i="4"/>
  <c r="K31" i="4"/>
  <c r="K69" i="4"/>
  <c r="K262" i="4"/>
  <c r="K421" i="4"/>
  <c r="K387" i="4"/>
  <c r="K185" i="4"/>
  <c r="K472" i="4"/>
  <c r="K266" i="4"/>
  <c r="K259" i="4"/>
  <c r="K130" i="4"/>
  <c r="K214" i="4"/>
  <c r="K344" i="4"/>
  <c r="K420" i="4"/>
  <c r="K265" i="4"/>
  <c r="K317" i="4"/>
  <c r="K23" i="4"/>
  <c r="K6" i="4"/>
  <c r="K364" i="4"/>
  <c r="K479" i="4"/>
  <c r="K22" i="4"/>
  <c r="K398" i="4"/>
  <c r="K489" i="4"/>
  <c r="K459" i="4"/>
  <c r="K64" i="4"/>
  <c r="K160" i="4"/>
  <c r="K110" i="4"/>
  <c r="K498" i="4"/>
  <c r="K123" i="4"/>
  <c r="K460" i="4"/>
  <c r="K194" i="4"/>
  <c r="K156" i="4"/>
  <c r="K186" i="4"/>
  <c r="K79" i="4"/>
  <c r="K246" i="4"/>
  <c r="K261" i="4"/>
  <c r="K158" i="4"/>
  <c r="K5" i="4"/>
  <c r="K462" i="4"/>
  <c r="K37" i="4"/>
  <c r="K314" i="4"/>
  <c r="K271" i="4"/>
  <c r="K92" i="4"/>
  <c r="K454" i="4"/>
  <c r="K226" i="4"/>
  <c r="K435" i="4"/>
  <c r="K471" i="4"/>
  <c r="K170" i="4"/>
  <c r="K126" i="4"/>
  <c r="K477" i="4"/>
  <c r="K268" i="4"/>
  <c r="K431" i="4"/>
  <c r="K248" i="4"/>
  <c r="K28" i="4"/>
  <c r="K206" i="4"/>
  <c r="K276" i="4"/>
  <c r="K444" i="4"/>
  <c r="K377" i="4"/>
  <c r="K252" i="4"/>
  <c r="K373" i="4"/>
  <c r="K329" i="4"/>
  <c r="K164" i="4"/>
  <c r="K280" i="4"/>
  <c r="K46" i="4"/>
  <c r="K340" i="4"/>
  <c r="K66" i="4"/>
  <c r="K153" i="4"/>
  <c r="K277" i="4"/>
  <c r="K315" i="4"/>
  <c r="K455" i="4"/>
  <c r="K225" i="4"/>
  <c r="K39" i="4"/>
  <c r="K35" i="4"/>
  <c r="K251" i="4"/>
  <c r="K432" i="4"/>
  <c r="K380" i="4"/>
  <c r="K86" i="4"/>
  <c r="K41" i="4"/>
  <c r="K371" i="4"/>
  <c r="K132" i="4"/>
  <c r="K236" i="4"/>
  <c r="K77" i="4"/>
  <c r="K104" i="4"/>
  <c r="K76" i="4"/>
  <c r="K332" i="4"/>
  <c r="K241" i="4"/>
  <c r="K25" i="4"/>
  <c r="K233" i="4"/>
  <c r="K482" i="4"/>
  <c r="K478" i="4"/>
  <c r="K172" i="4"/>
  <c r="K169" i="4"/>
  <c r="K149" i="4"/>
  <c r="K339" i="4"/>
  <c r="K338" i="4"/>
  <c r="K142" i="4"/>
  <c r="K468" i="4"/>
  <c r="K321" i="4"/>
  <c r="K294" i="4"/>
  <c r="K62" i="4"/>
  <c r="K44" i="4"/>
  <c r="K434" i="4"/>
  <c r="K167" i="4"/>
  <c r="K150" i="4"/>
  <c r="K96" i="4"/>
  <c r="K67" i="4"/>
  <c r="K393" i="4"/>
  <c r="K327" i="4"/>
  <c r="K57" i="4"/>
  <c r="K381" i="4"/>
  <c r="K258" i="4"/>
  <c r="K417" i="4"/>
  <c r="K331" i="4"/>
  <c r="K173" i="4"/>
  <c r="K370" i="4"/>
  <c r="K322" i="4"/>
  <c r="K410" i="4"/>
  <c r="K422" i="4"/>
  <c r="K72" i="4"/>
  <c r="K52" i="4"/>
  <c r="K145" i="4"/>
  <c r="K81" i="4"/>
  <c r="K310" i="4"/>
  <c r="K253" i="4"/>
  <c r="K11" i="4"/>
  <c r="K114" i="4"/>
  <c r="K221" i="4"/>
  <c r="K162" i="4"/>
  <c r="K311" i="4"/>
  <c r="K386" i="4"/>
  <c r="K334" i="4"/>
  <c r="K290" i="4"/>
  <c r="K121" i="4"/>
  <c r="K210" i="4"/>
  <c r="K3" i="4"/>
  <c r="K43" i="4"/>
  <c r="K300" i="4"/>
  <c r="K408" i="4"/>
  <c r="K134" i="4"/>
  <c r="K97" i="4"/>
  <c r="K195" i="4"/>
  <c r="K412" i="4"/>
  <c r="K189" i="4"/>
  <c r="K450" i="4"/>
  <c r="K286" i="4"/>
  <c r="K326" i="4"/>
  <c r="K51" i="4"/>
  <c r="K445" i="4"/>
  <c r="K36" i="4"/>
  <c r="K320" i="4"/>
  <c r="K222" i="4"/>
  <c r="K414" i="4"/>
  <c r="K120" i="4"/>
  <c r="K428" i="4"/>
  <c r="K112" i="4"/>
  <c r="K131" i="4"/>
  <c r="K247" i="4"/>
  <c r="K109" i="4"/>
  <c r="K249" i="4"/>
  <c r="K152" i="4"/>
  <c r="K135" i="4"/>
  <c r="K74" i="4"/>
  <c r="K32" i="4"/>
  <c r="K61" i="4"/>
  <c r="K494" i="4"/>
  <c r="K388" i="4"/>
  <c r="K257" i="4"/>
  <c r="K304" i="4"/>
  <c r="K384" i="4"/>
  <c r="K63" i="4"/>
  <c r="K302" i="4"/>
  <c r="K423" i="4"/>
  <c r="K424" i="4"/>
  <c r="K91" i="4"/>
  <c r="K325" i="4"/>
  <c r="K289" i="4"/>
  <c r="K433" i="4"/>
  <c r="K140" i="4"/>
  <c r="K324" i="4"/>
  <c r="K157" i="4"/>
  <c r="K441" i="4"/>
  <c r="K362" i="4"/>
  <c r="K313" i="4"/>
  <c r="K154" i="4"/>
  <c r="K98" i="4"/>
  <c r="K208" i="4"/>
  <c r="K394" i="4"/>
  <c r="K163" i="4"/>
  <c r="K12" i="4"/>
  <c r="K223" i="4"/>
  <c r="K403" i="4"/>
  <c r="K298" i="4"/>
  <c r="K65" i="4"/>
  <c r="K335" i="4"/>
  <c r="K273" i="4"/>
  <c r="K20" i="4"/>
  <c r="K193" i="4"/>
  <c r="K274" i="4"/>
  <c r="K415" i="4"/>
  <c r="K117" i="4"/>
  <c r="K426" i="4"/>
  <c r="K456" i="4"/>
  <c r="K75" i="4"/>
  <c r="K330" i="4"/>
  <c r="K492" i="4"/>
  <c r="K190" i="4"/>
  <c r="K212" i="4"/>
  <c r="K366" i="4"/>
  <c r="K227" i="4"/>
  <c r="K239" i="4"/>
  <c r="K68" i="4"/>
  <c r="K159" i="4"/>
  <c r="K244" i="4"/>
  <c r="K392" i="4"/>
  <c r="K211" i="4"/>
  <c r="K367" i="4"/>
  <c r="K183" i="4"/>
  <c r="K240" i="4"/>
  <c r="K411" i="4"/>
  <c r="K187" i="4"/>
  <c r="K438" i="4"/>
  <c r="K218" i="4"/>
  <c r="K95" i="4"/>
  <c r="K418" i="4"/>
  <c r="K488" i="4"/>
  <c r="K14" i="4"/>
  <c r="K176" i="4"/>
  <c r="K263" i="4"/>
  <c r="K328" i="4"/>
  <c r="K45" i="4"/>
  <c r="K2" i="4"/>
  <c r="K202" i="4"/>
  <c r="K216" i="4"/>
  <c r="K87" i="4"/>
  <c r="K336" i="4"/>
  <c r="K464" i="4"/>
  <c r="K319" i="4"/>
  <c r="K133" i="4"/>
  <c r="K93" i="4"/>
  <c r="K385" i="4"/>
  <c r="K89" i="4"/>
  <c r="K465" i="4"/>
  <c r="K337" i="4"/>
  <c r="K50" i="4"/>
  <c r="K27" i="4"/>
  <c r="K487" i="4"/>
  <c r="K363" i="4"/>
  <c r="K166" i="4"/>
  <c r="K458" i="4"/>
  <c r="K297" i="4"/>
  <c r="K237" i="4"/>
  <c r="K108" i="4"/>
  <c r="K473" i="4"/>
  <c r="K308" i="4"/>
  <c r="K475" i="4"/>
  <c r="K369" i="4"/>
  <c r="K497" i="4"/>
  <c r="K440" i="4"/>
  <c r="K19" i="4"/>
  <c r="K136" i="4"/>
  <c r="K232" i="4"/>
  <c r="K306" i="4"/>
  <c r="K285" i="4"/>
  <c r="K171" i="4"/>
  <c r="K333" i="4"/>
  <c r="K406" i="4"/>
  <c r="K174" i="4"/>
  <c r="K168" i="4"/>
  <c r="K284" i="4"/>
  <c r="K288" i="4"/>
  <c r="K281" i="4"/>
  <c r="K466" i="4"/>
  <c r="K260" i="4"/>
  <c r="K419" i="4"/>
  <c r="K217" i="4"/>
  <c r="K90" i="4"/>
  <c r="K391" i="4"/>
  <c r="K188" i="4"/>
  <c r="K429" i="4"/>
  <c r="K228" i="4"/>
  <c r="K139" i="4"/>
  <c r="K7" i="4"/>
  <c r="K269" i="4"/>
  <c r="K278" i="4"/>
  <c r="K345" i="4"/>
  <c r="K400" i="4"/>
  <c r="K88" i="4"/>
  <c r="K318" i="4"/>
  <c r="K481" i="4"/>
  <c r="K29" i="4"/>
  <c r="K182" i="4"/>
  <c r="K230" i="4"/>
  <c r="K312" i="4"/>
  <c r="K407" i="4"/>
  <c r="K53" i="4"/>
  <c r="K242" i="4"/>
  <c r="K401" i="4"/>
  <c r="K198" i="4"/>
  <c r="K446" i="4"/>
  <c r="K368" i="4"/>
  <c r="K146" i="4"/>
  <c r="K40" i="4"/>
  <c r="K356" i="4"/>
  <c r="K305" i="4"/>
  <c r="K463" i="4"/>
  <c r="K103" i="4"/>
  <c r="K309" i="4"/>
  <c r="K451" i="4"/>
  <c r="K144" i="4"/>
  <c r="K360" i="4"/>
  <c r="K254" i="4"/>
  <c r="K191" i="4"/>
  <c r="K83" i="4"/>
  <c r="K389" i="4"/>
  <c r="K60" i="4"/>
  <c r="K457" i="4"/>
  <c r="K243" i="4"/>
  <c r="K17" i="4"/>
  <c r="K175" i="4"/>
  <c r="K4" i="4"/>
  <c r="K279" i="4"/>
  <c r="K490" i="4"/>
  <c r="K100" i="4"/>
  <c r="K355" i="4"/>
  <c r="K234" i="4"/>
  <c r="K48" i="4"/>
  <c r="K296" i="4"/>
  <c r="K354" i="4"/>
  <c r="K82" i="4"/>
  <c r="K238" i="4"/>
  <c r="K179" i="4"/>
  <c r="K58" i="4"/>
  <c r="K106" i="4"/>
  <c r="K178" i="4"/>
  <c r="K299" i="4"/>
  <c r="K480" i="4"/>
  <c r="K177" i="4"/>
  <c r="K413" i="4"/>
  <c r="K483" i="4"/>
  <c r="K353" i="4"/>
  <c r="K352" i="4"/>
  <c r="K192" i="4"/>
  <c r="K80" i="4"/>
  <c r="K15" i="4"/>
  <c r="K485" i="4"/>
  <c r="K442" i="4"/>
  <c r="K382" i="4"/>
  <c r="K291" i="4"/>
  <c r="K436" i="4"/>
  <c r="K351" i="4"/>
  <c r="K430" i="4"/>
  <c r="K54" i="4"/>
  <c r="K113" i="4"/>
  <c r="K9" i="4"/>
  <c r="K24" i="4"/>
  <c r="K350" i="4"/>
  <c r="K115" i="4"/>
  <c r="K105" i="4"/>
  <c r="K493" i="4"/>
  <c r="K395" i="4"/>
  <c r="K209" i="4"/>
  <c r="K201" i="4"/>
  <c r="K447" i="4"/>
  <c r="K26" i="4"/>
  <c r="K270" i="4"/>
  <c r="K378" i="4"/>
  <c r="K18" i="4"/>
  <c r="K349" i="4"/>
  <c r="K348" i="4"/>
  <c r="K376" i="4"/>
  <c r="K184" i="4"/>
  <c r="K301" i="4"/>
  <c r="K220" i="4"/>
  <c r="K469" i="4"/>
  <c r="K342" i="4"/>
  <c r="K461" i="4"/>
  <c r="K203" i="4"/>
  <c r="K155" i="4"/>
  <c r="K21" i="4"/>
  <c r="K127" i="4"/>
  <c r="K316" i="4"/>
  <c r="K250" i="4"/>
  <c r="K402" i="4"/>
  <c r="K359" i="4"/>
  <c r="K452" i="4"/>
  <c r="K470" i="4"/>
  <c r="K357" i="4"/>
  <c r="K148" i="4"/>
  <c r="K94" i="4"/>
  <c r="K141" i="4"/>
  <c r="K137" i="4"/>
  <c r="K341" i="4"/>
  <c r="K476" i="4"/>
  <c r="K118" i="4"/>
  <c r="K8" i="4"/>
  <c r="K347" i="4"/>
  <c r="K282" i="4"/>
  <c r="K180" i="4"/>
  <c r="K467" i="4"/>
  <c r="K439" i="4"/>
  <c r="K101" i="4"/>
  <c r="K124" i="4"/>
  <c r="K390" i="4"/>
  <c r="K165" i="4"/>
  <c r="K448" i="4"/>
  <c r="K215" i="4"/>
  <c r="K30" i="4"/>
  <c r="K295" i="4"/>
  <c r="K405" i="4"/>
  <c r="K56" i="4"/>
  <c r="K346" i="4"/>
  <c r="K204" i="4"/>
  <c r="K107" i="4"/>
  <c r="K495" i="4"/>
  <c r="K486" i="4"/>
  <c r="K275" i="4"/>
  <c r="K38" i="4"/>
  <c r="K78" i="4"/>
  <c r="K372" i="4"/>
  <c r="K205" i="4"/>
  <c r="K181" i="4"/>
  <c r="K453" i="4"/>
  <c r="K307" i="4"/>
  <c r="K59" i="4"/>
  <c r="K42" i="4"/>
  <c r="K200" i="4"/>
  <c r="K128" i="4"/>
  <c r="K119" i="4"/>
  <c r="K199" i="4"/>
  <c r="K267" i="4"/>
  <c r="K229" i="4"/>
  <c r="K449" i="4"/>
  <c r="K213" i="4"/>
  <c r="K16" i="4"/>
  <c r="K85" i="4"/>
  <c r="K235" i="4"/>
  <c r="K73" i="4"/>
  <c r="K84" i="4"/>
  <c r="K138" i="4"/>
  <c r="K161" i="4"/>
  <c r="K231" i="4"/>
  <c r="K129" i="4"/>
  <c r="K102" i="4"/>
  <c r="K196" i="4"/>
  <c r="K116" i="4"/>
  <c r="K303" i="4"/>
  <c r="K484" i="4"/>
  <c r="K383" i="4"/>
  <c r="K287" i="4"/>
  <c r="K197" i="4"/>
  <c r="K13" i="4"/>
  <c r="K272" i="4"/>
  <c r="K396" i="4"/>
  <c r="K409" i="4"/>
  <c r="K404" i="4"/>
  <c r="L264" i="4"/>
  <c r="K264" i="4"/>
  <c r="L416" i="4"/>
  <c r="K416" i="4"/>
  <c r="L427" i="4"/>
  <c r="K427" i="4"/>
  <c r="L399" i="4"/>
  <c r="K399" i="4"/>
  <c r="L443" i="4"/>
  <c r="K443" i="4"/>
  <c r="L70" i="4"/>
  <c r="K70" i="4"/>
  <c r="L361" i="4"/>
  <c r="K361" i="4"/>
  <c r="L111" i="4"/>
  <c r="K111" i="4"/>
  <c r="L379" i="4"/>
  <c r="K379" i="4"/>
  <c r="L245" i="4"/>
  <c r="K245" i="4"/>
  <c r="L474" i="4"/>
  <c r="K474" i="4"/>
  <c r="L425" i="4"/>
  <c r="K425" i="4"/>
  <c r="L34" i="4"/>
  <c r="K34" i="4"/>
  <c r="L147" i="4"/>
  <c r="K147" i="4"/>
  <c r="L49" i="4"/>
  <c r="K49" i="4"/>
  <c r="L122" i="4"/>
  <c r="K122" i="4"/>
  <c r="L358" i="4"/>
  <c r="K358" i="4"/>
  <c r="L10" i="4"/>
  <c r="K10" i="4"/>
  <c r="L47" i="4"/>
  <c r="K47" i="4"/>
  <c r="L283" i="4"/>
  <c r="K283" i="4"/>
  <c r="L55" i="4"/>
  <c r="K55" i="4"/>
  <c r="I264" i="4"/>
  <c r="I404" i="4"/>
  <c r="I409" i="4"/>
  <c r="I396" i="4"/>
  <c r="I272" i="4"/>
  <c r="I13" i="4"/>
  <c r="I197" i="4"/>
  <c r="I287" i="4"/>
  <c r="I383" i="4"/>
  <c r="I484" i="4"/>
  <c r="I303" i="4"/>
  <c r="I116" i="4"/>
  <c r="I196" i="4"/>
  <c r="I102" i="4"/>
  <c r="I129" i="4"/>
  <c r="I231" i="4"/>
  <c r="I161" i="4"/>
  <c r="I138" i="4"/>
  <c r="I84" i="4"/>
  <c r="I73" i="4"/>
  <c r="I235" i="4"/>
  <c r="I85" i="4"/>
  <c r="I16" i="4"/>
  <c r="I213" i="4"/>
  <c r="I449" i="4"/>
  <c r="I229" i="4"/>
  <c r="I267" i="4"/>
  <c r="I199" i="4"/>
  <c r="I119" i="4"/>
  <c r="I128" i="4"/>
  <c r="I200" i="4"/>
  <c r="I42" i="4"/>
  <c r="I59" i="4"/>
  <c r="I307" i="4"/>
  <c r="I453" i="4"/>
  <c r="I181" i="4"/>
  <c r="I205" i="4"/>
  <c r="I372" i="4"/>
  <c r="I78" i="4"/>
  <c r="I38" i="4"/>
  <c r="I275" i="4"/>
  <c r="I486" i="4"/>
  <c r="I495" i="4"/>
  <c r="I107" i="4"/>
  <c r="I204" i="4"/>
  <c r="I346" i="4"/>
  <c r="I56" i="4"/>
  <c r="I405" i="4"/>
  <c r="I295" i="4"/>
  <c r="I30" i="4"/>
  <c r="I215" i="4"/>
  <c r="I448" i="4"/>
  <c r="I165" i="4"/>
  <c r="I390" i="4"/>
  <c r="I124" i="4"/>
  <c r="I101" i="4"/>
  <c r="I439" i="4"/>
  <c r="I467" i="4"/>
  <c r="I180" i="4"/>
  <c r="I282" i="4"/>
  <c r="I347" i="4"/>
  <c r="I8" i="4"/>
  <c r="I118" i="4"/>
  <c r="I476" i="4"/>
  <c r="I341" i="4"/>
  <c r="I137" i="4"/>
  <c r="I141" i="4"/>
  <c r="I94" i="4"/>
  <c r="I148" i="4"/>
  <c r="I357" i="4"/>
  <c r="I470" i="4"/>
  <c r="I452" i="4"/>
  <c r="I359" i="4"/>
  <c r="I402" i="4"/>
  <c r="I250" i="4"/>
  <c r="I316" i="4"/>
  <c r="I127" i="4"/>
  <c r="I21" i="4"/>
  <c r="I155" i="4"/>
  <c r="I203" i="4"/>
  <c r="I461" i="4"/>
  <c r="I342" i="4"/>
  <c r="I469" i="4"/>
  <c r="I220" i="4"/>
  <c r="I301" i="4"/>
  <c r="I184" i="4"/>
  <c r="I376" i="4"/>
  <c r="I348" i="4"/>
  <c r="I349" i="4"/>
  <c r="I18" i="4"/>
  <c r="I378" i="4"/>
  <c r="I270" i="4"/>
  <c r="I26" i="4"/>
  <c r="I447" i="4"/>
  <c r="I201" i="4"/>
  <c r="I209" i="4"/>
  <c r="I395" i="4"/>
  <c r="I493" i="4"/>
  <c r="I105" i="4"/>
  <c r="I115" i="4"/>
  <c r="I350" i="4"/>
  <c r="I24" i="4"/>
  <c r="I9" i="4"/>
  <c r="I113" i="4"/>
  <c r="I54" i="4"/>
  <c r="I430" i="4"/>
  <c r="I351" i="4"/>
  <c r="I436" i="4"/>
  <c r="I291" i="4"/>
  <c r="I382" i="4"/>
  <c r="I442" i="4"/>
  <c r="I485" i="4"/>
  <c r="I15" i="4"/>
  <c r="I80" i="4"/>
  <c r="I192" i="4"/>
  <c r="I352" i="4"/>
  <c r="I353" i="4"/>
  <c r="I483" i="4"/>
  <c r="I413" i="4"/>
  <c r="I177" i="4"/>
  <c r="I480" i="4"/>
  <c r="I299" i="4"/>
  <c r="I178" i="4"/>
  <c r="I106" i="4"/>
  <c r="I58" i="4"/>
  <c r="I179" i="4"/>
  <c r="I238" i="4"/>
  <c r="I82" i="4"/>
  <c r="I354" i="4"/>
  <c r="I296" i="4"/>
  <c r="I48" i="4"/>
  <c r="I234" i="4"/>
  <c r="I355" i="4"/>
  <c r="I100" i="4"/>
  <c r="I490" i="4"/>
  <c r="I279" i="4"/>
  <c r="I4" i="4"/>
  <c r="I175" i="4"/>
  <c r="I17" i="4"/>
  <c r="I243" i="4"/>
  <c r="I457" i="4"/>
  <c r="I60" i="4"/>
  <c r="I389" i="4"/>
  <c r="I83" i="4"/>
  <c r="I191" i="4"/>
  <c r="I254" i="4"/>
  <c r="I360" i="4"/>
  <c r="I144" i="4"/>
  <c r="I451" i="4"/>
  <c r="I309" i="4"/>
  <c r="I103" i="4"/>
  <c r="I463" i="4"/>
  <c r="I305" i="4"/>
  <c r="I356" i="4"/>
  <c r="I40" i="4"/>
  <c r="I146" i="4"/>
  <c r="I368" i="4"/>
  <c r="I446" i="4"/>
  <c r="I198" i="4"/>
  <c r="I401" i="4"/>
  <c r="I242" i="4"/>
  <c r="I53" i="4"/>
  <c r="I407" i="4"/>
  <c r="I312" i="4"/>
  <c r="I230" i="4"/>
  <c r="I182" i="4"/>
  <c r="I29" i="4"/>
  <c r="I481" i="4"/>
  <c r="I318" i="4"/>
  <c r="I88" i="4"/>
  <c r="I400" i="4"/>
  <c r="I345" i="4"/>
  <c r="I278" i="4"/>
  <c r="I269" i="4"/>
  <c r="I7" i="4"/>
  <c r="I139" i="4"/>
  <c r="I228" i="4"/>
  <c r="I429" i="4"/>
  <c r="I188" i="4"/>
  <c r="I391" i="4"/>
  <c r="I90" i="4"/>
  <c r="I217" i="4"/>
  <c r="I419" i="4"/>
  <c r="I260" i="4"/>
  <c r="I466" i="4"/>
  <c r="I281" i="4"/>
  <c r="I288" i="4"/>
  <c r="I284" i="4"/>
  <c r="I168" i="4"/>
  <c r="I174" i="4"/>
  <c r="I406" i="4"/>
  <c r="I333" i="4"/>
  <c r="I171" i="4"/>
  <c r="I285" i="4"/>
  <c r="I306" i="4"/>
  <c r="I232" i="4"/>
  <c r="I136" i="4"/>
  <c r="I19" i="4"/>
  <c r="I440" i="4"/>
  <c r="I497" i="4"/>
  <c r="I369" i="4"/>
  <c r="I475" i="4"/>
  <c r="I308" i="4"/>
  <c r="I473" i="4"/>
  <c r="I108" i="4"/>
  <c r="I237" i="4"/>
  <c r="I297" i="4"/>
  <c r="I458" i="4"/>
  <c r="I166" i="4"/>
  <c r="I363" i="4"/>
  <c r="I487" i="4"/>
  <c r="I27" i="4"/>
  <c r="I50" i="4"/>
  <c r="I337" i="4"/>
  <c r="I465" i="4"/>
  <c r="I89" i="4"/>
  <c r="I385" i="4"/>
  <c r="I93" i="4"/>
  <c r="I133" i="4"/>
  <c r="I319" i="4"/>
  <c r="I464" i="4"/>
  <c r="I336" i="4"/>
  <c r="I87" i="4"/>
  <c r="I216" i="4"/>
  <c r="I202" i="4"/>
  <c r="I2" i="4"/>
  <c r="I45" i="4"/>
  <c r="I328" i="4"/>
  <c r="I263" i="4"/>
  <c r="I176" i="4"/>
  <c r="I14" i="4"/>
  <c r="I488" i="4"/>
  <c r="I418" i="4"/>
  <c r="I95" i="4"/>
  <c r="I218" i="4"/>
  <c r="I438" i="4"/>
  <c r="I187" i="4"/>
  <c r="I411" i="4"/>
  <c r="I240" i="4"/>
  <c r="I183" i="4"/>
  <c r="I367" i="4"/>
  <c r="I211" i="4"/>
  <c r="I392" i="4"/>
  <c r="I244" i="4"/>
  <c r="I159" i="4"/>
  <c r="I68" i="4"/>
  <c r="I239" i="4"/>
  <c r="I227" i="4"/>
  <c r="I366" i="4"/>
  <c r="I212" i="4"/>
  <c r="I190" i="4"/>
  <c r="I492" i="4"/>
  <c r="I330" i="4"/>
  <c r="I75" i="4"/>
  <c r="I456" i="4"/>
  <c r="I426" i="4"/>
  <c r="I117" i="4"/>
  <c r="I415" i="4"/>
  <c r="I274" i="4"/>
  <c r="I193" i="4"/>
  <c r="I20" i="4"/>
  <c r="I273" i="4"/>
  <c r="I335" i="4"/>
  <c r="I65" i="4"/>
  <c r="I298" i="4"/>
  <c r="I403" i="4"/>
  <c r="I223" i="4"/>
  <c r="I12" i="4"/>
  <c r="I163" i="4"/>
  <c r="I394" i="4"/>
  <c r="I208" i="4"/>
  <c r="I98" i="4"/>
  <c r="I154" i="4"/>
  <c r="I313" i="4"/>
  <c r="I362" i="4"/>
  <c r="I441" i="4"/>
  <c r="I157" i="4"/>
  <c r="I324" i="4"/>
  <c r="I140" i="4"/>
  <c r="I433" i="4"/>
  <c r="I289" i="4"/>
  <c r="I325" i="4"/>
  <c r="I91" i="4"/>
  <c r="I424" i="4"/>
  <c r="I423" i="4"/>
  <c r="I302" i="4"/>
  <c r="I63" i="4"/>
  <c r="I384" i="4"/>
  <c r="I304" i="4"/>
  <c r="I257" i="4"/>
  <c r="I388" i="4"/>
  <c r="I494" i="4"/>
  <c r="I61" i="4"/>
  <c r="I32" i="4"/>
  <c r="I74" i="4"/>
  <c r="I135" i="4"/>
  <c r="I152" i="4"/>
  <c r="I249" i="4"/>
  <c r="I109" i="4"/>
  <c r="I247" i="4"/>
  <c r="I131" i="4"/>
  <c r="I112" i="4"/>
  <c r="I428" i="4"/>
  <c r="I120" i="4"/>
  <c r="I414" i="4"/>
  <c r="I222" i="4"/>
  <c r="I320" i="4"/>
  <c r="I36" i="4"/>
  <c r="I445" i="4"/>
  <c r="I51" i="4"/>
  <c r="I326" i="4"/>
  <c r="I286" i="4"/>
  <c r="I450" i="4"/>
  <c r="I125" i="4"/>
  <c r="I189" i="4"/>
  <c r="I412" i="4"/>
  <c r="I195" i="4"/>
  <c r="I97" i="4"/>
  <c r="I134" i="4"/>
  <c r="I408" i="4"/>
  <c r="I300" i="4"/>
  <c r="I43" i="4"/>
  <c r="I3" i="4"/>
  <c r="I210" i="4"/>
  <c r="I121" i="4"/>
  <c r="I290" i="4"/>
  <c r="I334" i="4"/>
  <c r="I386" i="4"/>
  <c r="I311" i="4"/>
  <c r="I162" i="4"/>
  <c r="I221" i="4"/>
  <c r="I114" i="4"/>
  <c r="I11" i="4"/>
  <c r="I253" i="4"/>
  <c r="I310" i="4"/>
  <c r="I81" i="4"/>
  <c r="I145" i="4"/>
  <c r="I52" i="4"/>
  <c r="I72" i="4"/>
  <c r="I422" i="4"/>
  <c r="I410" i="4"/>
  <c r="I322" i="4"/>
  <c r="I370" i="4"/>
  <c r="I173" i="4"/>
  <c r="I331" i="4"/>
  <c r="I417" i="4"/>
  <c r="I258" i="4"/>
  <c r="I381" i="4"/>
  <c r="I57" i="4"/>
  <c r="I327" i="4"/>
  <c r="I393" i="4"/>
  <c r="I67" i="4"/>
  <c r="I96" i="4"/>
  <c r="I150" i="4"/>
  <c r="I167" i="4"/>
  <c r="I434" i="4"/>
  <c r="I44" i="4"/>
  <c r="I62" i="4"/>
  <c r="I294" i="4"/>
  <c r="I321" i="4"/>
  <c r="I468" i="4"/>
  <c r="I142" i="4"/>
  <c r="I338" i="4"/>
  <c r="I339" i="4"/>
  <c r="I149" i="4"/>
  <c r="I169" i="4"/>
  <c r="I172" i="4"/>
  <c r="I478" i="4"/>
  <c r="I482" i="4"/>
  <c r="I233" i="4"/>
  <c r="I25" i="4"/>
  <c r="I241" i="4"/>
  <c r="I332" i="4"/>
  <c r="I76" i="4"/>
  <c r="I104" i="4"/>
  <c r="I77" i="4"/>
  <c r="I236" i="4"/>
  <c r="I132" i="4"/>
  <c r="I371" i="4"/>
  <c r="I41" i="4"/>
  <c r="I86" i="4"/>
  <c r="I380" i="4"/>
  <c r="I432" i="4"/>
  <c r="I251" i="4"/>
  <c r="I35" i="4"/>
  <c r="I39" i="4"/>
  <c r="I225" i="4"/>
  <c r="I455" i="4"/>
  <c r="I315" i="4"/>
  <c r="I277" i="4"/>
  <c r="I153" i="4"/>
  <c r="I66" i="4"/>
  <c r="I340" i="4"/>
  <c r="I46" i="4"/>
  <c r="I280" i="4"/>
  <c r="I164" i="4"/>
  <c r="I329" i="4"/>
  <c r="I373" i="4"/>
  <c r="I252" i="4"/>
  <c r="I377" i="4"/>
  <c r="I444" i="4"/>
  <c r="I276" i="4"/>
  <c r="I206" i="4"/>
  <c r="I28" i="4"/>
  <c r="I248" i="4"/>
  <c r="I431" i="4"/>
  <c r="I268" i="4"/>
  <c r="I477" i="4"/>
  <c r="I126" i="4"/>
  <c r="I170" i="4"/>
  <c r="I471" i="4"/>
  <c r="I435" i="4"/>
  <c r="I226" i="4"/>
  <c r="I454" i="4"/>
  <c r="I92" i="4"/>
  <c r="I271" i="4"/>
  <c r="I314" i="4"/>
  <c r="I37" i="4"/>
  <c r="I462" i="4"/>
  <c r="I5" i="4"/>
  <c r="I158" i="4"/>
  <c r="I261" i="4"/>
  <c r="I246" i="4"/>
  <c r="I79" i="4"/>
  <c r="I186" i="4"/>
  <c r="I156" i="4"/>
  <c r="I194" i="4"/>
  <c r="I460" i="4"/>
  <c r="I123" i="4"/>
  <c r="I498" i="4"/>
  <c r="I110" i="4"/>
  <c r="I160" i="4"/>
  <c r="I64" i="4"/>
  <c r="I459" i="4"/>
  <c r="I489" i="4"/>
  <c r="I398" i="4"/>
  <c r="I22" i="4"/>
  <c r="I479" i="4"/>
  <c r="I364" i="4"/>
  <c r="I6" i="4"/>
  <c r="I23" i="4"/>
  <c r="I317" i="4"/>
  <c r="I265" i="4"/>
  <c r="I420" i="4"/>
  <c r="I344" i="4"/>
  <c r="I214" i="4"/>
  <c r="I130" i="4"/>
  <c r="I259" i="4"/>
  <c r="I266" i="4"/>
  <c r="I472" i="4"/>
  <c r="I185" i="4"/>
  <c r="I387" i="4"/>
  <c r="I421" i="4"/>
  <c r="I262" i="4"/>
  <c r="I69" i="4"/>
  <c r="I31" i="4"/>
  <c r="I99" i="4"/>
  <c r="I256" i="4"/>
  <c r="I293" i="4"/>
  <c r="I397" i="4"/>
  <c r="I219" i="4"/>
  <c r="I437" i="4"/>
  <c r="I343" i="4"/>
  <c r="I71" i="4"/>
  <c r="I375" i="4"/>
  <c r="I224" i="4"/>
  <c r="I143" i="4"/>
  <c r="I151" i="4"/>
  <c r="I283" i="4"/>
  <c r="I47" i="4"/>
  <c r="I10" i="4"/>
  <c r="I358" i="4"/>
  <c r="I122" i="4"/>
  <c r="I49" i="4"/>
  <c r="I147" i="4"/>
  <c r="I34" i="4"/>
  <c r="I425" i="4"/>
  <c r="I245" i="4"/>
  <c r="I379" i="4"/>
  <c r="I111" i="4"/>
  <c r="I361" i="4"/>
  <c r="I70" i="4"/>
  <c r="I443" i="4"/>
  <c r="I399" i="4"/>
  <c r="I427" i="4"/>
  <c r="I416" i="4"/>
  <c r="L501" i="4"/>
  <c r="I500" i="4"/>
  <c r="J500" i="4"/>
  <c r="K500" i="4"/>
  <c r="L500" i="4"/>
  <c r="M500" i="4"/>
  <c r="N500" i="4"/>
  <c r="I501" i="4"/>
  <c r="J501" i="4"/>
  <c r="K501" i="4"/>
  <c r="M501" i="4"/>
  <c r="N501" i="4"/>
  <c r="T141" i="6" l="1"/>
  <c r="A141" i="6" s="1"/>
  <c r="T440" i="6"/>
  <c r="A440" i="6" s="1"/>
  <c r="T56" i="6"/>
  <c r="A56" i="6" s="1"/>
  <c r="T17" i="6"/>
  <c r="A17" i="6" s="1"/>
  <c r="T246" i="6"/>
  <c r="A246" i="6" s="1"/>
  <c r="T433" i="6"/>
  <c r="A433" i="6" s="1"/>
  <c r="T76" i="6"/>
  <c r="A76" i="6" s="1"/>
  <c r="T380" i="6"/>
  <c r="A380" i="6" s="1"/>
  <c r="T38" i="6"/>
  <c r="A38" i="6" s="1"/>
  <c r="T363" i="6"/>
  <c r="A363" i="6" s="1"/>
  <c r="T39" i="6"/>
  <c r="A39" i="6" s="1"/>
  <c r="T156" i="6"/>
  <c r="A156" i="6" s="1"/>
  <c r="T187" i="6"/>
  <c r="A187" i="6" s="1"/>
  <c r="T261" i="6"/>
  <c r="A261" i="6" s="1"/>
  <c r="T475" i="6"/>
  <c r="A475" i="6" s="1"/>
  <c r="T135" i="6"/>
  <c r="A135" i="6" s="1"/>
  <c r="T491" i="6"/>
  <c r="A491" i="6" s="1"/>
  <c r="T7" i="6"/>
  <c r="A7" i="6" s="1"/>
  <c r="T397" i="6"/>
  <c r="A397" i="6" s="1"/>
  <c r="T66" i="6"/>
  <c r="A66" i="6" s="1"/>
  <c r="T74" i="6"/>
  <c r="A74" i="6" s="1"/>
  <c r="T30" i="6"/>
  <c r="A30" i="6" s="1"/>
  <c r="T466" i="6"/>
  <c r="A466" i="6" s="1"/>
  <c r="T486" i="6"/>
  <c r="A486" i="6" s="1"/>
  <c r="T257" i="6"/>
  <c r="A257" i="6" s="1"/>
  <c r="T212" i="6"/>
  <c r="A212" i="6" s="1"/>
  <c r="T316" i="6"/>
  <c r="A316" i="6" s="1"/>
  <c r="T258" i="6"/>
  <c r="A258" i="6" s="1"/>
  <c r="T302" i="6"/>
  <c r="A302" i="6" s="1"/>
  <c r="T22" i="6"/>
  <c r="A22" i="6" s="1"/>
  <c r="T128" i="6"/>
  <c r="A128" i="6" s="1"/>
  <c r="T478" i="6"/>
  <c r="A478" i="6" s="1"/>
  <c r="T252" i="6"/>
  <c r="A252" i="6" s="1"/>
  <c r="T134" i="6"/>
  <c r="A134" i="6" s="1"/>
  <c r="T87" i="6"/>
  <c r="A87" i="6" s="1"/>
  <c r="T325" i="6"/>
  <c r="A325" i="6" s="1"/>
  <c r="T350" i="6"/>
  <c r="A350" i="6" s="1"/>
  <c r="T14" i="6"/>
  <c r="A14" i="6" s="1"/>
  <c r="T127" i="6"/>
  <c r="A127" i="6" s="1"/>
  <c r="T112" i="6"/>
  <c r="A112" i="6" s="1"/>
  <c r="T177" i="6"/>
  <c r="A177" i="6" s="1"/>
  <c r="T207" i="6"/>
  <c r="A207" i="6" s="1"/>
  <c r="T194" i="6"/>
  <c r="A194" i="6" s="1"/>
  <c r="T148" i="6"/>
  <c r="A148" i="6" s="1"/>
  <c r="T26" i="6"/>
  <c r="A26" i="6" s="1"/>
  <c r="T188" i="6"/>
  <c r="A188" i="6" s="1"/>
  <c r="T137" i="6"/>
  <c r="A137" i="6" s="1"/>
  <c r="T492" i="6"/>
  <c r="A492" i="6" s="1"/>
  <c r="T312" i="6"/>
  <c r="A312" i="6" s="1"/>
  <c r="T385" i="6"/>
  <c r="A385" i="6" s="1"/>
  <c r="T264" i="6"/>
  <c r="A264" i="6" s="1"/>
  <c r="T37" i="6"/>
  <c r="A37" i="6" s="1"/>
  <c r="T356" i="6"/>
  <c r="A356" i="6" s="1"/>
  <c r="T211" i="6"/>
  <c r="A211" i="6" s="1"/>
  <c r="T401" i="6"/>
  <c r="A401" i="6" s="1"/>
  <c r="T410" i="6"/>
  <c r="A410" i="6" s="1"/>
  <c r="T98" i="6"/>
  <c r="A98" i="6" s="1"/>
  <c r="T213" i="6"/>
  <c r="A213" i="6" s="1"/>
  <c r="T86" i="6"/>
  <c r="A86" i="6" s="1"/>
  <c r="T256" i="6"/>
  <c r="A256" i="6" s="1"/>
  <c r="T102" i="6"/>
  <c r="A102" i="6" s="1"/>
  <c r="T118" i="6"/>
  <c r="A118" i="6" s="1"/>
  <c r="T204" i="6"/>
  <c r="A204" i="6" s="1"/>
  <c r="T375" i="6"/>
  <c r="A375" i="6" s="1"/>
  <c r="T32" i="6"/>
  <c r="A32" i="6" s="1"/>
  <c r="T36" i="6"/>
  <c r="A36" i="6" s="1"/>
  <c r="T73" i="6"/>
  <c r="A73" i="6" s="1"/>
  <c r="T81" i="6"/>
  <c r="A81" i="6" s="1"/>
  <c r="T254" i="6"/>
  <c r="A254" i="6" s="1"/>
  <c r="T463" i="6"/>
  <c r="A463" i="6" s="1"/>
  <c r="T483" i="6"/>
  <c r="A483" i="6" s="1"/>
  <c r="T33" i="6"/>
  <c r="A33" i="6" s="1"/>
  <c r="T11" i="6"/>
  <c r="A11" i="6" s="1"/>
  <c r="T310" i="6"/>
  <c r="A310" i="6" s="1"/>
  <c r="T328" i="6"/>
  <c r="A328" i="6" s="1"/>
  <c r="T94" i="6"/>
  <c r="A94" i="6" s="1"/>
  <c r="T183" i="6"/>
  <c r="A183" i="6" s="1"/>
  <c r="T190" i="6"/>
  <c r="A190" i="6" s="1"/>
  <c r="T60" i="6"/>
  <c r="A60" i="6" s="1"/>
  <c r="T454" i="6"/>
  <c r="A454" i="6" s="1"/>
  <c r="T139" i="6"/>
  <c r="A139" i="6" s="1"/>
  <c r="T301" i="6"/>
  <c r="A301" i="6" s="1"/>
  <c r="T174" i="6"/>
  <c r="A174" i="6" s="1"/>
  <c r="T304" i="6"/>
  <c r="A304" i="6" s="1"/>
  <c r="T390" i="6"/>
  <c r="A390" i="6" s="1"/>
  <c r="T150" i="6"/>
  <c r="A150" i="6" s="1"/>
  <c r="T299" i="6"/>
  <c r="A299" i="6" s="1"/>
  <c r="T358" i="6"/>
  <c r="A358" i="6" s="1"/>
  <c r="T298" i="6"/>
  <c r="A298" i="6" s="1"/>
  <c r="T387" i="6"/>
  <c r="A387" i="6" s="1"/>
  <c r="T432" i="6"/>
  <c r="A432" i="6" s="1"/>
  <c r="T172" i="6"/>
  <c r="A172" i="6" s="1"/>
  <c r="T450" i="6"/>
  <c r="A450" i="6" s="1"/>
  <c r="T105" i="6"/>
  <c r="A105" i="6" s="1"/>
  <c r="T444" i="6"/>
  <c r="A444" i="6" s="1"/>
  <c r="T266" i="6"/>
  <c r="A266" i="6" s="1"/>
  <c r="T229" i="6"/>
  <c r="A229" i="6" s="1"/>
  <c r="T331" i="6"/>
  <c r="A331" i="6" s="1"/>
  <c r="T341" i="6"/>
  <c r="A341" i="6" s="1"/>
  <c r="T99" i="6"/>
  <c r="A99" i="6" s="1"/>
  <c r="T307" i="6"/>
  <c r="A307" i="6" s="1"/>
  <c r="T206" i="6"/>
  <c r="A206" i="6" s="1"/>
  <c r="T330" i="6"/>
  <c r="A330" i="6" s="1"/>
  <c r="T339" i="6"/>
  <c r="A339" i="6" s="1"/>
  <c r="T119" i="6"/>
  <c r="A119" i="6" s="1"/>
  <c r="T260" i="6"/>
  <c r="A260" i="6" s="1"/>
  <c r="T255" i="6"/>
  <c r="A255" i="6" s="1"/>
  <c r="T3" i="6"/>
  <c r="A3" i="6" s="1"/>
  <c r="T262" i="6"/>
  <c r="A262" i="6" s="1"/>
  <c r="T489" i="6"/>
  <c r="A489" i="6" s="1"/>
  <c r="T34" i="6"/>
  <c r="A34" i="6" s="1"/>
  <c r="T163" i="6"/>
  <c r="A163" i="6" s="1"/>
  <c r="T469" i="6"/>
  <c r="A469" i="6" s="1"/>
  <c r="T147" i="6"/>
  <c r="A147" i="6" s="1"/>
  <c r="T181" i="6"/>
  <c r="A181" i="6" s="1"/>
  <c r="T303" i="6"/>
  <c r="A303" i="6" s="1"/>
  <c r="T245" i="6"/>
  <c r="A245" i="6" s="1"/>
  <c r="T16" i="6"/>
  <c r="A16" i="6" s="1"/>
  <c r="T173" i="6"/>
  <c r="A173" i="6" s="1"/>
  <c r="T435" i="6"/>
  <c r="A435" i="6" s="1"/>
  <c r="T197" i="6"/>
  <c r="A197" i="6" s="1"/>
  <c r="T473" i="6"/>
  <c r="A473" i="6" s="1"/>
  <c r="T131" i="6"/>
  <c r="A131" i="6" s="1"/>
  <c r="T253" i="6"/>
  <c r="A253" i="6" s="1"/>
  <c r="T251" i="6"/>
  <c r="A251" i="6" s="1"/>
  <c r="T70" i="6"/>
  <c r="A70" i="6" s="1"/>
  <c r="T369" i="6"/>
  <c r="A369" i="6" s="1"/>
  <c r="T31" i="6"/>
  <c r="A31" i="6" s="1"/>
  <c r="T250" i="6"/>
  <c r="A250" i="6" s="1"/>
  <c r="T434" i="6"/>
  <c r="A434" i="6" s="1"/>
  <c r="T178" i="6"/>
  <c r="A178" i="6" s="1"/>
  <c r="T124" i="6"/>
  <c r="A124" i="6" s="1"/>
  <c r="T382" i="6"/>
  <c r="A382" i="6" s="1"/>
  <c r="T28" i="6"/>
  <c r="A28" i="6" s="1"/>
  <c r="T27" i="6"/>
  <c r="A27" i="6" s="1"/>
  <c r="T346" i="6"/>
  <c r="A346" i="6" s="1"/>
  <c r="T446" i="6"/>
  <c r="A446" i="6" s="1"/>
  <c r="T453" i="6"/>
  <c r="A453" i="6" s="1"/>
  <c r="T474" i="6"/>
  <c r="A474" i="6" s="1"/>
  <c r="T345" i="6"/>
  <c r="A345" i="6" s="1"/>
  <c r="T313" i="6"/>
  <c r="A313" i="6" s="1"/>
  <c r="T342" i="6"/>
  <c r="A342" i="6" s="1"/>
  <c r="T408" i="6"/>
  <c r="A408" i="6" s="1"/>
  <c r="T476" i="6"/>
  <c r="A476" i="6" s="1"/>
  <c r="T136" i="6"/>
  <c r="A136" i="6" s="1"/>
  <c r="T143" i="6"/>
  <c r="A143" i="6" s="1"/>
  <c r="T20" i="6"/>
  <c r="A20" i="6" s="1"/>
  <c r="T35" i="6"/>
  <c r="A35" i="6" s="1"/>
  <c r="T153" i="6"/>
  <c r="A153" i="6" s="1"/>
  <c r="T185" i="6"/>
  <c r="A185" i="6" s="1"/>
  <c r="T306" i="6"/>
  <c r="A306" i="6" s="1"/>
  <c r="T470" i="6"/>
  <c r="A470" i="6" s="1"/>
  <c r="T467" i="6"/>
  <c r="A467" i="6" s="1"/>
  <c r="T407" i="6"/>
  <c r="A407" i="6" s="1"/>
  <c r="T394" i="6"/>
  <c r="A394" i="6" s="1"/>
  <c r="T97" i="6"/>
  <c r="A97" i="6" s="1"/>
  <c r="T117" i="6"/>
  <c r="A117" i="6" s="1"/>
  <c r="T199" i="6"/>
  <c r="A199" i="6" s="1"/>
  <c r="T6" i="6"/>
  <c r="A6" i="6" s="1"/>
  <c r="T386" i="6"/>
  <c r="A386" i="6" s="1"/>
  <c r="T403" i="6"/>
  <c r="A403" i="6" s="1"/>
  <c r="T402" i="6"/>
  <c r="A402" i="6" s="1"/>
  <c r="T88" i="6"/>
  <c r="A88" i="6" s="1"/>
  <c r="T95" i="6"/>
  <c r="A95" i="6" s="1"/>
  <c r="T114" i="6"/>
  <c r="A114" i="6" s="1"/>
  <c r="T461" i="6"/>
  <c r="A461" i="6" s="1"/>
  <c r="T393" i="6"/>
  <c r="A393" i="6" s="1"/>
  <c r="T93" i="6"/>
  <c r="A93" i="6" s="1"/>
  <c r="T368" i="6"/>
  <c r="A368" i="6" s="1"/>
  <c r="T10" i="6"/>
  <c r="A10" i="6" s="1"/>
  <c r="T138" i="6"/>
  <c r="A138" i="6" s="1"/>
  <c r="T29" i="6"/>
  <c r="A29" i="6" s="1"/>
  <c r="T171" i="6"/>
  <c r="A171" i="6" s="1"/>
  <c r="T25" i="6"/>
  <c r="A25" i="6" s="1"/>
  <c r="T244" i="6"/>
  <c r="A244" i="6" s="1"/>
  <c r="T57" i="6"/>
  <c r="A57" i="6" s="1"/>
  <c r="T381" i="6"/>
  <c r="A381" i="6" s="1"/>
  <c r="T193" i="6"/>
  <c r="A193" i="6" s="1"/>
  <c r="T215" i="6"/>
  <c r="A215" i="6" s="1"/>
  <c r="T96" i="6"/>
  <c r="A96" i="6" s="1"/>
  <c r="T415" i="6"/>
  <c r="A415" i="6" s="1"/>
  <c r="T122" i="6"/>
  <c r="A122" i="6" s="1"/>
  <c r="T384" i="6"/>
  <c r="A384" i="6" s="1"/>
  <c r="T259" i="6"/>
  <c r="A259" i="6" s="1"/>
  <c r="T263" i="6"/>
  <c r="A263" i="6" s="1"/>
  <c r="T75" i="6"/>
  <c r="A75" i="6" s="1"/>
  <c r="T166" i="6"/>
  <c r="A166" i="6" s="1"/>
  <c r="T327" i="6"/>
  <c r="A327" i="6" s="1"/>
  <c r="T8" i="6"/>
  <c r="A8" i="6" s="1"/>
  <c r="T305" i="6"/>
  <c r="A305" i="6" s="1"/>
  <c r="T164" i="6"/>
  <c r="A164" i="6" s="1"/>
  <c r="T322" i="6"/>
  <c r="A322" i="6" s="1"/>
  <c r="T334" i="6"/>
  <c r="A334" i="6" s="1"/>
  <c r="T405" i="6"/>
  <c r="A405" i="6" s="1"/>
  <c r="T464" i="6"/>
  <c r="A464" i="6" s="1"/>
  <c r="T333" i="6"/>
  <c r="A333" i="6" s="1"/>
  <c r="T353" i="6"/>
  <c r="A353" i="6" s="1"/>
  <c r="T372" i="6"/>
  <c r="A372" i="6" s="1"/>
  <c r="T15" i="6"/>
  <c r="A15" i="6" s="1"/>
  <c r="T168" i="6"/>
  <c r="A168" i="6" s="1"/>
  <c r="T59" i="6"/>
  <c r="A59" i="6" s="1"/>
  <c r="T219" i="6"/>
  <c r="A219" i="6" s="1"/>
  <c r="T201" i="6"/>
  <c r="A201" i="6" s="1"/>
  <c r="T161" i="6"/>
  <c r="A161" i="6" s="1"/>
  <c r="T249" i="6"/>
  <c r="A249" i="6" s="1"/>
  <c r="T130" i="6"/>
  <c r="A130" i="6" s="1"/>
  <c r="T62" i="6"/>
  <c r="A62" i="6" s="1"/>
  <c r="T400" i="6"/>
  <c r="A400" i="6" s="1"/>
  <c r="T443" i="6"/>
  <c r="A443" i="6" s="1"/>
  <c r="T84" i="6"/>
  <c r="A84" i="6" s="1"/>
  <c r="T323" i="6"/>
  <c r="A323" i="6" s="1"/>
  <c r="T399" i="6"/>
  <c r="A399" i="6" s="1"/>
  <c r="T210" i="6"/>
  <c r="A210" i="6" s="1"/>
  <c r="T472" i="6"/>
  <c r="A472" i="6" s="1"/>
  <c r="T344" i="6"/>
  <c r="A344" i="6" s="1"/>
  <c r="T170" i="6"/>
  <c r="A170" i="6" s="1"/>
  <c r="T484" i="6"/>
  <c r="A484" i="6" s="1"/>
  <c r="T439" i="6"/>
  <c r="A439" i="6" s="1"/>
  <c r="T24" i="6"/>
  <c r="A24" i="6" s="1"/>
  <c r="T378" i="6"/>
  <c r="A378" i="6" s="1"/>
  <c r="T19" i="6"/>
  <c r="A19" i="6" s="1"/>
  <c r="T92" i="6"/>
  <c r="A92" i="6" s="1"/>
  <c r="T247" i="6"/>
  <c r="A247" i="6" s="1"/>
  <c r="T351" i="6"/>
  <c r="A351" i="6" s="1"/>
  <c r="T82" i="6"/>
  <c r="A82" i="6" s="1"/>
  <c r="T160" i="6"/>
  <c r="A160" i="6" s="1"/>
  <c r="T300" i="6"/>
  <c r="A300" i="6" s="1"/>
  <c r="T468" i="6"/>
  <c r="A468" i="6" s="1"/>
  <c r="T340" i="6"/>
  <c r="A340" i="6" s="1"/>
  <c r="T5" i="6"/>
  <c r="A5" i="6" s="1"/>
  <c r="T465" i="6"/>
  <c r="A465" i="6" s="1"/>
  <c r="T438" i="6"/>
  <c r="A438" i="6" s="1"/>
  <c r="T226" i="6"/>
  <c r="A226" i="6" s="1"/>
  <c r="T374" i="6"/>
  <c r="A374" i="6" s="1"/>
  <c r="T198" i="6"/>
  <c r="A198" i="6" s="1"/>
  <c r="T396" i="6"/>
  <c r="A396" i="6" s="1"/>
  <c r="T240" i="6"/>
  <c r="A240" i="6" s="1"/>
  <c r="T63" i="6"/>
  <c r="A63" i="6" s="1"/>
  <c r="T366" i="6"/>
  <c r="A366" i="6" s="1"/>
  <c r="T155" i="6"/>
  <c r="A155" i="6" s="1"/>
  <c r="T296" i="6"/>
  <c r="A296" i="6" s="1"/>
  <c r="T462" i="6"/>
  <c r="A462" i="6" s="1"/>
  <c r="T336" i="6"/>
  <c r="A336" i="6" s="1"/>
  <c r="T154" i="6"/>
  <c r="A154" i="6" s="1"/>
  <c r="T85" i="6"/>
  <c r="A85" i="6" s="1"/>
  <c r="T184" i="6"/>
  <c r="A184" i="6" s="1"/>
  <c r="T52" i="6"/>
  <c r="A52" i="6" s="1"/>
  <c r="T116" i="6"/>
  <c r="A116" i="6" s="1"/>
  <c r="T230" i="6"/>
  <c r="A230" i="6" s="1"/>
  <c r="T418" i="6"/>
  <c r="A418" i="6" s="1"/>
  <c r="T51" i="6"/>
  <c r="A51" i="6" s="1"/>
  <c r="T373" i="6"/>
  <c r="A373" i="6" s="1"/>
  <c r="T180" i="6"/>
  <c r="A180" i="6" s="1"/>
  <c r="T282" i="6"/>
  <c r="A282" i="6" s="1"/>
  <c r="T115" i="6"/>
  <c r="A115" i="6" s="1"/>
  <c r="T227" i="6"/>
  <c r="A227" i="6" s="1"/>
  <c r="T416" i="6"/>
  <c r="A416" i="6" s="1"/>
  <c r="T50" i="6"/>
  <c r="A50" i="6" s="1"/>
  <c r="T61" i="6"/>
  <c r="A61" i="6" s="1"/>
  <c r="T361" i="6"/>
  <c r="A361" i="6" s="1"/>
  <c r="T493" i="6"/>
  <c r="A493" i="6" s="1"/>
  <c r="T53" i="6"/>
  <c r="A53" i="6" s="1"/>
  <c r="T459" i="6"/>
  <c r="A459" i="6" s="1"/>
  <c r="T326" i="6"/>
  <c r="A326" i="6" s="1"/>
  <c r="T65" i="6"/>
  <c r="A65" i="6" s="1"/>
  <c r="T169" i="6"/>
  <c r="A169" i="6" s="1"/>
  <c r="T45" i="6"/>
  <c r="A45" i="6" s="1"/>
  <c r="T430" i="6"/>
  <c r="A430" i="6" s="1"/>
  <c r="T49" i="6"/>
  <c r="A49" i="6" s="1"/>
  <c r="T458" i="6"/>
  <c r="A458" i="6" s="1"/>
  <c r="T231" i="6"/>
  <c r="A231" i="6" s="1"/>
  <c r="T288" i="6"/>
  <c r="A288" i="6" s="1"/>
  <c r="T359" i="6"/>
  <c r="A359" i="6" s="1"/>
  <c r="T490" i="6"/>
  <c r="A490" i="6" s="1"/>
  <c r="T283" i="6"/>
  <c r="A283" i="6" s="1"/>
  <c r="T457" i="6"/>
  <c r="A457" i="6" s="1"/>
  <c r="T320" i="6"/>
  <c r="A320" i="6" s="1"/>
  <c r="T58" i="6"/>
  <c r="A58" i="6" s="1"/>
  <c r="T121" i="6"/>
  <c r="A121" i="6" s="1"/>
  <c r="T46" i="6"/>
  <c r="A46" i="6" s="1"/>
  <c r="T497" i="6"/>
  <c r="A497" i="6" s="1"/>
  <c r="T110" i="6"/>
  <c r="A110" i="6" s="1"/>
  <c r="T354" i="6"/>
  <c r="A354" i="6" s="1"/>
  <c r="T273" i="6"/>
  <c r="A273" i="6" s="1"/>
  <c r="T195" i="6"/>
  <c r="A195" i="6" s="1"/>
  <c r="T140" i="6"/>
  <c r="A140" i="6" s="1"/>
  <c r="T425" i="6"/>
  <c r="A425" i="6" s="1"/>
  <c r="T347" i="6"/>
  <c r="A347" i="6" s="1"/>
  <c r="T48" i="6"/>
  <c r="A48" i="6" s="1"/>
  <c r="T214" i="6"/>
  <c r="A214" i="6" s="1"/>
  <c r="T496" i="6"/>
  <c r="A496" i="6" s="1"/>
  <c r="T456" i="6"/>
  <c r="A456" i="6" s="1"/>
  <c r="T411" i="6"/>
  <c r="A411" i="6" s="1"/>
  <c r="T371" i="6"/>
  <c r="A371" i="6" s="1"/>
  <c r="T318" i="6"/>
  <c r="A318" i="6" s="1"/>
  <c r="T272" i="6"/>
  <c r="A272" i="6" s="1"/>
  <c r="T224" i="6"/>
  <c r="A224" i="6" s="1"/>
  <c r="T241" i="6"/>
  <c r="A241" i="6" s="1"/>
  <c r="T111" i="6"/>
  <c r="A111" i="6" s="1"/>
  <c r="T295" i="6"/>
  <c r="A295" i="6" s="1"/>
  <c r="T414" i="6"/>
  <c r="A414" i="6" s="1"/>
  <c r="T205" i="6"/>
  <c r="A205" i="6" s="1"/>
  <c r="T293" i="6"/>
  <c r="A293" i="6" s="1"/>
  <c r="T449" i="6"/>
  <c r="A449" i="6" s="1"/>
  <c r="T237" i="6"/>
  <c r="A237" i="6" s="1"/>
  <c r="T426" i="6"/>
  <c r="A426" i="6" s="1"/>
  <c r="T291" i="6"/>
  <c r="A291" i="6" s="1"/>
  <c r="T412" i="6"/>
  <c r="A412" i="6" s="1"/>
  <c r="T203" i="6"/>
  <c r="A203" i="6" s="1"/>
  <c r="T289" i="6"/>
  <c r="A289" i="6" s="1"/>
  <c r="T123" i="6"/>
  <c r="A123" i="6" s="1"/>
  <c r="T234" i="6"/>
  <c r="A234" i="6" s="1"/>
  <c r="T424" i="6"/>
  <c r="A424" i="6" s="1"/>
  <c r="T290" i="6"/>
  <c r="A290" i="6" s="1"/>
  <c r="T395" i="6"/>
  <c r="A395" i="6" s="1"/>
  <c r="T200" i="6"/>
  <c r="A200" i="6" s="1"/>
  <c r="T285" i="6"/>
  <c r="A285" i="6" s="1"/>
  <c r="T445" i="6"/>
  <c r="A445" i="6" s="1"/>
  <c r="T23" i="6"/>
  <c r="A23" i="6" s="1"/>
  <c r="T423" i="6"/>
  <c r="A423" i="6" s="1"/>
  <c r="T287" i="6"/>
  <c r="A287" i="6" s="1"/>
  <c r="T89" i="6"/>
  <c r="A89" i="6" s="1"/>
  <c r="T192" i="6"/>
  <c r="A192" i="6" s="1"/>
  <c r="T284" i="6"/>
  <c r="A284" i="6" s="1"/>
  <c r="T442" i="6"/>
  <c r="A442" i="6" s="1"/>
  <c r="T232" i="6"/>
  <c r="A232" i="6" s="1"/>
  <c r="T421" i="6"/>
  <c r="A421" i="6" s="1"/>
  <c r="T54" i="6"/>
  <c r="A54" i="6" s="1"/>
  <c r="T321" i="6"/>
  <c r="A321" i="6" s="1"/>
  <c r="T77" i="6"/>
  <c r="A77" i="6" s="1"/>
  <c r="T2" i="6"/>
  <c r="A2" i="6" s="1"/>
  <c r="T292" i="6"/>
  <c r="A292" i="6" s="1"/>
  <c r="T129" i="6"/>
  <c r="A129" i="6" s="1"/>
  <c r="T64" i="6"/>
  <c r="A64" i="6" s="1"/>
  <c r="T319" i="6"/>
  <c r="A319" i="6" s="1"/>
  <c r="T362" i="6"/>
  <c r="A362" i="6" s="1"/>
  <c r="T149" i="6"/>
  <c r="A149" i="6" s="1"/>
  <c r="T55" i="6"/>
  <c r="A55" i="6" s="1"/>
  <c r="T460" i="6"/>
  <c r="A460" i="6" s="1"/>
  <c r="T329" i="6"/>
  <c r="A329" i="6" s="1"/>
  <c r="T78" i="6"/>
  <c r="A78" i="6" s="1"/>
  <c r="T179" i="6"/>
  <c r="A179" i="6" s="1"/>
  <c r="T47" i="6"/>
  <c r="A47" i="6" s="1"/>
  <c r="T113" i="6"/>
  <c r="A113" i="6" s="1"/>
  <c r="T222" i="6"/>
  <c r="A222" i="6" s="1"/>
  <c r="T109" i="6"/>
  <c r="A109" i="6" s="1"/>
  <c r="T278" i="6"/>
  <c r="A278" i="6" s="1"/>
  <c r="T309" i="6"/>
  <c r="A309" i="6" s="1"/>
  <c r="T360" i="6"/>
  <c r="A360" i="6" s="1"/>
  <c r="T142" i="6"/>
  <c r="A142" i="6" s="1"/>
  <c r="T72" i="6"/>
  <c r="A72" i="6" s="1"/>
  <c r="T4" i="6"/>
  <c r="A4" i="6" s="1"/>
  <c r="T379" i="6"/>
  <c r="A379" i="6" s="1"/>
  <c r="T276" i="6"/>
  <c r="A276" i="6" s="1"/>
  <c r="T441" i="6"/>
  <c r="A441" i="6" s="1"/>
  <c r="T422" i="6"/>
  <c r="A422" i="6" s="1"/>
  <c r="T12" i="6"/>
  <c r="A12" i="6" s="1"/>
  <c r="T71" i="6"/>
  <c r="A71" i="6" s="1"/>
  <c r="T152" i="6"/>
  <c r="A152" i="6" s="1"/>
  <c r="T377" i="6"/>
  <c r="A377" i="6" s="1"/>
  <c r="T228" i="6"/>
  <c r="A228" i="6" s="1"/>
  <c r="T294" i="6"/>
  <c r="A294" i="6" s="1"/>
  <c r="T419" i="6"/>
  <c r="A419" i="6" s="1"/>
  <c r="T280" i="6"/>
  <c r="A280" i="6" s="1"/>
  <c r="T488" i="6"/>
  <c r="A488" i="6" s="1"/>
  <c r="T104" i="6"/>
  <c r="A104" i="6" s="1"/>
  <c r="T349" i="6"/>
  <c r="A349" i="6" s="1"/>
  <c r="T43" i="6"/>
  <c r="A43" i="6" s="1"/>
  <c r="T191" i="6"/>
  <c r="A191" i="6" s="1"/>
  <c r="T481" i="6"/>
  <c r="A481" i="6" s="1"/>
  <c r="T420" i="6"/>
  <c r="A420" i="6" s="1"/>
  <c r="T69" i="6"/>
  <c r="A69" i="6" s="1"/>
  <c r="T281" i="6"/>
  <c r="A281" i="6" s="1"/>
  <c r="T18" i="6"/>
  <c r="A18" i="6" s="1"/>
  <c r="T495" i="6"/>
  <c r="A495" i="6" s="1"/>
  <c r="T455" i="6"/>
  <c r="A455" i="6" s="1"/>
  <c r="T103" i="6"/>
  <c r="A103" i="6" s="1"/>
  <c r="T367" i="6"/>
  <c r="A367" i="6" s="1"/>
  <c r="T317" i="6"/>
  <c r="A317" i="6" s="1"/>
  <c r="T270" i="6"/>
  <c r="A270" i="6" s="1"/>
  <c r="T221" i="6"/>
  <c r="A221" i="6" s="1"/>
  <c r="T398" i="6"/>
  <c r="A398" i="6" s="1"/>
  <c r="T248" i="6"/>
  <c r="A248" i="6" s="1"/>
  <c r="T352" i="6"/>
  <c r="A352" i="6" s="1"/>
  <c r="T376" i="6"/>
  <c r="A376" i="6" s="1"/>
  <c r="T182" i="6"/>
  <c r="A182" i="6" s="1"/>
  <c r="T308" i="6"/>
  <c r="A308" i="6" s="1"/>
  <c r="T471" i="6"/>
  <c r="A471" i="6" s="1"/>
  <c r="T343" i="6"/>
  <c r="A343" i="6" s="1"/>
  <c r="T165" i="6"/>
  <c r="A165" i="6" s="1"/>
  <c r="T480" i="6"/>
  <c r="A480" i="6" s="1"/>
  <c r="T120" i="6"/>
  <c r="A120" i="6" s="1"/>
  <c r="T243" i="6"/>
  <c r="A243" i="6" s="1"/>
  <c r="T83" i="6"/>
  <c r="A83" i="6" s="1"/>
  <c r="T209" i="6"/>
  <c r="A209" i="6" s="1"/>
  <c r="T90" i="6"/>
  <c r="A90" i="6" s="1"/>
  <c r="T242" i="6"/>
  <c r="A242" i="6" s="1"/>
  <c r="T337" i="6"/>
  <c r="A337" i="6" s="1"/>
  <c r="T370" i="6"/>
  <c r="A370" i="6" s="1"/>
  <c r="T159" i="6"/>
  <c r="A159" i="6" s="1"/>
  <c r="T297" i="6"/>
  <c r="A297" i="6" s="1"/>
  <c r="T133" i="6"/>
  <c r="A133" i="6" s="1"/>
  <c r="T338" i="6"/>
  <c r="A338" i="6" s="1"/>
  <c r="T158" i="6"/>
  <c r="A158" i="6" s="1"/>
  <c r="T146" i="6"/>
  <c r="A146" i="6" s="1"/>
  <c r="T132" i="6"/>
  <c r="A132" i="6" s="1"/>
  <c r="T437" i="6"/>
  <c r="A437" i="6" s="1"/>
  <c r="T225" i="6"/>
  <c r="A225" i="6" s="1"/>
  <c r="T80" i="6"/>
  <c r="A80" i="6" s="1"/>
  <c r="T9" i="6"/>
  <c r="A9" i="6" s="1"/>
  <c r="T392" i="6"/>
  <c r="A392" i="6" s="1"/>
  <c r="T238" i="6"/>
  <c r="A238" i="6" s="1"/>
  <c r="T126" i="6"/>
  <c r="A126" i="6" s="1"/>
  <c r="T436" i="6"/>
  <c r="A436" i="6" s="1"/>
  <c r="T223" i="6"/>
  <c r="A223" i="6" s="1"/>
  <c r="T79" i="6"/>
  <c r="A79" i="6" s="1"/>
  <c r="T176" i="6"/>
  <c r="A176" i="6" s="1"/>
  <c r="T391" i="6"/>
  <c r="A391" i="6" s="1"/>
  <c r="T236" i="6"/>
  <c r="A236" i="6" s="1"/>
  <c r="T452" i="6"/>
  <c r="A452" i="6" s="1"/>
  <c r="T431" i="6"/>
  <c r="A431" i="6" s="1"/>
  <c r="T217" i="6"/>
  <c r="A217" i="6" s="1"/>
  <c r="T357" i="6"/>
  <c r="A357" i="6" s="1"/>
  <c r="T162" i="6"/>
  <c r="A162" i="6" s="1"/>
  <c r="T389" i="6"/>
  <c r="A389" i="6" s="1"/>
  <c r="T235" i="6"/>
  <c r="A235" i="6" s="1"/>
  <c r="T451" i="6"/>
  <c r="A451" i="6" s="1"/>
  <c r="T428" i="6"/>
  <c r="A428" i="6" s="1"/>
  <c r="T208" i="6"/>
  <c r="A208" i="6" s="1"/>
  <c r="T355" i="6"/>
  <c r="A355" i="6" s="1"/>
  <c r="T157" i="6"/>
  <c r="A157" i="6" s="1"/>
  <c r="T383" i="6"/>
  <c r="A383" i="6" s="1"/>
  <c r="T233" i="6"/>
  <c r="A233" i="6" s="1"/>
  <c r="T447" i="6"/>
  <c r="A447" i="6" s="1"/>
  <c r="T427" i="6"/>
  <c r="A427" i="6" s="1"/>
  <c r="T202" i="6"/>
  <c r="A202" i="6" s="1"/>
  <c r="T216" i="6"/>
  <c r="A216" i="6" s="1"/>
  <c r="T107" i="6"/>
  <c r="A107" i="6" s="1"/>
  <c r="T324" i="6"/>
  <c r="A324" i="6" s="1"/>
  <c r="T311" i="6"/>
  <c r="A311" i="6" s="1"/>
  <c r="T167" i="6"/>
  <c r="A167" i="6" s="1"/>
  <c r="T274" i="6"/>
  <c r="A274" i="6" s="1"/>
  <c r="T429" i="6"/>
  <c r="A429" i="6" s="1"/>
  <c r="T21" i="6"/>
  <c r="A21" i="6" s="1"/>
  <c r="T106" i="6"/>
  <c r="A106" i="6" s="1"/>
  <c r="T44" i="6"/>
  <c r="A44" i="6" s="1"/>
  <c r="T286" i="6"/>
  <c r="A286" i="6" s="1"/>
  <c r="T406" i="6"/>
  <c r="A406" i="6" s="1"/>
  <c r="T279" i="6"/>
  <c r="A279" i="6" s="1"/>
  <c r="T487" i="6"/>
  <c r="A487" i="6" s="1"/>
  <c r="T413" i="6"/>
  <c r="A413" i="6" s="1"/>
  <c r="T348" i="6"/>
  <c r="A348" i="6" s="1"/>
  <c r="T269" i="6"/>
  <c r="A269" i="6" s="1"/>
  <c r="T189" i="6"/>
  <c r="A189" i="6" s="1"/>
  <c r="T479" i="6"/>
  <c r="A479" i="6" s="1"/>
  <c r="T417" i="6"/>
  <c r="A417" i="6" s="1"/>
  <c r="T68" i="6"/>
  <c r="A68" i="6" s="1"/>
  <c r="T275" i="6"/>
  <c r="A275" i="6" s="1"/>
  <c r="T13" i="6"/>
  <c r="A13" i="6" s="1"/>
  <c r="T144" i="6"/>
  <c r="A144" i="6" s="1"/>
  <c r="T125" i="6"/>
  <c r="A125" i="6" s="1"/>
  <c r="T101" i="6"/>
  <c r="A101" i="6" s="1"/>
  <c r="T365" i="6"/>
  <c r="A365" i="6" s="1"/>
  <c r="T315" i="6"/>
  <c r="A315" i="6" s="1"/>
  <c r="T42" i="6"/>
  <c r="A42" i="6" s="1"/>
  <c r="T220" i="6"/>
  <c r="A220" i="6" s="1"/>
  <c r="H500" i="4"/>
  <c r="O207" i="4" s="1"/>
  <c r="U365" i="4"/>
  <c r="U255" i="4"/>
  <c r="U33" i="4"/>
  <c r="U292" i="4"/>
  <c r="U374" i="4"/>
  <c r="U323" i="4"/>
  <c r="T365" i="4"/>
  <c r="T255" i="4"/>
  <c r="T33" i="4"/>
  <c r="T292" i="4"/>
  <c r="T374" i="4"/>
  <c r="T323" i="4"/>
  <c r="S365" i="4"/>
  <c r="S255" i="4"/>
  <c r="S33" i="4"/>
  <c r="S292" i="4"/>
  <c r="S374" i="4"/>
  <c r="S323" i="4"/>
  <c r="R365" i="4"/>
  <c r="R255" i="4"/>
  <c r="R33" i="4"/>
  <c r="R292" i="4"/>
  <c r="R374" i="4"/>
  <c r="R323" i="4"/>
  <c r="Q365" i="4"/>
  <c r="Q255" i="4"/>
  <c r="Q33" i="4"/>
  <c r="Q292" i="4"/>
  <c r="Q374" i="4"/>
  <c r="Q323" i="4"/>
  <c r="P365" i="4"/>
  <c r="P255" i="4"/>
  <c r="P33" i="4"/>
  <c r="P292" i="4"/>
  <c r="P374" i="4"/>
  <c r="P323" i="4"/>
  <c r="O55" i="4"/>
  <c r="O365" i="4"/>
  <c r="V365" i="4" s="1"/>
  <c r="O255" i="4"/>
  <c r="V255" i="4" s="1"/>
  <c r="O33" i="4"/>
  <c r="V33" i="4" s="1"/>
  <c r="O292" i="4"/>
  <c r="V292" i="4" s="1"/>
  <c r="O374" i="4"/>
  <c r="V374" i="4" s="1"/>
  <c r="O323" i="4"/>
  <c r="V323" i="4" s="1"/>
  <c r="S404" i="4"/>
  <c r="S377" i="4"/>
  <c r="S310" i="4"/>
  <c r="S253" i="4"/>
  <c r="S376" i="4"/>
  <c r="P377" i="4"/>
  <c r="P197" i="4"/>
  <c r="S10" i="4"/>
  <c r="U283" i="4"/>
  <c r="U47" i="4"/>
  <c r="U10" i="4"/>
  <c r="U358" i="4"/>
  <c r="U122" i="4"/>
  <c r="U49" i="4"/>
  <c r="U147" i="4"/>
  <c r="U34" i="4"/>
  <c r="U425" i="4"/>
  <c r="U474" i="4"/>
  <c r="U245" i="4"/>
  <c r="U379" i="4"/>
  <c r="U111" i="4"/>
  <c r="U361" i="4"/>
  <c r="U70" i="4"/>
  <c r="U443" i="4"/>
  <c r="U399" i="4"/>
  <c r="U427" i="4"/>
  <c r="U416" i="4"/>
  <c r="U264" i="4"/>
  <c r="U404" i="4"/>
  <c r="U409" i="4"/>
  <c r="U396" i="4"/>
  <c r="U272" i="4"/>
  <c r="U13" i="4"/>
  <c r="U197" i="4"/>
  <c r="U287" i="4"/>
  <c r="U383" i="4"/>
  <c r="U484" i="4"/>
  <c r="U303" i="4"/>
  <c r="U116" i="4"/>
  <c r="U196" i="4"/>
  <c r="U102" i="4"/>
  <c r="U129" i="4"/>
  <c r="U231" i="4"/>
  <c r="U161" i="4"/>
  <c r="U138" i="4"/>
  <c r="U84" i="4"/>
  <c r="U73" i="4"/>
  <c r="U235" i="4"/>
  <c r="U85" i="4"/>
  <c r="U16" i="4"/>
  <c r="U213" i="4"/>
  <c r="U449" i="4"/>
  <c r="U229" i="4"/>
  <c r="U267" i="4"/>
  <c r="U199" i="4"/>
  <c r="U119" i="4"/>
  <c r="U128" i="4"/>
  <c r="U200" i="4"/>
  <c r="U42" i="4"/>
  <c r="U59" i="4"/>
  <c r="U307" i="4"/>
  <c r="U453" i="4"/>
  <c r="U181" i="4"/>
  <c r="U205" i="4"/>
  <c r="U372" i="4"/>
  <c r="U78" i="4"/>
  <c r="U38" i="4"/>
  <c r="U275" i="4"/>
  <c r="U486" i="4"/>
  <c r="U495" i="4"/>
  <c r="U107" i="4"/>
  <c r="U204" i="4"/>
  <c r="U346" i="4"/>
  <c r="U56" i="4"/>
  <c r="U405" i="4"/>
  <c r="U295" i="4"/>
  <c r="U30" i="4"/>
  <c r="U215" i="4"/>
  <c r="U448" i="4"/>
  <c r="U165" i="4"/>
  <c r="U390" i="4"/>
  <c r="U124" i="4"/>
  <c r="U101" i="4"/>
  <c r="U439" i="4"/>
  <c r="U467" i="4"/>
  <c r="U180" i="4"/>
  <c r="U282" i="4"/>
  <c r="U347" i="4"/>
  <c r="U8" i="4"/>
  <c r="U118" i="4"/>
  <c r="U476" i="4"/>
  <c r="U341" i="4"/>
  <c r="U137" i="4"/>
  <c r="U141" i="4"/>
  <c r="U94" i="4"/>
  <c r="U148" i="4"/>
  <c r="U357" i="4"/>
  <c r="U470" i="4"/>
  <c r="U452" i="4"/>
  <c r="U359" i="4"/>
  <c r="U402" i="4"/>
  <c r="U250" i="4"/>
  <c r="U316" i="4"/>
  <c r="U127" i="4"/>
  <c r="U21" i="4"/>
  <c r="U155" i="4"/>
  <c r="U203" i="4"/>
  <c r="U461" i="4"/>
  <c r="U342" i="4"/>
  <c r="U469" i="4"/>
  <c r="U220" i="4"/>
  <c r="U301" i="4"/>
  <c r="U184" i="4"/>
  <c r="U376" i="4"/>
  <c r="U348" i="4"/>
  <c r="U349" i="4"/>
  <c r="U18" i="4"/>
  <c r="U378" i="4"/>
  <c r="U270" i="4"/>
  <c r="U26" i="4"/>
  <c r="U447" i="4"/>
  <c r="U201" i="4"/>
  <c r="U209" i="4"/>
  <c r="U395" i="4"/>
  <c r="U493" i="4"/>
  <c r="U105" i="4"/>
  <c r="U115" i="4"/>
  <c r="U350" i="4"/>
  <c r="U24" i="4"/>
  <c r="U9" i="4"/>
  <c r="U113" i="4"/>
  <c r="U54" i="4"/>
  <c r="U430" i="4"/>
  <c r="U351" i="4"/>
  <c r="U436" i="4"/>
  <c r="U291" i="4"/>
  <c r="U382" i="4"/>
  <c r="U442" i="4"/>
  <c r="U485" i="4"/>
  <c r="U15" i="4"/>
  <c r="U80" i="4"/>
  <c r="U192" i="4"/>
  <c r="U352" i="4"/>
  <c r="U353" i="4"/>
  <c r="U483" i="4"/>
  <c r="U413" i="4"/>
  <c r="U177" i="4"/>
  <c r="U480" i="4"/>
  <c r="U299" i="4"/>
  <c r="U178" i="4"/>
  <c r="U106" i="4"/>
  <c r="U58" i="4"/>
  <c r="U179" i="4"/>
  <c r="U238" i="4"/>
  <c r="U82" i="4"/>
  <c r="U354" i="4"/>
  <c r="U296" i="4"/>
  <c r="U48" i="4"/>
  <c r="U234" i="4"/>
  <c r="U355" i="4"/>
  <c r="U100" i="4"/>
  <c r="U490" i="4"/>
  <c r="U279" i="4"/>
  <c r="U4" i="4"/>
  <c r="U175" i="4"/>
  <c r="U17" i="4"/>
  <c r="U243" i="4"/>
  <c r="U457" i="4"/>
  <c r="U60" i="4"/>
  <c r="U389" i="4"/>
  <c r="U83" i="4"/>
  <c r="U191" i="4"/>
  <c r="U254" i="4"/>
  <c r="U360" i="4"/>
  <c r="U144" i="4"/>
  <c r="U451" i="4"/>
  <c r="U309" i="4"/>
  <c r="U103" i="4"/>
  <c r="U463" i="4"/>
  <c r="U305" i="4"/>
  <c r="U356" i="4"/>
  <c r="U40" i="4"/>
  <c r="U146" i="4"/>
  <c r="U368" i="4"/>
  <c r="U446" i="4"/>
  <c r="U198" i="4"/>
  <c r="U401" i="4"/>
  <c r="U242" i="4"/>
  <c r="U53" i="4"/>
  <c r="U407" i="4"/>
  <c r="U312" i="4"/>
  <c r="U230" i="4"/>
  <c r="U182" i="4"/>
  <c r="U29" i="4"/>
  <c r="U481" i="4"/>
  <c r="U318" i="4"/>
  <c r="U88" i="4"/>
  <c r="U400" i="4"/>
  <c r="U345" i="4"/>
  <c r="U278" i="4"/>
  <c r="U269" i="4"/>
  <c r="U7" i="4"/>
  <c r="U139" i="4"/>
  <c r="U228" i="4"/>
  <c r="U429" i="4"/>
  <c r="U188" i="4"/>
  <c r="U391" i="4"/>
  <c r="U90" i="4"/>
  <c r="U217" i="4"/>
  <c r="U419" i="4"/>
  <c r="U260" i="4"/>
  <c r="U466" i="4"/>
  <c r="U281" i="4"/>
  <c r="U288" i="4"/>
  <c r="U284" i="4"/>
  <c r="U168" i="4"/>
  <c r="U174" i="4"/>
  <c r="U406" i="4"/>
  <c r="U333" i="4"/>
  <c r="U171" i="4"/>
  <c r="U285" i="4"/>
  <c r="U306" i="4"/>
  <c r="U232" i="4"/>
  <c r="U136" i="4"/>
  <c r="U19" i="4"/>
  <c r="U440" i="4"/>
  <c r="U497" i="4"/>
  <c r="U369" i="4"/>
  <c r="U475" i="4"/>
  <c r="U308" i="4"/>
  <c r="U473" i="4"/>
  <c r="U108" i="4"/>
  <c r="U237" i="4"/>
  <c r="U297" i="4"/>
  <c r="U458" i="4"/>
  <c r="U166" i="4"/>
  <c r="U363" i="4"/>
  <c r="U487" i="4"/>
  <c r="U27" i="4"/>
  <c r="U50" i="4"/>
  <c r="U337" i="4"/>
  <c r="U465" i="4"/>
  <c r="U89" i="4"/>
  <c r="U385" i="4"/>
  <c r="U93" i="4"/>
  <c r="U133" i="4"/>
  <c r="U319" i="4"/>
  <c r="U464" i="4"/>
  <c r="U336" i="4"/>
  <c r="U87" i="4"/>
  <c r="U216" i="4"/>
  <c r="U202" i="4"/>
  <c r="U2" i="4"/>
  <c r="U45" i="4"/>
  <c r="U328" i="4"/>
  <c r="U263" i="4"/>
  <c r="U176" i="4"/>
  <c r="U14" i="4"/>
  <c r="U488" i="4"/>
  <c r="U418" i="4"/>
  <c r="U95" i="4"/>
  <c r="U218" i="4"/>
  <c r="U438" i="4"/>
  <c r="U187" i="4"/>
  <c r="U411" i="4"/>
  <c r="U240" i="4"/>
  <c r="U183" i="4"/>
  <c r="U367" i="4"/>
  <c r="U211" i="4"/>
  <c r="U392" i="4"/>
  <c r="U244" i="4"/>
  <c r="U159" i="4"/>
  <c r="U68" i="4"/>
  <c r="U239" i="4"/>
  <c r="U227" i="4"/>
  <c r="U366" i="4"/>
  <c r="U212" i="4"/>
  <c r="U190" i="4"/>
  <c r="U492" i="4"/>
  <c r="U330" i="4"/>
  <c r="U75" i="4"/>
  <c r="U456" i="4"/>
  <c r="U426" i="4"/>
  <c r="U117" i="4"/>
  <c r="U415" i="4"/>
  <c r="U274" i="4"/>
  <c r="U193" i="4"/>
  <c r="U20" i="4"/>
  <c r="U273" i="4"/>
  <c r="U335" i="4"/>
  <c r="U65" i="4"/>
  <c r="U298" i="4"/>
  <c r="U403" i="4"/>
  <c r="U223" i="4"/>
  <c r="U12" i="4"/>
  <c r="U163" i="4"/>
  <c r="U394" i="4"/>
  <c r="U208" i="4"/>
  <c r="U98" i="4"/>
  <c r="U154" i="4"/>
  <c r="U313" i="4"/>
  <c r="U362" i="4"/>
  <c r="U441" i="4"/>
  <c r="U157" i="4"/>
  <c r="U324" i="4"/>
  <c r="U140" i="4"/>
  <c r="U433" i="4"/>
  <c r="U289" i="4"/>
  <c r="U325" i="4"/>
  <c r="U91" i="4"/>
  <c r="U424" i="4"/>
  <c r="U423" i="4"/>
  <c r="U302" i="4"/>
  <c r="U63" i="4"/>
  <c r="U384" i="4"/>
  <c r="U304" i="4"/>
  <c r="U257" i="4"/>
  <c r="U388" i="4"/>
  <c r="U494" i="4"/>
  <c r="U61" i="4"/>
  <c r="U32" i="4"/>
  <c r="U74" i="4"/>
  <c r="U135" i="4"/>
  <c r="U152" i="4"/>
  <c r="U249" i="4"/>
  <c r="U109" i="4"/>
  <c r="U247" i="4"/>
  <c r="U131" i="4"/>
  <c r="U112" i="4"/>
  <c r="U428" i="4"/>
  <c r="U120" i="4"/>
  <c r="U414" i="4"/>
  <c r="U222" i="4"/>
  <c r="U320" i="4"/>
  <c r="U36" i="4"/>
  <c r="U445" i="4"/>
  <c r="U51" i="4"/>
  <c r="U326" i="4"/>
  <c r="U286" i="4"/>
  <c r="U450" i="4"/>
  <c r="U125" i="4"/>
  <c r="U189" i="4"/>
  <c r="U412" i="4"/>
  <c r="U195" i="4"/>
  <c r="U97" i="4"/>
  <c r="U134" i="4"/>
  <c r="U408" i="4"/>
  <c r="U300" i="4"/>
  <c r="U43" i="4"/>
  <c r="U3" i="4"/>
  <c r="U210" i="4"/>
  <c r="U121" i="4"/>
  <c r="U290" i="4"/>
  <c r="U334" i="4"/>
  <c r="U386" i="4"/>
  <c r="U311" i="4"/>
  <c r="U162" i="4"/>
  <c r="U221" i="4"/>
  <c r="U114" i="4"/>
  <c r="U11" i="4"/>
  <c r="U253" i="4"/>
  <c r="U310" i="4"/>
  <c r="U81" i="4"/>
  <c r="U145" i="4"/>
  <c r="U52" i="4"/>
  <c r="U72" i="4"/>
  <c r="U422" i="4"/>
  <c r="U410" i="4"/>
  <c r="U322" i="4"/>
  <c r="U370" i="4"/>
  <c r="U173" i="4"/>
  <c r="U331" i="4"/>
  <c r="U417" i="4"/>
  <c r="U258" i="4"/>
  <c r="U381" i="4"/>
  <c r="U57" i="4"/>
  <c r="U327" i="4"/>
  <c r="U393" i="4"/>
  <c r="U67" i="4"/>
  <c r="U96" i="4"/>
  <c r="U150" i="4"/>
  <c r="U167" i="4"/>
  <c r="U434" i="4"/>
  <c r="U44" i="4"/>
  <c r="U62" i="4"/>
  <c r="U294" i="4"/>
  <c r="U321" i="4"/>
  <c r="U468" i="4"/>
  <c r="U142" i="4"/>
  <c r="U338" i="4"/>
  <c r="U339" i="4"/>
  <c r="U149" i="4"/>
  <c r="U169" i="4"/>
  <c r="U172" i="4"/>
  <c r="U478" i="4"/>
  <c r="U482" i="4"/>
  <c r="U233" i="4"/>
  <c r="U25" i="4"/>
  <c r="U241" i="4"/>
  <c r="U332" i="4"/>
  <c r="U76" i="4"/>
  <c r="U104" i="4"/>
  <c r="U77" i="4"/>
  <c r="U236" i="4"/>
  <c r="U132" i="4"/>
  <c r="U371" i="4"/>
  <c r="U41" i="4"/>
  <c r="U86" i="4"/>
  <c r="U380" i="4"/>
  <c r="U432" i="4"/>
  <c r="U251" i="4"/>
  <c r="U35" i="4"/>
  <c r="U39" i="4"/>
  <c r="U225" i="4"/>
  <c r="U455" i="4"/>
  <c r="U315" i="4"/>
  <c r="U277" i="4"/>
  <c r="U153" i="4"/>
  <c r="U66" i="4"/>
  <c r="U340" i="4"/>
  <c r="U46" i="4"/>
  <c r="U280" i="4"/>
  <c r="U164" i="4"/>
  <c r="U329" i="4"/>
  <c r="U373" i="4"/>
  <c r="U252" i="4"/>
  <c r="U377" i="4"/>
  <c r="U444" i="4"/>
  <c r="U276" i="4"/>
  <c r="U206" i="4"/>
  <c r="U28" i="4"/>
  <c r="U248" i="4"/>
  <c r="U431" i="4"/>
  <c r="U268" i="4"/>
  <c r="U477" i="4"/>
  <c r="U126" i="4"/>
  <c r="U170" i="4"/>
  <c r="U471" i="4"/>
  <c r="U435" i="4"/>
  <c r="U226" i="4"/>
  <c r="U454" i="4"/>
  <c r="U92" i="4"/>
  <c r="U271" i="4"/>
  <c r="U314" i="4"/>
  <c r="U37" i="4"/>
  <c r="U462" i="4"/>
  <c r="U5" i="4"/>
  <c r="U158" i="4"/>
  <c r="U261" i="4"/>
  <c r="U246" i="4"/>
  <c r="U79" i="4"/>
  <c r="U186" i="4"/>
  <c r="U156" i="4"/>
  <c r="U194" i="4"/>
  <c r="U460" i="4"/>
  <c r="U123" i="4"/>
  <c r="U498" i="4"/>
  <c r="U110" i="4"/>
  <c r="U160" i="4"/>
  <c r="U64" i="4"/>
  <c r="U459" i="4"/>
  <c r="U489" i="4"/>
  <c r="U398" i="4"/>
  <c r="U22" i="4"/>
  <c r="U479" i="4"/>
  <c r="U364" i="4"/>
  <c r="U6" i="4"/>
  <c r="U23" i="4"/>
  <c r="U317" i="4"/>
  <c r="U265" i="4"/>
  <c r="U420" i="4"/>
  <c r="U344" i="4"/>
  <c r="U214" i="4"/>
  <c r="U130" i="4"/>
  <c r="U259" i="4"/>
  <c r="U266" i="4"/>
  <c r="U472" i="4"/>
  <c r="U185" i="4"/>
  <c r="U387" i="4"/>
  <c r="U421" i="4"/>
  <c r="U262" i="4"/>
  <c r="U69" i="4"/>
  <c r="U31" i="4"/>
  <c r="U99" i="4"/>
  <c r="U256" i="4"/>
  <c r="U293" i="4"/>
  <c r="U397" i="4"/>
  <c r="U219" i="4"/>
  <c r="U437" i="4"/>
  <c r="U343" i="4"/>
  <c r="U71" i="4"/>
  <c r="U375" i="4"/>
  <c r="U224" i="4"/>
  <c r="U207" i="4"/>
  <c r="U143" i="4"/>
  <c r="U151" i="4"/>
  <c r="T283" i="4"/>
  <c r="T47" i="4"/>
  <c r="T10" i="4"/>
  <c r="T358" i="4"/>
  <c r="T122" i="4"/>
  <c r="T49" i="4"/>
  <c r="T147" i="4"/>
  <c r="T34" i="4"/>
  <c r="T425" i="4"/>
  <c r="T474" i="4"/>
  <c r="T245" i="4"/>
  <c r="T379" i="4"/>
  <c r="T111" i="4"/>
  <c r="T361" i="4"/>
  <c r="T70" i="4"/>
  <c r="T443" i="4"/>
  <c r="T399" i="4"/>
  <c r="T427" i="4"/>
  <c r="T416" i="4"/>
  <c r="T264" i="4"/>
  <c r="T404" i="4"/>
  <c r="T409" i="4"/>
  <c r="T396" i="4"/>
  <c r="T272" i="4"/>
  <c r="T13" i="4"/>
  <c r="T197" i="4"/>
  <c r="T287" i="4"/>
  <c r="T383" i="4"/>
  <c r="T484" i="4"/>
  <c r="T303" i="4"/>
  <c r="T116" i="4"/>
  <c r="T196" i="4"/>
  <c r="T102" i="4"/>
  <c r="T129" i="4"/>
  <c r="T231" i="4"/>
  <c r="T161" i="4"/>
  <c r="T138" i="4"/>
  <c r="T84" i="4"/>
  <c r="T73" i="4"/>
  <c r="T235" i="4"/>
  <c r="T85" i="4"/>
  <c r="T16" i="4"/>
  <c r="T213" i="4"/>
  <c r="T449" i="4"/>
  <c r="T229" i="4"/>
  <c r="T267" i="4"/>
  <c r="T199" i="4"/>
  <c r="T119" i="4"/>
  <c r="T128" i="4"/>
  <c r="T200" i="4"/>
  <c r="T42" i="4"/>
  <c r="T59" i="4"/>
  <c r="T307" i="4"/>
  <c r="T453" i="4"/>
  <c r="T181" i="4"/>
  <c r="T205" i="4"/>
  <c r="T372" i="4"/>
  <c r="T78" i="4"/>
  <c r="T38" i="4"/>
  <c r="T275" i="4"/>
  <c r="T486" i="4"/>
  <c r="T495" i="4"/>
  <c r="T107" i="4"/>
  <c r="T204" i="4"/>
  <c r="T346" i="4"/>
  <c r="T56" i="4"/>
  <c r="T405" i="4"/>
  <c r="T295" i="4"/>
  <c r="T30" i="4"/>
  <c r="T215" i="4"/>
  <c r="T448" i="4"/>
  <c r="T165" i="4"/>
  <c r="T390" i="4"/>
  <c r="T124" i="4"/>
  <c r="T101" i="4"/>
  <c r="T439" i="4"/>
  <c r="T467" i="4"/>
  <c r="T180" i="4"/>
  <c r="T282" i="4"/>
  <c r="T347" i="4"/>
  <c r="T8" i="4"/>
  <c r="T118" i="4"/>
  <c r="T476" i="4"/>
  <c r="T341" i="4"/>
  <c r="T137" i="4"/>
  <c r="T141" i="4"/>
  <c r="T94" i="4"/>
  <c r="T148" i="4"/>
  <c r="T357" i="4"/>
  <c r="T470" i="4"/>
  <c r="T452" i="4"/>
  <c r="T359" i="4"/>
  <c r="T402" i="4"/>
  <c r="T250" i="4"/>
  <c r="T316" i="4"/>
  <c r="T127" i="4"/>
  <c r="T21" i="4"/>
  <c r="T155" i="4"/>
  <c r="T203" i="4"/>
  <c r="T461" i="4"/>
  <c r="T342" i="4"/>
  <c r="T469" i="4"/>
  <c r="T220" i="4"/>
  <c r="T301" i="4"/>
  <c r="T184" i="4"/>
  <c r="T376" i="4"/>
  <c r="T348" i="4"/>
  <c r="T349" i="4"/>
  <c r="T18" i="4"/>
  <c r="T378" i="4"/>
  <c r="T270" i="4"/>
  <c r="T26" i="4"/>
  <c r="T447" i="4"/>
  <c r="T201" i="4"/>
  <c r="T209" i="4"/>
  <c r="T395" i="4"/>
  <c r="T493" i="4"/>
  <c r="T105" i="4"/>
  <c r="T115" i="4"/>
  <c r="T350" i="4"/>
  <c r="T24" i="4"/>
  <c r="T9" i="4"/>
  <c r="T113" i="4"/>
  <c r="T54" i="4"/>
  <c r="T430" i="4"/>
  <c r="T351" i="4"/>
  <c r="T436" i="4"/>
  <c r="T291" i="4"/>
  <c r="T382" i="4"/>
  <c r="T442" i="4"/>
  <c r="T485" i="4"/>
  <c r="T15" i="4"/>
  <c r="T80" i="4"/>
  <c r="T192" i="4"/>
  <c r="T352" i="4"/>
  <c r="T353" i="4"/>
  <c r="T483" i="4"/>
  <c r="T413" i="4"/>
  <c r="T177" i="4"/>
  <c r="T480" i="4"/>
  <c r="T299" i="4"/>
  <c r="T178" i="4"/>
  <c r="T106" i="4"/>
  <c r="T58" i="4"/>
  <c r="T179" i="4"/>
  <c r="T238" i="4"/>
  <c r="T82" i="4"/>
  <c r="T354" i="4"/>
  <c r="T296" i="4"/>
  <c r="T48" i="4"/>
  <c r="T234" i="4"/>
  <c r="T355" i="4"/>
  <c r="T100" i="4"/>
  <c r="T490" i="4"/>
  <c r="T279" i="4"/>
  <c r="T4" i="4"/>
  <c r="T175" i="4"/>
  <c r="T17" i="4"/>
  <c r="T243" i="4"/>
  <c r="T457" i="4"/>
  <c r="T60" i="4"/>
  <c r="T389" i="4"/>
  <c r="T83" i="4"/>
  <c r="T191" i="4"/>
  <c r="T254" i="4"/>
  <c r="T360" i="4"/>
  <c r="T144" i="4"/>
  <c r="T451" i="4"/>
  <c r="T309" i="4"/>
  <c r="T103" i="4"/>
  <c r="T463" i="4"/>
  <c r="T305" i="4"/>
  <c r="T356" i="4"/>
  <c r="T40" i="4"/>
  <c r="T146" i="4"/>
  <c r="T368" i="4"/>
  <c r="T446" i="4"/>
  <c r="T198" i="4"/>
  <c r="T401" i="4"/>
  <c r="T242" i="4"/>
  <c r="T53" i="4"/>
  <c r="T407" i="4"/>
  <c r="T312" i="4"/>
  <c r="T230" i="4"/>
  <c r="T182" i="4"/>
  <c r="T29" i="4"/>
  <c r="T481" i="4"/>
  <c r="T318" i="4"/>
  <c r="T88" i="4"/>
  <c r="T400" i="4"/>
  <c r="T345" i="4"/>
  <c r="T278" i="4"/>
  <c r="T269" i="4"/>
  <c r="T7" i="4"/>
  <c r="T139" i="4"/>
  <c r="T228" i="4"/>
  <c r="T429" i="4"/>
  <c r="T188" i="4"/>
  <c r="T391" i="4"/>
  <c r="T90" i="4"/>
  <c r="T217" i="4"/>
  <c r="T419" i="4"/>
  <c r="T260" i="4"/>
  <c r="T466" i="4"/>
  <c r="T281" i="4"/>
  <c r="T288" i="4"/>
  <c r="T284" i="4"/>
  <c r="T168" i="4"/>
  <c r="T174" i="4"/>
  <c r="T406" i="4"/>
  <c r="T333" i="4"/>
  <c r="T171" i="4"/>
  <c r="T285" i="4"/>
  <c r="T306" i="4"/>
  <c r="T232" i="4"/>
  <c r="T136" i="4"/>
  <c r="T19" i="4"/>
  <c r="T440" i="4"/>
  <c r="T497" i="4"/>
  <c r="T369" i="4"/>
  <c r="T475" i="4"/>
  <c r="T308" i="4"/>
  <c r="T473" i="4"/>
  <c r="T108" i="4"/>
  <c r="T237" i="4"/>
  <c r="T297" i="4"/>
  <c r="T458" i="4"/>
  <c r="T166" i="4"/>
  <c r="T363" i="4"/>
  <c r="T487" i="4"/>
  <c r="T27" i="4"/>
  <c r="T50" i="4"/>
  <c r="T337" i="4"/>
  <c r="T465" i="4"/>
  <c r="T89" i="4"/>
  <c r="T385" i="4"/>
  <c r="T93" i="4"/>
  <c r="T133" i="4"/>
  <c r="T319" i="4"/>
  <c r="T464" i="4"/>
  <c r="T336" i="4"/>
  <c r="T87" i="4"/>
  <c r="T216" i="4"/>
  <c r="T202" i="4"/>
  <c r="T2" i="4"/>
  <c r="T45" i="4"/>
  <c r="T328" i="4"/>
  <c r="T263" i="4"/>
  <c r="T176" i="4"/>
  <c r="T14" i="4"/>
  <c r="T488" i="4"/>
  <c r="T418" i="4"/>
  <c r="T95" i="4"/>
  <c r="T218" i="4"/>
  <c r="T438" i="4"/>
  <c r="T187" i="4"/>
  <c r="T411" i="4"/>
  <c r="T240" i="4"/>
  <c r="T183" i="4"/>
  <c r="T367" i="4"/>
  <c r="T211" i="4"/>
  <c r="T392" i="4"/>
  <c r="T244" i="4"/>
  <c r="T159" i="4"/>
  <c r="T68" i="4"/>
  <c r="T239" i="4"/>
  <c r="T227" i="4"/>
  <c r="T366" i="4"/>
  <c r="T212" i="4"/>
  <c r="T190" i="4"/>
  <c r="T492" i="4"/>
  <c r="T330" i="4"/>
  <c r="T75" i="4"/>
  <c r="T456" i="4"/>
  <c r="T426" i="4"/>
  <c r="T117" i="4"/>
  <c r="T415" i="4"/>
  <c r="T274" i="4"/>
  <c r="T193" i="4"/>
  <c r="T20" i="4"/>
  <c r="T273" i="4"/>
  <c r="T335" i="4"/>
  <c r="T65" i="4"/>
  <c r="T298" i="4"/>
  <c r="T403" i="4"/>
  <c r="T223" i="4"/>
  <c r="T12" i="4"/>
  <c r="T163" i="4"/>
  <c r="T394" i="4"/>
  <c r="T208" i="4"/>
  <c r="T98" i="4"/>
  <c r="T154" i="4"/>
  <c r="T313" i="4"/>
  <c r="T362" i="4"/>
  <c r="T441" i="4"/>
  <c r="T157" i="4"/>
  <c r="T324" i="4"/>
  <c r="T140" i="4"/>
  <c r="T433" i="4"/>
  <c r="T289" i="4"/>
  <c r="T325" i="4"/>
  <c r="T91" i="4"/>
  <c r="T424" i="4"/>
  <c r="T423" i="4"/>
  <c r="T302" i="4"/>
  <c r="T63" i="4"/>
  <c r="T384" i="4"/>
  <c r="T304" i="4"/>
  <c r="T257" i="4"/>
  <c r="T388" i="4"/>
  <c r="T494" i="4"/>
  <c r="T61" i="4"/>
  <c r="T32" i="4"/>
  <c r="T74" i="4"/>
  <c r="T135" i="4"/>
  <c r="T152" i="4"/>
  <c r="T249" i="4"/>
  <c r="T109" i="4"/>
  <c r="T247" i="4"/>
  <c r="T131" i="4"/>
  <c r="T112" i="4"/>
  <c r="T428" i="4"/>
  <c r="T120" i="4"/>
  <c r="T414" i="4"/>
  <c r="T222" i="4"/>
  <c r="T320" i="4"/>
  <c r="T36" i="4"/>
  <c r="T445" i="4"/>
  <c r="T51" i="4"/>
  <c r="T326" i="4"/>
  <c r="T286" i="4"/>
  <c r="T450" i="4"/>
  <c r="T125" i="4"/>
  <c r="T189" i="4"/>
  <c r="T412" i="4"/>
  <c r="T195" i="4"/>
  <c r="T97" i="4"/>
  <c r="T134" i="4"/>
  <c r="T408" i="4"/>
  <c r="T300" i="4"/>
  <c r="T43" i="4"/>
  <c r="T3" i="4"/>
  <c r="T210" i="4"/>
  <c r="T121" i="4"/>
  <c r="T290" i="4"/>
  <c r="T334" i="4"/>
  <c r="T386" i="4"/>
  <c r="T311" i="4"/>
  <c r="T162" i="4"/>
  <c r="T221" i="4"/>
  <c r="T114" i="4"/>
  <c r="T11" i="4"/>
  <c r="T253" i="4"/>
  <c r="T310" i="4"/>
  <c r="T81" i="4"/>
  <c r="T145" i="4"/>
  <c r="T52" i="4"/>
  <c r="T72" i="4"/>
  <c r="T422" i="4"/>
  <c r="T410" i="4"/>
  <c r="T322" i="4"/>
  <c r="T370" i="4"/>
  <c r="T173" i="4"/>
  <c r="T331" i="4"/>
  <c r="T417" i="4"/>
  <c r="T258" i="4"/>
  <c r="T381" i="4"/>
  <c r="T57" i="4"/>
  <c r="T327" i="4"/>
  <c r="T393" i="4"/>
  <c r="T67" i="4"/>
  <c r="T96" i="4"/>
  <c r="T150" i="4"/>
  <c r="T167" i="4"/>
  <c r="T434" i="4"/>
  <c r="T44" i="4"/>
  <c r="T62" i="4"/>
  <c r="T294" i="4"/>
  <c r="T321" i="4"/>
  <c r="T468" i="4"/>
  <c r="T142" i="4"/>
  <c r="T338" i="4"/>
  <c r="T339" i="4"/>
  <c r="T149" i="4"/>
  <c r="T169" i="4"/>
  <c r="T172" i="4"/>
  <c r="T478" i="4"/>
  <c r="T482" i="4"/>
  <c r="T233" i="4"/>
  <c r="T25" i="4"/>
  <c r="T241" i="4"/>
  <c r="T332" i="4"/>
  <c r="T76" i="4"/>
  <c r="T104" i="4"/>
  <c r="T77" i="4"/>
  <c r="T236" i="4"/>
  <c r="T132" i="4"/>
  <c r="T371" i="4"/>
  <c r="T41" i="4"/>
  <c r="T86" i="4"/>
  <c r="T380" i="4"/>
  <c r="T432" i="4"/>
  <c r="T251" i="4"/>
  <c r="T35" i="4"/>
  <c r="T39" i="4"/>
  <c r="T225" i="4"/>
  <c r="T455" i="4"/>
  <c r="T315" i="4"/>
  <c r="T277" i="4"/>
  <c r="T153" i="4"/>
  <c r="T66" i="4"/>
  <c r="T340" i="4"/>
  <c r="T46" i="4"/>
  <c r="T280" i="4"/>
  <c r="T164" i="4"/>
  <c r="T329" i="4"/>
  <c r="T373" i="4"/>
  <c r="T252" i="4"/>
  <c r="T377" i="4"/>
  <c r="T444" i="4"/>
  <c r="T276" i="4"/>
  <c r="T206" i="4"/>
  <c r="T28" i="4"/>
  <c r="T248" i="4"/>
  <c r="T431" i="4"/>
  <c r="T268" i="4"/>
  <c r="T477" i="4"/>
  <c r="T126" i="4"/>
  <c r="T170" i="4"/>
  <c r="T471" i="4"/>
  <c r="T435" i="4"/>
  <c r="T226" i="4"/>
  <c r="T454" i="4"/>
  <c r="T92" i="4"/>
  <c r="T271" i="4"/>
  <c r="T314" i="4"/>
  <c r="T37" i="4"/>
  <c r="T462" i="4"/>
  <c r="T5" i="4"/>
  <c r="T158" i="4"/>
  <c r="T261" i="4"/>
  <c r="T246" i="4"/>
  <c r="T79" i="4"/>
  <c r="T186" i="4"/>
  <c r="T156" i="4"/>
  <c r="T194" i="4"/>
  <c r="T460" i="4"/>
  <c r="T123" i="4"/>
  <c r="T498" i="4"/>
  <c r="T110" i="4"/>
  <c r="T160" i="4"/>
  <c r="T64" i="4"/>
  <c r="T459" i="4"/>
  <c r="T489" i="4"/>
  <c r="T398" i="4"/>
  <c r="T22" i="4"/>
  <c r="T479" i="4"/>
  <c r="T364" i="4"/>
  <c r="T6" i="4"/>
  <c r="T23" i="4"/>
  <c r="T317" i="4"/>
  <c r="T265" i="4"/>
  <c r="T420" i="4"/>
  <c r="T344" i="4"/>
  <c r="T214" i="4"/>
  <c r="T130" i="4"/>
  <c r="T259" i="4"/>
  <c r="T266" i="4"/>
  <c r="T472" i="4"/>
  <c r="T185" i="4"/>
  <c r="T387" i="4"/>
  <c r="T421" i="4"/>
  <c r="T262" i="4"/>
  <c r="T69" i="4"/>
  <c r="T31" i="4"/>
  <c r="T99" i="4"/>
  <c r="T256" i="4"/>
  <c r="T293" i="4"/>
  <c r="T397" i="4"/>
  <c r="T219" i="4"/>
  <c r="T437" i="4"/>
  <c r="T343" i="4"/>
  <c r="T71" i="4"/>
  <c r="T375" i="4"/>
  <c r="T224" i="4"/>
  <c r="T207" i="4"/>
  <c r="T143" i="4"/>
  <c r="T151" i="4"/>
  <c r="Q283" i="4"/>
  <c r="Q47" i="4"/>
  <c r="Q10" i="4"/>
  <c r="Q358" i="4"/>
  <c r="Q122" i="4"/>
  <c r="Q49" i="4"/>
  <c r="Q147" i="4"/>
  <c r="Q34" i="4"/>
  <c r="Q425" i="4"/>
  <c r="Q474" i="4"/>
  <c r="Q245" i="4"/>
  <c r="Q379" i="4"/>
  <c r="Q111" i="4"/>
  <c r="Q361" i="4"/>
  <c r="Q70" i="4"/>
  <c r="Q443" i="4"/>
  <c r="Q399" i="4"/>
  <c r="Q427" i="4"/>
  <c r="Q416" i="4"/>
  <c r="Q264" i="4"/>
  <c r="Q404" i="4"/>
  <c r="Q409" i="4"/>
  <c r="Q396" i="4"/>
  <c r="Q272" i="4"/>
  <c r="Q13" i="4"/>
  <c r="Q197" i="4"/>
  <c r="Q287" i="4"/>
  <c r="Q383" i="4"/>
  <c r="Q484" i="4"/>
  <c r="Q303" i="4"/>
  <c r="Q116" i="4"/>
  <c r="Q196" i="4"/>
  <c r="Q102" i="4"/>
  <c r="Q129" i="4"/>
  <c r="Q231" i="4"/>
  <c r="Q161" i="4"/>
  <c r="Q138" i="4"/>
  <c r="Q84" i="4"/>
  <c r="Q73" i="4"/>
  <c r="Q235" i="4"/>
  <c r="Q85" i="4"/>
  <c r="Q16" i="4"/>
  <c r="Q213" i="4"/>
  <c r="Q449" i="4"/>
  <c r="Q229" i="4"/>
  <c r="Q267" i="4"/>
  <c r="Q199" i="4"/>
  <c r="Q119" i="4"/>
  <c r="Q128" i="4"/>
  <c r="Q200" i="4"/>
  <c r="Q42" i="4"/>
  <c r="Q59" i="4"/>
  <c r="Q307" i="4"/>
  <c r="Q453" i="4"/>
  <c r="Q181" i="4"/>
  <c r="Q205" i="4"/>
  <c r="Q372" i="4"/>
  <c r="Q78" i="4"/>
  <c r="Q38" i="4"/>
  <c r="Q275" i="4"/>
  <c r="Q486" i="4"/>
  <c r="Q495" i="4"/>
  <c r="Q107" i="4"/>
  <c r="Q204" i="4"/>
  <c r="Q346" i="4"/>
  <c r="Q56" i="4"/>
  <c r="Q405" i="4"/>
  <c r="Q295" i="4"/>
  <c r="Q30" i="4"/>
  <c r="Q215" i="4"/>
  <c r="Q448" i="4"/>
  <c r="Q165" i="4"/>
  <c r="Q390" i="4"/>
  <c r="Q124" i="4"/>
  <c r="Q101" i="4"/>
  <c r="Q439" i="4"/>
  <c r="Q467" i="4"/>
  <c r="Q180" i="4"/>
  <c r="Q282" i="4"/>
  <c r="Q347" i="4"/>
  <c r="Q8" i="4"/>
  <c r="Q118" i="4"/>
  <c r="Q476" i="4"/>
  <c r="Q341" i="4"/>
  <c r="Q137" i="4"/>
  <c r="Q141" i="4"/>
  <c r="Q94" i="4"/>
  <c r="Q148" i="4"/>
  <c r="Q357" i="4"/>
  <c r="Q470" i="4"/>
  <c r="Q452" i="4"/>
  <c r="Q359" i="4"/>
  <c r="Q402" i="4"/>
  <c r="Q250" i="4"/>
  <c r="Q316" i="4"/>
  <c r="Q127" i="4"/>
  <c r="Q21" i="4"/>
  <c r="Q155" i="4"/>
  <c r="Q203" i="4"/>
  <c r="Q461" i="4"/>
  <c r="Q342" i="4"/>
  <c r="Q469" i="4"/>
  <c r="Q220" i="4"/>
  <c r="Q301" i="4"/>
  <c r="Q184" i="4"/>
  <c r="Q376" i="4"/>
  <c r="Q348" i="4"/>
  <c r="Q349" i="4"/>
  <c r="Q18" i="4"/>
  <c r="Q378" i="4"/>
  <c r="Q270" i="4"/>
  <c r="Q26" i="4"/>
  <c r="Q447" i="4"/>
  <c r="Q201" i="4"/>
  <c r="Q209" i="4"/>
  <c r="Q395" i="4"/>
  <c r="Q493" i="4"/>
  <c r="Q105" i="4"/>
  <c r="Q115" i="4"/>
  <c r="Q350" i="4"/>
  <c r="Q24" i="4"/>
  <c r="Q9" i="4"/>
  <c r="Q113" i="4"/>
  <c r="Q54" i="4"/>
  <c r="Q430" i="4"/>
  <c r="Q351" i="4"/>
  <c r="Q436" i="4"/>
  <c r="Q291" i="4"/>
  <c r="Q382" i="4"/>
  <c r="Q442" i="4"/>
  <c r="Q485" i="4"/>
  <c r="Q15" i="4"/>
  <c r="Q80" i="4"/>
  <c r="Q192" i="4"/>
  <c r="Q352" i="4"/>
  <c r="Q353" i="4"/>
  <c r="Q483" i="4"/>
  <c r="Q413" i="4"/>
  <c r="Q177" i="4"/>
  <c r="Q480" i="4"/>
  <c r="Q299" i="4"/>
  <c r="Q178" i="4"/>
  <c r="Q106" i="4"/>
  <c r="Q58" i="4"/>
  <c r="Q179" i="4"/>
  <c r="Q238" i="4"/>
  <c r="Q82" i="4"/>
  <c r="Q354" i="4"/>
  <c r="Q296" i="4"/>
  <c r="Q48" i="4"/>
  <c r="Q234" i="4"/>
  <c r="Q355" i="4"/>
  <c r="Q100" i="4"/>
  <c r="Q490" i="4"/>
  <c r="Q279" i="4"/>
  <c r="Q4" i="4"/>
  <c r="Q175" i="4"/>
  <c r="Q17" i="4"/>
  <c r="Q243" i="4"/>
  <c r="Q457" i="4"/>
  <c r="Q60" i="4"/>
  <c r="Q389" i="4"/>
  <c r="Q83" i="4"/>
  <c r="Q191" i="4"/>
  <c r="Q254" i="4"/>
  <c r="Q360" i="4"/>
  <c r="Q144" i="4"/>
  <c r="Q451" i="4"/>
  <c r="Q309" i="4"/>
  <c r="Q103" i="4"/>
  <c r="Q463" i="4"/>
  <c r="Q305" i="4"/>
  <c r="Q356" i="4"/>
  <c r="Q40" i="4"/>
  <c r="Q146" i="4"/>
  <c r="Q368" i="4"/>
  <c r="Q446" i="4"/>
  <c r="Q198" i="4"/>
  <c r="Q401" i="4"/>
  <c r="Q242" i="4"/>
  <c r="Q53" i="4"/>
  <c r="Q407" i="4"/>
  <c r="Q312" i="4"/>
  <c r="Q230" i="4"/>
  <c r="Q182" i="4"/>
  <c r="Q29" i="4"/>
  <c r="Q481" i="4"/>
  <c r="Q318" i="4"/>
  <c r="Q88" i="4"/>
  <c r="Q400" i="4"/>
  <c r="Q345" i="4"/>
  <c r="Q278" i="4"/>
  <c r="Q269" i="4"/>
  <c r="Q7" i="4"/>
  <c r="Q139" i="4"/>
  <c r="Q228" i="4"/>
  <c r="Q429" i="4"/>
  <c r="Q188" i="4"/>
  <c r="Q391" i="4"/>
  <c r="Q90" i="4"/>
  <c r="Q217" i="4"/>
  <c r="Q419" i="4"/>
  <c r="Q260" i="4"/>
  <c r="Q466" i="4"/>
  <c r="Q281" i="4"/>
  <c r="Q288" i="4"/>
  <c r="Q284" i="4"/>
  <c r="Q168" i="4"/>
  <c r="Q174" i="4"/>
  <c r="Q406" i="4"/>
  <c r="Q333" i="4"/>
  <c r="Q171" i="4"/>
  <c r="Q285" i="4"/>
  <c r="Q306" i="4"/>
  <c r="Q232" i="4"/>
  <c r="Q136" i="4"/>
  <c r="Q19" i="4"/>
  <c r="Q440" i="4"/>
  <c r="Q497" i="4"/>
  <c r="Q369" i="4"/>
  <c r="Q475" i="4"/>
  <c r="Q308" i="4"/>
  <c r="Q473" i="4"/>
  <c r="Q108" i="4"/>
  <c r="Q237" i="4"/>
  <c r="Q297" i="4"/>
  <c r="Q458" i="4"/>
  <c r="Q166" i="4"/>
  <c r="Q363" i="4"/>
  <c r="Q487" i="4"/>
  <c r="Q27" i="4"/>
  <c r="Q50" i="4"/>
  <c r="Q337" i="4"/>
  <c r="Q465" i="4"/>
  <c r="Q89" i="4"/>
  <c r="Q385" i="4"/>
  <c r="Q93" i="4"/>
  <c r="Q133" i="4"/>
  <c r="Q319" i="4"/>
  <c r="Q464" i="4"/>
  <c r="Q336" i="4"/>
  <c r="Q87" i="4"/>
  <c r="Q216" i="4"/>
  <c r="Q202" i="4"/>
  <c r="Q2" i="4"/>
  <c r="Q45" i="4"/>
  <c r="Q328" i="4"/>
  <c r="Q263" i="4"/>
  <c r="Q176" i="4"/>
  <c r="Q14" i="4"/>
  <c r="Q488" i="4"/>
  <c r="Q418" i="4"/>
  <c r="Q95" i="4"/>
  <c r="Q218" i="4"/>
  <c r="Q438" i="4"/>
  <c r="Q187" i="4"/>
  <c r="Q411" i="4"/>
  <c r="Q240" i="4"/>
  <c r="Q183" i="4"/>
  <c r="Q367" i="4"/>
  <c r="Q211" i="4"/>
  <c r="Q392" i="4"/>
  <c r="Q244" i="4"/>
  <c r="Q159" i="4"/>
  <c r="Q68" i="4"/>
  <c r="Q239" i="4"/>
  <c r="Q227" i="4"/>
  <c r="Q366" i="4"/>
  <c r="Q212" i="4"/>
  <c r="Q190" i="4"/>
  <c r="Q492" i="4"/>
  <c r="Q330" i="4"/>
  <c r="Q75" i="4"/>
  <c r="Q456" i="4"/>
  <c r="Q426" i="4"/>
  <c r="Q117" i="4"/>
  <c r="Q415" i="4"/>
  <c r="Q274" i="4"/>
  <c r="Q193" i="4"/>
  <c r="Q20" i="4"/>
  <c r="Q273" i="4"/>
  <c r="Q335" i="4"/>
  <c r="Q65" i="4"/>
  <c r="Q298" i="4"/>
  <c r="Q403" i="4"/>
  <c r="Q223" i="4"/>
  <c r="Q12" i="4"/>
  <c r="Q163" i="4"/>
  <c r="Q394" i="4"/>
  <c r="Q208" i="4"/>
  <c r="Q98" i="4"/>
  <c r="Q154" i="4"/>
  <c r="Q313" i="4"/>
  <c r="Q362" i="4"/>
  <c r="Q441" i="4"/>
  <c r="Q157" i="4"/>
  <c r="Q324" i="4"/>
  <c r="Q140" i="4"/>
  <c r="Q433" i="4"/>
  <c r="Q289" i="4"/>
  <c r="Q325" i="4"/>
  <c r="Q91" i="4"/>
  <c r="Q424" i="4"/>
  <c r="Q423" i="4"/>
  <c r="Q302" i="4"/>
  <c r="Q63" i="4"/>
  <c r="Q384" i="4"/>
  <c r="Q304" i="4"/>
  <c r="Q257" i="4"/>
  <c r="Q388" i="4"/>
  <c r="Q494" i="4"/>
  <c r="Q61" i="4"/>
  <c r="Q32" i="4"/>
  <c r="Q74" i="4"/>
  <c r="Q135" i="4"/>
  <c r="Q152" i="4"/>
  <c r="Q249" i="4"/>
  <c r="Q109" i="4"/>
  <c r="Q247" i="4"/>
  <c r="Q131" i="4"/>
  <c r="Q112" i="4"/>
  <c r="Q428" i="4"/>
  <c r="Q120" i="4"/>
  <c r="Q414" i="4"/>
  <c r="Q222" i="4"/>
  <c r="Q320" i="4"/>
  <c r="Q36" i="4"/>
  <c r="Q445" i="4"/>
  <c r="Q51" i="4"/>
  <c r="Q326" i="4"/>
  <c r="Q286" i="4"/>
  <c r="Q450" i="4"/>
  <c r="Q125" i="4"/>
  <c r="Q189" i="4"/>
  <c r="Q412" i="4"/>
  <c r="Q195" i="4"/>
  <c r="Q97" i="4"/>
  <c r="Q134" i="4"/>
  <c r="Q408" i="4"/>
  <c r="Q300" i="4"/>
  <c r="Q43" i="4"/>
  <c r="Q3" i="4"/>
  <c r="Q210" i="4"/>
  <c r="Q121" i="4"/>
  <c r="Q290" i="4"/>
  <c r="Q334" i="4"/>
  <c r="Q386" i="4"/>
  <c r="Q311" i="4"/>
  <c r="Q162" i="4"/>
  <c r="Q221" i="4"/>
  <c r="Q114" i="4"/>
  <c r="Q11" i="4"/>
  <c r="Q253" i="4"/>
  <c r="Q310" i="4"/>
  <c r="Q81" i="4"/>
  <c r="Q145" i="4"/>
  <c r="Q52" i="4"/>
  <c r="Q72" i="4"/>
  <c r="Q422" i="4"/>
  <c r="Q410" i="4"/>
  <c r="Q322" i="4"/>
  <c r="Q370" i="4"/>
  <c r="Q173" i="4"/>
  <c r="Q331" i="4"/>
  <c r="Q417" i="4"/>
  <c r="Q258" i="4"/>
  <c r="Q381" i="4"/>
  <c r="Q57" i="4"/>
  <c r="Q327" i="4"/>
  <c r="Q393" i="4"/>
  <c r="Q67" i="4"/>
  <c r="Q96" i="4"/>
  <c r="Q150" i="4"/>
  <c r="Q167" i="4"/>
  <c r="Q434" i="4"/>
  <c r="Q44" i="4"/>
  <c r="Q62" i="4"/>
  <c r="Q294" i="4"/>
  <c r="Q321" i="4"/>
  <c r="Q468" i="4"/>
  <c r="Q142" i="4"/>
  <c r="Q338" i="4"/>
  <c r="Q339" i="4"/>
  <c r="Q149" i="4"/>
  <c r="Q169" i="4"/>
  <c r="Q172" i="4"/>
  <c r="Q478" i="4"/>
  <c r="Q482" i="4"/>
  <c r="Q233" i="4"/>
  <c r="Q25" i="4"/>
  <c r="Q241" i="4"/>
  <c r="Q332" i="4"/>
  <c r="Q76" i="4"/>
  <c r="Q104" i="4"/>
  <c r="Q77" i="4"/>
  <c r="Q236" i="4"/>
  <c r="Q132" i="4"/>
  <c r="Q371" i="4"/>
  <c r="Q41" i="4"/>
  <c r="Q86" i="4"/>
  <c r="Q380" i="4"/>
  <c r="Q432" i="4"/>
  <c r="Q251" i="4"/>
  <c r="Q35" i="4"/>
  <c r="Q39" i="4"/>
  <c r="Q225" i="4"/>
  <c r="Q455" i="4"/>
  <c r="Q315" i="4"/>
  <c r="Q277" i="4"/>
  <c r="Q153" i="4"/>
  <c r="Q66" i="4"/>
  <c r="Q340" i="4"/>
  <c r="Q46" i="4"/>
  <c r="Q280" i="4"/>
  <c r="Q164" i="4"/>
  <c r="Q329" i="4"/>
  <c r="Q373" i="4"/>
  <c r="Q252" i="4"/>
  <c r="Q377" i="4"/>
  <c r="Q444" i="4"/>
  <c r="Q276" i="4"/>
  <c r="Q206" i="4"/>
  <c r="Q28" i="4"/>
  <c r="Q248" i="4"/>
  <c r="Q431" i="4"/>
  <c r="Q268" i="4"/>
  <c r="Q477" i="4"/>
  <c r="Q126" i="4"/>
  <c r="Q170" i="4"/>
  <c r="Q471" i="4"/>
  <c r="Q435" i="4"/>
  <c r="Q226" i="4"/>
  <c r="Q454" i="4"/>
  <c r="Q92" i="4"/>
  <c r="Q271" i="4"/>
  <c r="Q314" i="4"/>
  <c r="Q37" i="4"/>
  <c r="Q462" i="4"/>
  <c r="Q5" i="4"/>
  <c r="Q158" i="4"/>
  <c r="Q261" i="4"/>
  <c r="Q246" i="4"/>
  <c r="Q79" i="4"/>
  <c r="Q186" i="4"/>
  <c r="Q156" i="4"/>
  <c r="Q194" i="4"/>
  <c r="Q460" i="4"/>
  <c r="Q123" i="4"/>
  <c r="Q498" i="4"/>
  <c r="Q110" i="4"/>
  <c r="Q160" i="4"/>
  <c r="Q64" i="4"/>
  <c r="Q459" i="4"/>
  <c r="Q489" i="4"/>
  <c r="Q398" i="4"/>
  <c r="Q22" i="4"/>
  <c r="Q479" i="4"/>
  <c r="Q364" i="4"/>
  <c r="Q6" i="4"/>
  <c r="Q23" i="4"/>
  <c r="Q317" i="4"/>
  <c r="Q265" i="4"/>
  <c r="Q420" i="4"/>
  <c r="Q344" i="4"/>
  <c r="Q214" i="4"/>
  <c r="Q130" i="4"/>
  <c r="Q259" i="4"/>
  <c r="Q266" i="4"/>
  <c r="Q472" i="4"/>
  <c r="Q185" i="4"/>
  <c r="Q387" i="4"/>
  <c r="Q421" i="4"/>
  <c r="Q262" i="4"/>
  <c r="Q69" i="4"/>
  <c r="Q31" i="4"/>
  <c r="Q99" i="4"/>
  <c r="Q256" i="4"/>
  <c r="Q293" i="4"/>
  <c r="Q397" i="4"/>
  <c r="Q219" i="4"/>
  <c r="Q437" i="4"/>
  <c r="Q343" i="4"/>
  <c r="Q71" i="4"/>
  <c r="Q375" i="4"/>
  <c r="Q224" i="4"/>
  <c r="Q207" i="4"/>
  <c r="Q143" i="4"/>
  <c r="Q151" i="4"/>
  <c r="P10" i="4"/>
  <c r="P427" i="4"/>
  <c r="P396" i="4"/>
  <c r="P34" i="4"/>
  <c r="P425" i="4"/>
  <c r="P111" i="4"/>
  <c r="P358" i="4"/>
  <c r="P409" i="4"/>
  <c r="P49" i="4"/>
  <c r="P474" i="4"/>
  <c r="P443" i="4"/>
  <c r="P47" i="4"/>
  <c r="P55" i="4"/>
  <c r="P404" i="4"/>
  <c r="P264" i="4"/>
  <c r="P147" i="4"/>
  <c r="P283" i="4"/>
  <c r="P416" i="4"/>
  <c r="P361" i="4"/>
  <c r="P151" i="4"/>
  <c r="P143" i="4"/>
  <c r="P207" i="4"/>
  <c r="P224" i="4"/>
  <c r="P375" i="4"/>
  <c r="P71" i="4"/>
  <c r="P343" i="4"/>
  <c r="P437" i="4"/>
  <c r="P219" i="4"/>
  <c r="P397" i="4"/>
  <c r="P293" i="4"/>
  <c r="P256" i="4"/>
  <c r="P99" i="4"/>
  <c r="P31" i="4"/>
  <c r="P69" i="4"/>
  <c r="P262" i="4"/>
  <c r="P421" i="4"/>
  <c r="P387" i="4"/>
  <c r="P185" i="4"/>
  <c r="P472" i="4"/>
  <c r="P266" i="4"/>
  <c r="P259" i="4"/>
  <c r="P130" i="4"/>
  <c r="P214" i="4"/>
  <c r="P344" i="4"/>
  <c r="P420" i="4"/>
  <c r="P265" i="4"/>
  <c r="P317" i="4"/>
  <c r="P23" i="4"/>
  <c r="P6" i="4"/>
  <c r="P364" i="4"/>
  <c r="P479" i="4"/>
  <c r="P22" i="4"/>
  <c r="P398" i="4"/>
  <c r="P489" i="4"/>
  <c r="P459" i="4"/>
  <c r="P64" i="4"/>
  <c r="P160" i="4"/>
  <c r="P110" i="4"/>
  <c r="P498" i="4"/>
  <c r="P123" i="4"/>
  <c r="P460" i="4"/>
  <c r="P194" i="4"/>
  <c r="P156" i="4"/>
  <c r="P186" i="4"/>
  <c r="P79" i="4"/>
  <c r="P246" i="4"/>
  <c r="P261" i="4"/>
  <c r="P158" i="4"/>
  <c r="P5" i="4"/>
  <c r="P462" i="4"/>
  <c r="P37" i="4"/>
  <c r="P314" i="4"/>
  <c r="P271" i="4"/>
  <c r="P92" i="4"/>
  <c r="P454" i="4"/>
  <c r="P226" i="4"/>
  <c r="P435" i="4"/>
  <c r="P471" i="4"/>
  <c r="P170" i="4"/>
  <c r="P126" i="4"/>
  <c r="P477" i="4"/>
  <c r="P268" i="4"/>
  <c r="P431" i="4"/>
  <c r="P248" i="4"/>
  <c r="P28" i="4"/>
  <c r="P206" i="4"/>
  <c r="P276" i="4"/>
  <c r="P444" i="4"/>
  <c r="P252" i="4"/>
  <c r="P373" i="4"/>
  <c r="P329" i="4"/>
  <c r="P164" i="4"/>
  <c r="P280" i="4"/>
  <c r="P46" i="4"/>
  <c r="P340" i="4"/>
  <c r="P66" i="4"/>
  <c r="P153" i="4"/>
  <c r="P277" i="4"/>
  <c r="P315" i="4"/>
  <c r="P455" i="4"/>
  <c r="P225" i="4"/>
  <c r="P39" i="4"/>
  <c r="P35" i="4"/>
  <c r="P251" i="4"/>
  <c r="P432" i="4"/>
  <c r="P380" i="4"/>
  <c r="P86" i="4"/>
  <c r="P41" i="4"/>
  <c r="P371" i="4"/>
  <c r="P132" i="4"/>
  <c r="P236" i="4"/>
  <c r="P77" i="4"/>
  <c r="P104" i="4"/>
  <c r="P76" i="4"/>
  <c r="P332" i="4"/>
  <c r="P241" i="4"/>
  <c r="P25" i="4"/>
  <c r="P233" i="4"/>
  <c r="P482" i="4"/>
  <c r="P478" i="4"/>
  <c r="P172" i="4"/>
  <c r="P169" i="4"/>
  <c r="P149" i="4"/>
  <c r="P339" i="4"/>
  <c r="P338" i="4"/>
  <c r="P142" i="4"/>
  <c r="P468" i="4"/>
  <c r="P321" i="4"/>
  <c r="P294" i="4"/>
  <c r="P62" i="4"/>
  <c r="P44" i="4"/>
  <c r="P434" i="4"/>
  <c r="P167" i="4"/>
  <c r="P150" i="4"/>
  <c r="P96" i="4"/>
  <c r="P67" i="4"/>
  <c r="P393" i="4"/>
  <c r="P327" i="4"/>
  <c r="P57" i="4"/>
  <c r="P381" i="4"/>
  <c r="P258" i="4"/>
  <c r="P417" i="4"/>
  <c r="P331" i="4"/>
  <c r="P173" i="4"/>
  <c r="P370" i="4"/>
  <c r="P322" i="4"/>
  <c r="P410" i="4"/>
  <c r="P422" i="4"/>
  <c r="P72" i="4"/>
  <c r="P52" i="4"/>
  <c r="P145" i="4"/>
  <c r="P81" i="4"/>
  <c r="P310" i="4"/>
  <c r="P253" i="4"/>
  <c r="P11" i="4"/>
  <c r="P114" i="4"/>
  <c r="P221" i="4"/>
  <c r="P162" i="4"/>
  <c r="P311" i="4"/>
  <c r="P386" i="4"/>
  <c r="P334" i="4"/>
  <c r="P290" i="4"/>
  <c r="P121" i="4"/>
  <c r="P210" i="4"/>
  <c r="P3" i="4"/>
  <c r="P43" i="4"/>
  <c r="P300" i="4"/>
  <c r="P408" i="4"/>
  <c r="P134" i="4"/>
  <c r="P97" i="4"/>
  <c r="P195" i="4"/>
  <c r="P412" i="4"/>
  <c r="P189" i="4"/>
  <c r="P125" i="4"/>
  <c r="P450" i="4"/>
  <c r="P286" i="4"/>
  <c r="P326" i="4"/>
  <c r="P51" i="4"/>
  <c r="P445" i="4"/>
  <c r="P36" i="4"/>
  <c r="P320" i="4"/>
  <c r="P222" i="4"/>
  <c r="P414" i="4"/>
  <c r="P120" i="4"/>
  <c r="P428" i="4"/>
  <c r="P112" i="4"/>
  <c r="P131" i="4"/>
  <c r="P247" i="4"/>
  <c r="P109" i="4"/>
  <c r="P249" i="4"/>
  <c r="P152" i="4"/>
  <c r="P135" i="4"/>
  <c r="P74" i="4"/>
  <c r="P32" i="4"/>
  <c r="P61" i="4"/>
  <c r="P494" i="4"/>
  <c r="P388" i="4"/>
  <c r="P257" i="4"/>
  <c r="P304" i="4"/>
  <c r="P384" i="4"/>
  <c r="P63" i="4"/>
  <c r="P302" i="4"/>
  <c r="P423" i="4"/>
  <c r="P424" i="4"/>
  <c r="P91" i="4"/>
  <c r="P325" i="4"/>
  <c r="P289" i="4"/>
  <c r="P433" i="4"/>
  <c r="P140" i="4"/>
  <c r="P324" i="4"/>
  <c r="P157" i="4"/>
  <c r="P441" i="4"/>
  <c r="P362" i="4"/>
  <c r="P313" i="4"/>
  <c r="P154" i="4"/>
  <c r="P98" i="4"/>
  <c r="P208" i="4"/>
  <c r="P394" i="4"/>
  <c r="P163" i="4"/>
  <c r="P12" i="4"/>
  <c r="P223" i="4"/>
  <c r="P403" i="4"/>
  <c r="P298" i="4"/>
  <c r="P65" i="4"/>
  <c r="P335" i="4"/>
  <c r="P273" i="4"/>
  <c r="P20" i="4"/>
  <c r="P193" i="4"/>
  <c r="P274" i="4"/>
  <c r="P415" i="4"/>
  <c r="P117" i="4"/>
  <c r="P426" i="4"/>
  <c r="P456" i="4"/>
  <c r="P75" i="4"/>
  <c r="P330" i="4"/>
  <c r="P492" i="4"/>
  <c r="P190" i="4"/>
  <c r="P212" i="4"/>
  <c r="P366" i="4"/>
  <c r="P227" i="4"/>
  <c r="P239" i="4"/>
  <c r="P68" i="4"/>
  <c r="P159" i="4"/>
  <c r="P244" i="4"/>
  <c r="P392" i="4"/>
  <c r="P211" i="4"/>
  <c r="P367" i="4"/>
  <c r="P183" i="4"/>
  <c r="P240" i="4"/>
  <c r="P411" i="4"/>
  <c r="P187" i="4"/>
  <c r="P438" i="4"/>
  <c r="P218" i="4"/>
  <c r="P95" i="4"/>
  <c r="P418" i="4"/>
  <c r="P488" i="4"/>
  <c r="P14" i="4"/>
  <c r="P176" i="4"/>
  <c r="P263" i="4"/>
  <c r="P328" i="4"/>
  <c r="P45" i="4"/>
  <c r="P2" i="4"/>
  <c r="P202" i="4"/>
  <c r="P216" i="4"/>
  <c r="P87" i="4"/>
  <c r="P336" i="4"/>
  <c r="P464" i="4"/>
  <c r="P319" i="4"/>
  <c r="P133" i="4"/>
  <c r="P93" i="4"/>
  <c r="P385" i="4"/>
  <c r="P89" i="4"/>
  <c r="P465" i="4"/>
  <c r="P337" i="4"/>
  <c r="P50" i="4"/>
  <c r="P27" i="4"/>
  <c r="P487" i="4"/>
  <c r="P363" i="4"/>
  <c r="P166" i="4"/>
  <c r="P458" i="4"/>
  <c r="P297" i="4"/>
  <c r="P237" i="4"/>
  <c r="P108" i="4"/>
  <c r="P473" i="4"/>
  <c r="P308" i="4"/>
  <c r="P475" i="4"/>
  <c r="P369" i="4"/>
  <c r="P497" i="4"/>
  <c r="P440" i="4"/>
  <c r="P19" i="4"/>
  <c r="P136" i="4"/>
  <c r="P232" i="4"/>
  <c r="P306" i="4"/>
  <c r="P285" i="4"/>
  <c r="P171" i="4"/>
  <c r="P333" i="4"/>
  <c r="P406" i="4"/>
  <c r="P174" i="4"/>
  <c r="P168" i="4"/>
  <c r="P284" i="4"/>
  <c r="P288" i="4"/>
  <c r="P281" i="4"/>
  <c r="P466" i="4"/>
  <c r="P260" i="4"/>
  <c r="P419" i="4"/>
  <c r="P217" i="4"/>
  <c r="P90" i="4"/>
  <c r="P391" i="4"/>
  <c r="P188" i="4"/>
  <c r="P429" i="4"/>
  <c r="P228" i="4"/>
  <c r="P139" i="4"/>
  <c r="P7" i="4"/>
  <c r="P269" i="4"/>
  <c r="P278" i="4"/>
  <c r="P345" i="4"/>
  <c r="P400" i="4"/>
  <c r="P88" i="4"/>
  <c r="P318" i="4"/>
  <c r="P481" i="4"/>
  <c r="P29" i="4"/>
  <c r="P182" i="4"/>
  <c r="P230" i="4"/>
  <c r="P312" i="4"/>
  <c r="P407" i="4"/>
  <c r="P53" i="4"/>
  <c r="P242" i="4"/>
  <c r="P401" i="4"/>
  <c r="P198" i="4"/>
  <c r="P446" i="4"/>
  <c r="P368" i="4"/>
  <c r="P146" i="4"/>
  <c r="P40" i="4"/>
  <c r="P356" i="4"/>
  <c r="P305" i="4"/>
  <c r="P463" i="4"/>
  <c r="P103" i="4"/>
  <c r="P309" i="4"/>
  <c r="P451" i="4"/>
  <c r="P144" i="4"/>
  <c r="P360" i="4"/>
  <c r="P254" i="4"/>
  <c r="P191" i="4"/>
  <c r="P83" i="4"/>
  <c r="P389" i="4"/>
  <c r="P60" i="4"/>
  <c r="P457" i="4"/>
  <c r="P243" i="4"/>
  <c r="P17" i="4"/>
  <c r="P175" i="4"/>
  <c r="P4" i="4"/>
  <c r="P279" i="4"/>
  <c r="P490" i="4"/>
  <c r="P100" i="4"/>
  <c r="P355" i="4"/>
  <c r="P234" i="4"/>
  <c r="P48" i="4"/>
  <c r="P296" i="4"/>
  <c r="P354" i="4"/>
  <c r="P82" i="4"/>
  <c r="P238" i="4"/>
  <c r="P179" i="4"/>
  <c r="P58" i="4"/>
  <c r="P106" i="4"/>
  <c r="P178" i="4"/>
  <c r="P299" i="4"/>
  <c r="P480" i="4"/>
  <c r="P177" i="4"/>
  <c r="P413" i="4"/>
  <c r="P483" i="4"/>
  <c r="P353" i="4"/>
  <c r="P352" i="4"/>
  <c r="P192" i="4"/>
  <c r="P80" i="4"/>
  <c r="P15" i="4"/>
  <c r="P485" i="4"/>
  <c r="P442" i="4"/>
  <c r="P382" i="4"/>
  <c r="P291" i="4"/>
  <c r="P436" i="4"/>
  <c r="P351" i="4"/>
  <c r="P430" i="4"/>
  <c r="P54" i="4"/>
  <c r="P113" i="4"/>
  <c r="P9" i="4"/>
  <c r="P24" i="4"/>
  <c r="P350" i="4"/>
  <c r="P115" i="4"/>
  <c r="P105" i="4"/>
  <c r="P493" i="4"/>
  <c r="P395" i="4"/>
  <c r="P209" i="4"/>
  <c r="P201" i="4"/>
  <c r="P447" i="4"/>
  <c r="P26" i="4"/>
  <c r="P270" i="4"/>
  <c r="P378" i="4"/>
  <c r="P18" i="4"/>
  <c r="P349" i="4"/>
  <c r="P348" i="4"/>
  <c r="P376" i="4"/>
  <c r="P184" i="4"/>
  <c r="P301" i="4"/>
  <c r="P220" i="4"/>
  <c r="P469" i="4"/>
  <c r="P342" i="4"/>
  <c r="P461" i="4"/>
  <c r="P203" i="4"/>
  <c r="P155" i="4"/>
  <c r="P21" i="4"/>
  <c r="P127" i="4"/>
  <c r="P316" i="4"/>
  <c r="P250" i="4"/>
  <c r="P402" i="4"/>
  <c r="P359" i="4"/>
  <c r="P452" i="4"/>
  <c r="P470" i="4"/>
  <c r="P357" i="4"/>
  <c r="P148" i="4"/>
  <c r="P94" i="4"/>
  <c r="P141" i="4"/>
  <c r="P137" i="4"/>
  <c r="P341" i="4"/>
  <c r="P476" i="4"/>
  <c r="P118" i="4"/>
  <c r="P8" i="4"/>
  <c r="P347" i="4"/>
  <c r="P282" i="4"/>
  <c r="P180" i="4"/>
  <c r="P467" i="4"/>
  <c r="P439" i="4"/>
  <c r="P101" i="4"/>
  <c r="P124" i="4"/>
  <c r="P390" i="4"/>
  <c r="P165" i="4"/>
  <c r="P448" i="4"/>
  <c r="P215" i="4"/>
  <c r="P30" i="4"/>
  <c r="P295" i="4"/>
  <c r="P405" i="4"/>
  <c r="P56" i="4"/>
  <c r="P346" i="4"/>
  <c r="P204" i="4"/>
  <c r="P107" i="4"/>
  <c r="P495" i="4"/>
  <c r="P486" i="4"/>
  <c r="P275" i="4"/>
  <c r="P38" i="4"/>
  <c r="P78" i="4"/>
  <c r="P372" i="4"/>
  <c r="P205" i="4"/>
  <c r="P181" i="4"/>
  <c r="P453" i="4"/>
  <c r="P307" i="4"/>
  <c r="P59" i="4"/>
  <c r="P42" i="4"/>
  <c r="P200" i="4"/>
  <c r="P128" i="4"/>
  <c r="P119" i="4"/>
  <c r="P199" i="4"/>
  <c r="P267" i="4"/>
  <c r="P229" i="4"/>
  <c r="P449" i="4"/>
  <c r="P213" i="4"/>
  <c r="P16" i="4"/>
  <c r="P85" i="4"/>
  <c r="P235" i="4"/>
  <c r="P73" i="4"/>
  <c r="P84" i="4"/>
  <c r="P138" i="4"/>
  <c r="P161" i="4"/>
  <c r="P231" i="4"/>
  <c r="P129" i="4"/>
  <c r="P102" i="4"/>
  <c r="P196" i="4"/>
  <c r="P116" i="4"/>
  <c r="P303" i="4"/>
  <c r="P484" i="4"/>
  <c r="P383" i="4"/>
  <c r="P287" i="4"/>
  <c r="P13" i="4"/>
  <c r="P272" i="4"/>
  <c r="P245" i="4"/>
  <c r="P70" i="4"/>
  <c r="P379" i="4"/>
  <c r="P122" i="4"/>
  <c r="R399" i="4"/>
  <c r="S399" i="4"/>
  <c r="R416" i="4"/>
  <c r="S416" i="4"/>
  <c r="R283" i="4"/>
  <c r="S283" i="4"/>
  <c r="R147" i="4"/>
  <c r="S147" i="4"/>
  <c r="R264" i="4"/>
  <c r="S264" i="4"/>
  <c r="R404" i="4"/>
  <c r="R47" i="4"/>
  <c r="S47" i="4"/>
  <c r="R443" i="4"/>
  <c r="S443" i="4"/>
  <c r="R474" i="4"/>
  <c r="S474" i="4"/>
  <c r="R49" i="4"/>
  <c r="S49" i="4"/>
  <c r="R409" i="4"/>
  <c r="S409" i="4"/>
  <c r="R358" i="4"/>
  <c r="S358" i="4"/>
  <c r="R111" i="4"/>
  <c r="S111" i="4"/>
  <c r="R425" i="4"/>
  <c r="S425" i="4"/>
  <c r="R34" i="4"/>
  <c r="S34" i="4"/>
  <c r="R396" i="4"/>
  <c r="S396" i="4"/>
  <c r="R427" i="4"/>
  <c r="S427" i="4"/>
  <c r="R10" i="4"/>
  <c r="R122" i="4"/>
  <c r="S122" i="4"/>
  <c r="R379" i="4"/>
  <c r="S379" i="4"/>
  <c r="R70" i="4"/>
  <c r="S70" i="4"/>
  <c r="R245" i="4"/>
  <c r="S245" i="4"/>
  <c r="R272" i="4"/>
  <c r="S272" i="4"/>
  <c r="R13" i="4"/>
  <c r="S13" i="4"/>
  <c r="R197" i="4"/>
  <c r="S197" i="4"/>
  <c r="R287" i="4"/>
  <c r="S287" i="4"/>
  <c r="R383" i="4"/>
  <c r="S383" i="4"/>
  <c r="R484" i="4"/>
  <c r="S484" i="4"/>
  <c r="R303" i="4"/>
  <c r="S303" i="4"/>
  <c r="R116" i="4"/>
  <c r="S116" i="4"/>
  <c r="R196" i="4"/>
  <c r="S196" i="4"/>
  <c r="R102" i="4"/>
  <c r="S102" i="4"/>
  <c r="R129" i="4"/>
  <c r="S129" i="4"/>
  <c r="R231" i="4"/>
  <c r="S231" i="4"/>
  <c r="R161" i="4"/>
  <c r="S161" i="4"/>
  <c r="R138" i="4"/>
  <c r="S138" i="4"/>
  <c r="R84" i="4"/>
  <c r="S84" i="4"/>
  <c r="R73" i="4"/>
  <c r="S73" i="4"/>
  <c r="R235" i="4"/>
  <c r="S235" i="4"/>
  <c r="R85" i="4"/>
  <c r="S85" i="4"/>
  <c r="R16" i="4"/>
  <c r="S16" i="4"/>
  <c r="R213" i="4"/>
  <c r="S213" i="4"/>
  <c r="R449" i="4"/>
  <c r="S449" i="4"/>
  <c r="R229" i="4"/>
  <c r="S229" i="4"/>
  <c r="R267" i="4"/>
  <c r="S267" i="4"/>
  <c r="R199" i="4"/>
  <c r="S199" i="4"/>
  <c r="R119" i="4"/>
  <c r="S119" i="4"/>
  <c r="R128" i="4"/>
  <c r="S128" i="4"/>
  <c r="R200" i="4"/>
  <c r="S200" i="4"/>
  <c r="R42" i="4"/>
  <c r="S42" i="4"/>
  <c r="R59" i="4"/>
  <c r="S59" i="4"/>
  <c r="R307" i="4"/>
  <c r="S307" i="4"/>
  <c r="R453" i="4"/>
  <c r="S453" i="4"/>
  <c r="R181" i="4"/>
  <c r="S181" i="4"/>
  <c r="R205" i="4"/>
  <c r="S205" i="4"/>
  <c r="R372" i="4"/>
  <c r="S372" i="4"/>
  <c r="R78" i="4"/>
  <c r="S78" i="4"/>
  <c r="R38" i="4"/>
  <c r="S38" i="4"/>
  <c r="R275" i="4"/>
  <c r="S275" i="4"/>
  <c r="R486" i="4"/>
  <c r="S486" i="4"/>
  <c r="R495" i="4"/>
  <c r="S495" i="4"/>
  <c r="R107" i="4"/>
  <c r="S107" i="4"/>
  <c r="R204" i="4"/>
  <c r="S204" i="4"/>
  <c r="R346" i="4"/>
  <c r="S346" i="4"/>
  <c r="R56" i="4"/>
  <c r="S56" i="4"/>
  <c r="R405" i="4"/>
  <c r="S405" i="4"/>
  <c r="R295" i="4"/>
  <c r="S295" i="4"/>
  <c r="R30" i="4"/>
  <c r="S30" i="4"/>
  <c r="R215" i="4"/>
  <c r="S215" i="4"/>
  <c r="R448" i="4"/>
  <c r="S448" i="4"/>
  <c r="R165" i="4"/>
  <c r="S165" i="4"/>
  <c r="R390" i="4"/>
  <c r="S390" i="4"/>
  <c r="R124" i="4"/>
  <c r="S124" i="4"/>
  <c r="R101" i="4"/>
  <c r="S101" i="4"/>
  <c r="R439" i="4"/>
  <c r="S439" i="4"/>
  <c r="R467" i="4"/>
  <c r="S467" i="4"/>
  <c r="R180" i="4"/>
  <c r="S180" i="4"/>
  <c r="R282" i="4"/>
  <c r="S282" i="4"/>
  <c r="R347" i="4"/>
  <c r="S347" i="4"/>
  <c r="R8" i="4"/>
  <c r="S8" i="4"/>
  <c r="R118" i="4"/>
  <c r="S118" i="4"/>
  <c r="R476" i="4"/>
  <c r="S476" i="4"/>
  <c r="R341" i="4"/>
  <c r="S341" i="4"/>
  <c r="R137" i="4"/>
  <c r="S137" i="4"/>
  <c r="R141" i="4"/>
  <c r="S141" i="4"/>
  <c r="R94" i="4"/>
  <c r="S94" i="4"/>
  <c r="R148" i="4"/>
  <c r="S148" i="4"/>
  <c r="R357" i="4"/>
  <c r="S357" i="4"/>
  <c r="R470" i="4"/>
  <c r="S470" i="4"/>
  <c r="R452" i="4"/>
  <c r="S452" i="4"/>
  <c r="R359" i="4"/>
  <c r="S359" i="4"/>
  <c r="R402" i="4"/>
  <c r="S402" i="4"/>
  <c r="R250" i="4"/>
  <c r="S250" i="4"/>
  <c r="R316" i="4"/>
  <c r="S316" i="4"/>
  <c r="R127" i="4"/>
  <c r="S127" i="4"/>
  <c r="R21" i="4"/>
  <c r="S21" i="4"/>
  <c r="R155" i="4"/>
  <c r="S155" i="4"/>
  <c r="R203" i="4"/>
  <c r="S203" i="4"/>
  <c r="R461" i="4"/>
  <c r="S461" i="4"/>
  <c r="R342" i="4"/>
  <c r="S342" i="4"/>
  <c r="R469" i="4"/>
  <c r="S469" i="4"/>
  <c r="R220" i="4"/>
  <c r="S220" i="4"/>
  <c r="R301" i="4"/>
  <c r="S301" i="4"/>
  <c r="R184" i="4"/>
  <c r="S184" i="4"/>
  <c r="R376" i="4"/>
  <c r="R348" i="4"/>
  <c r="S348" i="4"/>
  <c r="R349" i="4"/>
  <c r="S349" i="4"/>
  <c r="R18" i="4"/>
  <c r="S18" i="4"/>
  <c r="R378" i="4"/>
  <c r="S378" i="4"/>
  <c r="R270" i="4"/>
  <c r="S270" i="4"/>
  <c r="R26" i="4"/>
  <c r="S26" i="4"/>
  <c r="R447" i="4"/>
  <c r="S447" i="4"/>
  <c r="R201" i="4"/>
  <c r="S201" i="4"/>
  <c r="R209" i="4"/>
  <c r="S209" i="4"/>
  <c r="R395" i="4"/>
  <c r="S395" i="4"/>
  <c r="R493" i="4"/>
  <c r="S493" i="4"/>
  <c r="R105" i="4"/>
  <c r="S105" i="4"/>
  <c r="R115" i="4"/>
  <c r="S115" i="4"/>
  <c r="R350" i="4"/>
  <c r="S350" i="4"/>
  <c r="R24" i="4"/>
  <c r="S24" i="4"/>
  <c r="R9" i="4"/>
  <c r="S9" i="4"/>
  <c r="R113" i="4"/>
  <c r="S113" i="4"/>
  <c r="R54" i="4"/>
  <c r="S54" i="4"/>
  <c r="R430" i="4"/>
  <c r="S430" i="4"/>
  <c r="R351" i="4"/>
  <c r="S351" i="4"/>
  <c r="R436" i="4"/>
  <c r="S436" i="4"/>
  <c r="R291" i="4"/>
  <c r="S291" i="4"/>
  <c r="R382" i="4"/>
  <c r="S382" i="4"/>
  <c r="R442" i="4"/>
  <c r="S442" i="4"/>
  <c r="R485" i="4"/>
  <c r="S485" i="4"/>
  <c r="R15" i="4"/>
  <c r="S15" i="4"/>
  <c r="R80" i="4"/>
  <c r="S80" i="4"/>
  <c r="R192" i="4"/>
  <c r="S192" i="4"/>
  <c r="R352" i="4"/>
  <c r="S352" i="4"/>
  <c r="R353" i="4"/>
  <c r="S353" i="4"/>
  <c r="R483" i="4"/>
  <c r="S483" i="4"/>
  <c r="R413" i="4"/>
  <c r="S413" i="4"/>
  <c r="R177" i="4"/>
  <c r="S177" i="4"/>
  <c r="R480" i="4"/>
  <c r="S480" i="4"/>
  <c r="R299" i="4"/>
  <c r="S299" i="4"/>
  <c r="R178" i="4"/>
  <c r="S178" i="4"/>
  <c r="R106" i="4"/>
  <c r="S106" i="4"/>
  <c r="R58" i="4"/>
  <c r="S58" i="4"/>
  <c r="R179" i="4"/>
  <c r="S179" i="4"/>
  <c r="R238" i="4"/>
  <c r="S238" i="4"/>
  <c r="R82" i="4"/>
  <c r="S82" i="4"/>
  <c r="R354" i="4"/>
  <c r="S354" i="4"/>
  <c r="R296" i="4"/>
  <c r="S296" i="4"/>
  <c r="R48" i="4"/>
  <c r="S48" i="4"/>
  <c r="R234" i="4"/>
  <c r="S234" i="4"/>
  <c r="R355" i="4"/>
  <c r="S355" i="4"/>
  <c r="R100" i="4"/>
  <c r="S100" i="4"/>
  <c r="R490" i="4"/>
  <c r="S490" i="4"/>
  <c r="R279" i="4"/>
  <c r="S279" i="4"/>
  <c r="R4" i="4"/>
  <c r="S4" i="4"/>
  <c r="R175" i="4"/>
  <c r="S175" i="4"/>
  <c r="R17" i="4"/>
  <c r="S17" i="4"/>
  <c r="R243" i="4"/>
  <c r="S243" i="4"/>
  <c r="R457" i="4"/>
  <c r="S457" i="4"/>
  <c r="R60" i="4"/>
  <c r="S60" i="4"/>
  <c r="R389" i="4"/>
  <c r="S389" i="4"/>
  <c r="R83" i="4"/>
  <c r="S83" i="4"/>
  <c r="R191" i="4"/>
  <c r="S191" i="4"/>
  <c r="R254" i="4"/>
  <c r="S254" i="4"/>
  <c r="R360" i="4"/>
  <c r="S360" i="4"/>
  <c r="R144" i="4"/>
  <c r="S144" i="4"/>
  <c r="R451" i="4"/>
  <c r="S451" i="4"/>
  <c r="R309" i="4"/>
  <c r="S309" i="4"/>
  <c r="R103" i="4"/>
  <c r="S103" i="4"/>
  <c r="R463" i="4"/>
  <c r="S463" i="4"/>
  <c r="R305" i="4"/>
  <c r="S305" i="4"/>
  <c r="R356" i="4"/>
  <c r="S356" i="4"/>
  <c r="R40" i="4"/>
  <c r="S40" i="4"/>
  <c r="R146" i="4"/>
  <c r="S146" i="4"/>
  <c r="R368" i="4"/>
  <c r="S368" i="4"/>
  <c r="R446" i="4"/>
  <c r="S446" i="4"/>
  <c r="R198" i="4"/>
  <c r="S198" i="4"/>
  <c r="R401" i="4"/>
  <c r="S401" i="4"/>
  <c r="R242" i="4"/>
  <c r="S242" i="4"/>
  <c r="R53" i="4"/>
  <c r="S53" i="4"/>
  <c r="R407" i="4"/>
  <c r="S407" i="4"/>
  <c r="R312" i="4"/>
  <c r="S312" i="4"/>
  <c r="R230" i="4"/>
  <c r="S230" i="4"/>
  <c r="R182" i="4"/>
  <c r="S182" i="4"/>
  <c r="R29" i="4"/>
  <c r="S29" i="4"/>
  <c r="R481" i="4"/>
  <c r="S481" i="4"/>
  <c r="R318" i="4"/>
  <c r="S318" i="4"/>
  <c r="R88" i="4"/>
  <c r="S88" i="4"/>
  <c r="R400" i="4"/>
  <c r="S400" i="4"/>
  <c r="R345" i="4"/>
  <c r="S345" i="4"/>
  <c r="R278" i="4"/>
  <c r="S278" i="4"/>
  <c r="R269" i="4"/>
  <c r="S269" i="4"/>
  <c r="R7" i="4"/>
  <c r="S7" i="4"/>
  <c r="R139" i="4"/>
  <c r="S139" i="4"/>
  <c r="R228" i="4"/>
  <c r="S228" i="4"/>
  <c r="R429" i="4"/>
  <c r="S429" i="4"/>
  <c r="R188" i="4"/>
  <c r="S188" i="4"/>
  <c r="R391" i="4"/>
  <c r="S391" i="4"/>
  <c r="R90" i="4"/>
  <c r="S90" i="4"/>
  <c r="R217" i="4"/>
  <c r="S217" i="4"/>
  <c r="R419" i="4"/>
  <c r="S419" i="4"/>
  <c r="R260" i="4"/>
  <c r="S260" i="4"/>
  <c r="R466" i="4"/>
  <c r="S466" i="4"/>
  <c r="R281" i="4"/>
  <c r="S281" i="4"/>
  <c r="R288" i="4"/>
  <c r="S288" i="4"/>
  <c r="R284" i="4"/>
  <c r="S284" i="4"/>
  <c r="R168" i="4"/>
  <c r="S168" i="4"/>
  <c r="R174" i="4"/>
  <c r="S174" i="4"/>
  <c r="R406" i="4"/>
  <c r="S406" i="4"/>
  <c r="R333" i="4"/>
  <c r="S333" i="4"/>
  <c r="R171" i="4"/>
  <c r="S171" i="4"/>
  <c r="R285" i="4"/>
  <c r="S285" i="4"/>
  <c r="R306" i="4"/>
  <c r="S306" i="4"/>
  <c r="R232" i="4"/>
  <c r="S232" i="4"/>
  <c r="R136" i="4"/>
  <c r="S136" i="4"/>
  <c r="R19" i="4"/>
  <c r="S19" i="4"/>
  <c r="R440" i="4"/>
  <c r="S440" i="4"/>
  <c r="R497" i="4"/>
  <c r="S497" i="4"/>
  <c r="R369" i="4"/>
  <c r="S369" i="4"/>
  <c r="R475" i="4"/>
  <c r="S475" i="4"/>
  <c r="R308" i="4"/>
  <c r="S308" i="4"/>
  <c r="R473" i="4"/>
  <c r="S473" i="4"/>
  <c r="R108" i="4"/>
  <c r="S108" i="4"/>
  <c r="R237" i="4"/>
  <c r="S237" i="4"/>
  <c r="R297" i="4"/>
  <c r="S297" i="4"/>
  <c r="R458" i="4"/>
  <c r="S458" i="4"/>
  <c r="R166" i="4"/>
  <c r="S166" i="4"/>
  <c r="R363" i="4"/>
  <c r="S363" i="4"/>
  <c r="R487" i="4"/>
  <c r="S487" i="4"/>
  <c r="R27" i="4"/>
  <c r="S27" i="4"/>
  <c r="R50" i="4"/>
  <c r="S50" i="4"/>
  <c r="R337" i="4"/>
  <c r="S337" i="4"/>
  <c r="R465" i="4"/>
  <c r="S465" i="4"/>
  <c r="R89" i="4"/>
  <c r="S89" i="4"/>
  <c r="R385" i="4"/>
  <c r="S385" i="4"/>
  <c r="R93" i="4"/>
  <c r="S93" i="4"/>
  <c r="R133" i="4"/>
  <c r="S133" i="4"/>
  <c r="R319" i="4"/>
  <c r="S319" i="4"/>
  <c r="R464" i="4"/>
  <c r="S464" i="4"/>
  <c r="R336" i="4"/>
  <c r="S336" i="4"/>
  <c r="R87" i="4"/>
  <c r="S87" i="4"/>
  <c r="R216" i="4"/>
  <c r="S216" i="4"/>
  <c r="R202" i="4"/>
  <c r="S202" i="4"/>
  <c r="R2" i="4"/>
  <c r="S2" i="4"/>
  <c r="R45" i="4"/>
  <c r="S45" i="4"/>
  <c r="R328" i="4"/>
  <c r="S328" i="4"/>
  <c r="R263" i="4"/>
  <c r="S263" i="4"/>
  <c r="R176" i="4"/>
  <c r="S176" i="4"/>
  <c r="R14" i="4"/>
  <c r="S14" i="4"/>
  <c r="R488" i="4"/>
  <c r="S488" i="4"/>
  <c r="R418" i="4"/>
  <c r="S418" i="4"/>
  <c r="R95" i="4"/>
  <c r="S95" i="4"/>
  <c r="R218" i="4"/>
  <c r="S218" i="4"/>
  <c r="R438" i="4"/>
  <c r="S438" i="4"/>
  <c r="R187" i="4"/>
  <c r="S187" i="4"/>
  <c r="R411" i="4"/>
  <c r="S411" i="4"/>
  <c r="R240" i="4"/>
  <c r="S240" i="4"/>
  <c r="R183" i="4"/>
  <c r="S183" i="4"/>
  <c r="R367" i="4"/>
  <c r="S367" i="4"/>
  <c r="R211" i="4"/>
  <c r="S211" i="4"/>
  <c r="R392" i="4"/>
  <c r="S392" i="4"/>
  <c r="R244" i="4"/>
  <c r="S244" i="4"/>
  <c r="R159" i="4"/>
  <c r="S159" i="4"/>
  <c r="R68" i="4"/>
  <c r="S68" i="4"/>
  <c r="R239" i="4"/>
  <c r="S239" i="4"/>
  <c r="R227" i="4"/>
  <c r="S227" i="4"/>
  <c r="R366" i="4"/>
  <c r="S366" i="4"/>
  <c r="R212" i="4"/>
  <c r="S212" i="4"/>
  <c r="R190" i="4"/>
  <c r="S190" i="4"/>
  <c r="R492" i="4"/>
  <c r="S492" i="4"/>
  <c r="R330" i="4"/>
  <c r="S330" i="4"/>
  <c r="R75" i="4"/>
  <c r="S75" i="4"/>
  <c r="R456" i="4"/>
  <c r="S456" i="4"/>
  <c r="R426" i="4"/>
  <c r="S426" i="4"/>
  <c r="R117" i="4"/>
  <c r="S117" i="4"/>
  <c r="R415" i="4"/>
  <c r="S415" i="4"/>
  <c r="R274" i="4"/>
  <c r="S274" i="4"/>
  <c r="R193" i="4"/>
  <c r="S193" i="4"/>
  <c r="R20" i="4"/>
  <c r="S20" i="4"/>
  <c r="R273" i="4"/>
  <c r="S273" i="4"/>
  <c r="R335" i="4"/>
  <c r="S335" i="4"/>
  <c r="R65" i="4"/>
  <c r="S65" i="4"/>
  <c r="R298" i="4"/>
  <c r="S298" i="4"/>
  <c r="R403" i="4"/>
  <c r="S403" i="4"/>
  <c r="R223" i="4"/>
  <c r="S223" i="4"/>
  <c r="R12" i="4"/>
  <c r="S12" i="4"/>
  <c r="R163" i="4"/>
  <c r="S163" i="4"/>
  <c r="R394" i="4"/>
  <c r="S394" i="4"/>
  <c r="R208" i="4"/>
  <c r="S208" i="4"/>
  <c r="R98" i="4"/>
  <c r="S98" i="4"/>
  <c r="R154" i="4"/>
  <c r="S154" i="4"/>
  <c r="R313" i="4"/>
  <c r="S313" i="4"/>
  <c r="R362" i="4"/>
  <c r="S362" i="4"/>
  <c r="R441" i="4"/>
  <c r="S441" i="4"/>
  <c r="R157" i="4"/>
  <c r="S157" i="4"/>
  <c r="R324" i="4"/>
  <c r="S324" i="4"/>
  <c r="R140" i="4"/>
  <c r="S140" i="4"/>
  <c r="R433" i="4"/>
  <c r="S433" i="4"/>
  <c r="R289" i="4"/>
  <c r="S289" i="4"/>
  <c r="R325" i="4"/>
  <c r="S325" i="4"/>
  <c r="R91" i="4"/>
  <c r="S91" i="4"/>
  <c r="R424" i="4"/>
  <c r="S424" i="4"/>
  <c r="R423" i="4"/>
  <c r="S423" i="4"/>
  <c r="R302" i="4"/>
  <c r="S302" i="4"/>
  <c r="R63" i="4"/>
  <c r="S63" i="4"/>
  <c r="R384" i="4"/>
  <c r="S384" i="4"/>
  <c r="R304" i="4"/>
  <c r="S304" i="4"/>
  <c r="R257" i="4"/>
  <c r="S257" i="4"/>
  <c r="R388" i="4"/>
  <c r="S388" i="4"/>
  <c r="R494" i="4"/>
  <c r="S494" i="4"/>
  <c r="R61" i="4"/>
  <c r="S61" i="4"/>
  <c r="R32" i="4"/>
  <c r="S32" i="4"/>
  <c r="R74" i="4"/>
  <c r="S74" i="4"/>
  <c r="R135" i="4"/>
  <c r="S135" i="4"/>
  <c r="R152" i="4"/>
  <c r="S152" i="4"/>
  <c r="R249" i="4"/>
  <c r="S249" i="4"/>
  <c r="R109" i="4"/>
  <c r="S109" i="4"/>
  <c r="R247" i="4"/>
  <c r="S247" i="4"/>
  <c r="R131" i="4"/>
  <c r="S131" i="4"/>
  <c r="R112" i="4"/>
  <c r="S112" i="4"/>
  <c r="R428" i="4"/>
  <c r="S428" i="4"/>
  <c r="R120" i="4"/>
  <c r="S120" i="4"/>
  <c r="R414" i="4"/>
  <c r="S414" i="4"/>
  <c r="R222" i="4"/>
  <c r="S222" i="4"/>
  <c r="R320" i="4"/>
  <c r="S320" i="4"/>
  <c r="R36" i="4"/>
  <c r="S36" i="4"/>
  <c r="R445" i="4"/>
  <c r="S445" i="4"/>
  <c r="R51" i="4"/>
  <c r="S51" i="4"/>
  <c r="R326" i="4"/>
  <c r="S326" i="4"/>
  <c r="R286" i="4"/>
  <c r="S286" i="4"/>
  <c r="R450" i="4"/>
  <c r="S450" i="4"/>
  <c r="R125" i="4"/>
  <c r="S125" i="4"/>
  <c r="R189" i="4"/>
  <c r="S189" i="4"/>
  <c r="R412" i="4"/>
  <c r="S412" i="4"/>
  <c r="R195" i="4"/>
  <c r="S195" i="4"/>
  <c r="R97" i="4"/>
  <c r="S97" i="4"/>
  <c r="R134" i="4"/>
  <c r="S134" i="4"/>
  <c r="R408" i="4"/>
  <c r="S408" i="4"/>
  <c r="R300" i="4"/>
  <c r="S300" i="4"/>
  <c r="R43" i="4"/>
  <c r="S43" i="4"/>
  <c r="R3" i="4"/>
  <c r="S3" i="4"/>
  <c r="R210" i="4"/>
  <c r="S210" i="4"/>
  <c r="R121" i="4"/>
  <c r="S121" i="4"/>
  <c r="R290" i="4"/>
  <c r="S290" i="4"/>
  <c r="R334" i="4"/>
  <c r="S334" i="4"/>
  <c r="R386" i="4"/>
  <c r="S386" i="4"/>
  <c r="R311" i="4"/>
  <c r="S311" i="4"/>
  <c r="R162" i="4"/>
  <c r="S162" i="4"/>
  <c r="R221" i="4"/>
  <c r="S221" i="4"/>
  <c r="R114" i="4"/>
  <c r="S114" i="4"/>
  <c r="R11" i="4"/>
  <c r="S11" i="4"/>
  <c r="R253" i="4"/>
  <c r="R310" i="4"/>
  <c r="R81" i="4"/>
  <c r="S81" i="4"/>
  <c r="R145" i="4"/>
  <c r="S145" i="4"/>
  <c r="R52" i="4"/>
  <c r="S52" i="4"/>
  <c r="R72" i="4"/>
  <c r="S72" i="4"/>
  <c r="R422" i="4"/>
  <c r="S422" i="4"/>
  <c r="R410" i="4"/>
  <c r="S410" i="4"/>
  <c r="R322" i="4"/>
  <c r="S322" i="4"/>
  <c r="R370" i="4"/>
  <c r="S370" i="4"/>
  <c r="R173" i="4"/>
  <c r="S173" i="4"/>
  <c r="R331" i="4"/>
  <c r="S331" i="4"/>
  <c r="R417" i="4"/>
  <c r="S417" i="4"/>
  <c r="R258" i="4"/>
  <c r="S258" i="4"/>
  <c r="R381" i="4"/>
  <c r="S381" i="4"/>
  <c r="R57" i="4"/>
  <c r="S57" i="4"/>
  <c r="R327" i="4"/>
  <c r="S327" i="4"/>
  <c r="R393" i="4"/>
  <c r="S393" i="4"/>
  <c r="R67" i="4"/>
  <c r="S67" i="4"/>
  <c r="R96" i="4"/>
  <c r="S96" i="4"/>
  <c r="R150" i="4"/>
  <c r="S150" i="4"/>
  <c r="R167" i="4"/>
  <c r="S167" i="4"/>
  <c r="R434" i="4"/>
  <c r="S434" i="4"/>
  <c r="R44" i="4"/>
  <c r="S44" i="4"/>
  <c r="R62" i="4"/>
  <c r="S62" i="4"/>
  <c r="R294" i="4"/>
  <c r="S294" i="4"/>
  <c r="R321" i="4"/>
  <c r="S321" i="4"/>
  <c r="R468" i="4"/>
  <c r="S468" i="4"/>
  <c r="R142" i="4"/>
  <c r="S142" i="4"/>
  <c r="R338" i="4"/>
  <c r="S338" i="4"/>
  <c r="R339" i="4"/>
  <c r="S339" i="4"/>
  <c r="R149" i="4"/>
  <c r="S149" i="4"/>
  <c r="R169" i="4"/>
  <c r="S169" i="4"/>
  <c r="R172" i="4"/>
  <c r="S172" i="4"/>
  <c r="R478" i="4"/>
  <c r="S478" i="4"/>
  <c r="R482" i="4"/>
  <c r="S482" i="4"/>
  <c r="R233" i="4"/>
  <c r="S233" i="4"/>
  <c r="R25" i="4"/>
  <c r="S25" i="4"/>
  <c r="R241" i="4"/>
  <c r="S241" i="4"/>
  <c r="R332" i="4"/>
  <c r="S332" i="4"/>
  <c r="R76" i="4"/>
  <c r="S76" i="4"/>
  <c r="R104" i="4"/>
  <c r="S104" i="4"/>
  <c r="R77" i="4"/>
  <c r="S77" i="4"/>
  <c r="R236" i="4"/>
  <c r="S236" i="4"/>
  <c r="R132" i="4"/>
  <c r="S132" i="4"/>
  <c r="R371" i="4"/>
  <c r="S371" i="4"/>
  <c r="R41" i="4"/>
  <c r="S41" i="4"/>
  <c r="R86" i="4"/>
  <c r="S86" i="4"/>
  <c r="R380" i="4"/>
  <c r="S380" i="4"/>
  <c r="R432" i="4"/>
  <c r="S432" i="4"/>
  <c r="R251" i="4"/>
  <c r="S251" i="4"/>
  <c r="R35" i="4"/>
  <c r="S35" i="4"/>
  <c r="R39" i="4"/>
  <c r="S39" i="4"/>
  <c r="R225" i="4"/>
  <c r="S225" i="4"/>
  <c r="R455" i="4"/>
  <c r="S455" i="4"/>
  <c r="R315" i="4"/>
  <c r="S315" i="4"/>
  <c r="R277" i="4"/>
  <c r="S277" i="4"/>
  <c r="R153" i="4"/>
  <c r="S153" i="4"/>
  <c r="R66" i="4"/>
  <c r="S66" i="4"/>
  <c r="R340" i="4"/>
  <c r="S340" i="4"/>
  <c r="R46" i="4"/>
  <c r="S46" i="4"/>
  <c r="R280" i="4"/>
  <c r="S280" i="4"/>
  <c r="R164" i="4"/>
  <c r="S164" i="4"/>
  <c r="R329" i="4"/>
  <c r="S329" i="4"/>
  <c r="R373" i="4"/>
  <c r="S373" i="4"/>
  <c r="R252" i="4"/>
  <c r="S252" i="4"/>
  <c r="R377" i="4"/>
  <c r="R444" i="4"/>
  <c r="S444" i="4"/>
  <c r="R276" i="4"/>
  <c r="S276" i="4"/>
  <c r="R206" i="4"/>
  <c r="S206" i="4"/>
  <c r="R28" i="4"/>
  <c r="S28" i="4"/>
  <c r="R248" i="4"/>
  <c r="S248" i="4"/>
  <c r="R431" i="4"/>
  <c r="S431" i="4"/>
  <c r="R268" i="4"/>
  <c r="S268" i="4"/>
  <c r="R477" i="4"/>
  <c r="S477" i="4"/>
  <c r="R126" i="4"/>
  <c r="S126" i="4"/>
  <c r="R170" i="4"/>
  <c r="S170" i="4"/>
  <c r="R471" i="4"/>
  <c r="S471" i="4"/>
  <c r="R435" i="4"/>
  <c r="S435" i="4"/>
  <c r="R226" i="4"/>
  <c r="S226" i="4"/>
  <c r="R454" i="4"/>
  <c r="S454" i="4"/>
  <c r="R92" i="4"/>
  <c r="S92" i="4"/>
  <c r="R271" i="4"/>
  <c r="S271" i="4"/>
  <c r="R314" i="4"/>
  <c r="S314" i="4"/>
  <c r="R37" i="4"/>
  <c r="S37" i="4"/>
  <c r="R462" i="4"/>
  <c r="S462" i="4"/>
  <c r="R5" i="4"/>
  <c r="S5" i="4"/>
  <c r="R158" i="4"/>
  <c r="S158" i="4"/>
  <c r="R261" i="4"/>
  <c r="S261" i="4"/>
  <c r="R246" i="4"/>
  <c r="S246" i="4"/>
  <c r="R79" i="4"/>
  <c r="S79" i="4"/>
  <c r="R186" i="4"/>
  <c r="S186" i="4"/>
  <c r="R156" i="4"/>
  <c r="S156" i="4"/>
  <c r="R194" i="4"/>
  <c r="S194" i="4"/>
  <c r="R460" i="4"/>
  <c r="S460" i="4"/>
  <c r="R123" i="4"/>
  <c r="S123" i="4"/>
  <c r="R498" i="4"/>
  <c r="S498" i="4"/>
  <c r="R110" i="4"/>
  <c r="S110" i="4"/>
  <c r="R160" i="4"/>
  <c r="S160" i="4"/>
  <c r="R64" i="4"/>
  <c r="S64" i="4"/>
  <c r="R459" i="4"/>
  <c r="S459" i="4"/>
  <c r="R489" i="4"/>
  <c r="S489" i="4"/>
  <c r="R398" i="4"/>
  <c r="S398" i="4"/>
  <c r="R22" i="4"/>
  <c r="S22" i="4"/>
  <c r="R479" i="4"/>
  <c r="S479" i="4"/>
  <c r="R364" i="4"/>
  <c r="S364" i="4"/>
  <c r="R6" i="4"/>
  <c r="S6" i="4"/>
  <c r="R23" i="4"/>
  <c r="S23" i="4"/>
  <c r="R317" i="4"/>
  <c r="S317" i="4"/>
  <c r="R265" i="4"/>
  <c r="S265" i="4"/>
  <c r="R420" i="4"/>
  <c r="S420" i="4"/>
  <c r="R344" i="4"/>
  <c r="S344" i="4"/>
  <c r="R214" i="4"/>
  <c r="S214" i="4"/>
  <c r="R130" i="4"/>
  <c r="S130" i="4"/>
  <c r="R259" i="4"/>
  <c r="S259" i="4"/>
  <c r="R266" i="4"/>
  <c r="S266" i="4"/>
  <c r="R472" i="4"/>
  <c r="S472" i="4"/>
  <c r="R185" i="4"/>
  <c r="S185" i="4"/>
  <c r="R387" i="4"/>
  <c r="S387" i="4"/>
  <c r="R421" i="4"/>
  <c r="S421" i="4"/>
  <c r="R262" i="4"/>
  <c r="S262" i="4"/>
  <c r="R69" i="4"/>
  <c r="S69" i="4"/>
  <c r="R31" i="4"/>
  <c r="S31" i="4"/>
  <c r="R99" i="4"/>
  <c r="S99" i="4"/>
  <c r="R256" i="4"/>
  <c r="S256" i="4"/>
  <c r="R293" i="4"/>
  <c r="S293" i="4"/>
  <c r="R397" i="4"/>
  <c r="S397" i="4"/>
  <c r="R219" i="4"/>
  <c r="S219" i="4"/>
  <c r="R437" i="4"/>
  <c r="S437" i="4"/>
  <c r="R343" i="4"/>
  <c r="S343" i="4"/>
  <c r="R71" i="4"/>
  <c r="S71" i="4"/>
  <c r="R375" i="4"/>
  <c r="S375" i="4"/>
  <c r="R224" i="4"/>
  <c r="S224" i="4"/>
  <c r="R207" i="4"/>
  <c r="S207" i="4"/>
  <c r="R143" i="4"/>
  <c r="S143" i="4"/>
  <c r="R151" i="4"/>
  <c r="S151" i="4"/>
  <c r="R361" i="4"/>
  <c r="S361" i="4"/>
  <c r="O283" i="4"/>
  <c r="O47" i="4"/>
  <c r="O10" i="4"/>
  <c r="O358" i="4"/>
  <c r="O122" i="4"/>
  <c r="O49" i="4"/>
  <c r="O147" i="4"/>
  <c r="O34" i="4"/>
  <c r="O425" i="4"/>
  <c r="O474" i="4"/>
  <c r="O245" i="4"/>
  <c r="O379" i="4"/>
  <c r="O111" i="4"/>
  <c r="O361" i="4"/>
  <c r="O70" i="4"/>
  <c r="O443" i="4"/>
  <c r="O399" i="4"/>
  <c r="O427" i="4"/>
  <c r="O416" i="4"/>
  <c r="O264" i="4"/>
  <c r="O404" i="4"/>
  <c r="V404" i="4" s="1"/>
  <c r="O409" i="4"/>
  <c r="O396" i="4"/>
  <c r="O272" i="4"/>
  <c r="O13" i="4"/>
  <c r="O197" i="4"/>
  <c r="O287" i="4"/>
  <c r="O383" i="4"/>
  <c r="O484" i="4"/>
  <c r="O303" i="4"/>
  <c r="O116" i="4"/>
  <c r="O196" i="4"/>
  <c r="O102" i="4"/>
  <c r="O129" i="4"/>
  <c r="O231" i="4"/>
  <c r="O161" i="4"/>
  <c r="O138" i="4"/>
  <c r="O84" i="4"/>
  <c r="O73" i="4"/>
  <c r="O235" i="4"/>
  <c r="O85" i="4"/>
  <c r="O16" i="4"/>
  <c r="O213" i="4"/>
  <c r="O449" i="4"/>
  <c r="O229" i="4"/>
  <c r="O267" i="4"/>
  <c r="O199" i="4"/>
  <c r="O119" i="4"/>
  <c r="O128" i="4"/>
  <c r="O200" i="4"/>
  <c r="O42" i="4"/>
  <c r="O59" i="4"/>
  <c r="O307" i="4"/>
  <c r="O453" i="4"/>
  <c r="O181" i="4"/>
  <c r="O205" i="4"/>
  <c r="O372" i="4"/>
  <c r="O78" i="4"/>
  <c r="O38" i="4"/>
  <c r="O275" i="4"/>
  <c r="O486" i="4"/>
  <c r="O495" i="4"/>
  <c r="O107" i="4"/>
  <c r="O204" i="4"/>
  <c r="O346" i="4"/>
  <c r="O56" i="4"/>
  <c r="O405" i="4"/>
  <c r="O295" i="4"/>
  <c r="O30" i="4"/>
  <c r="O215" i="4"/>
  <c r="O448" i="4"/>
  <c r="O165" i="4"/>
  <c r="O390" i="4"/>
  <c r="O124" i="4"/>
  <c r="O101" i="4"/>
  <c r="O439" i="4"/>
  <c r="O467" i="4"/>
  <c r="O180" i="4"/>
  <c r="O282" i="4"/>
  <c r="O347" i="4"/>
  <c r="O8" i="4"/>
  <c r="O118" i="4"/>
  <c r="O476" i="4"/>
  <c r="O341" i="4"/>
  <c r="O137" i="4"/>
  <c r="O141" i="4"/>
  <c r="O94" i="4"/>
  <c r="O148" i="4"/>
  <c r="O357" i="4"/>
  <c r="O470" i="4"/>
  <c r="O452" i="4"/>
  <c r="O359" i="4"/>
  <c r="O402" i="4"/>
  <c r="O250" i="4"/>
  <c r="O316" i="4"/>
  <c r="O127" i="4"/>
  <c r="O21" i="4"/>
  <c r="O155" i="4"/>
  <c r="O203" i="4"/>
  <c r="O461" i="4"/>
  <c r="O342" i="4"/>
  <c r="O469" i="4"/>
  <c r="O220" i="4"/>
  <c r="O301" i="4"/>
  <c r="O184" i="4"/>
  <c r="O376" i="4"/>
  <c r="O348" i="4"/>
  <c r="O349" i="4"/>
  <c r="O18" i="4"/>
  <c r="O378" i="4"/>
  <c r="O270" i="4"/>
  <c r="O26" i="4"/>
  <c r="O447" i="4"/>
  <c r="O201" i="4"/>
  <c r="O209" i="4"/>
  <c r="O395" i="4"/>
  <c r="O493" i="4"/>
  <c r="O105" i="4"/>
  <c r="O115" i="4"/>
  <c r="O350" i="4"/>
  <c r="O24" i="4"/>
  <c r="O9" i="4"/>
  <c r="O113" i="4"/>
  <c r="O54" i="4"/>
  <c r="O430" i="4"/>
  <c r="O351" i="4"/>
  <c r="O436" i="4"/>
  <c r="O291" i="4"/>
  <c r="O382" i="4"/>
  <c r="O442" i="4"/>
  <c r="O485" i="4"/>
  <c r="O15" i="4"/>
  <c r="O80" i="4"/>
  <c r="O192" i="4"/>
  <c r="O352" i="4"/>
  <c r="O353" i="4"/>
  <c r="O483" i="4"/>
  <c r="O413" i="4"/>
  <c r="O177" i="4"/>
  <c r="O480" i="4"/>
  <c r="O299" i="4"/>
  <c r="O178" i="4"/>
  <c r="O106" i="4"/>
  <c r="O58" i="4"/>
  <c r="O179" i="4"/>
  <c r="O238" i="4"/>
  <c r="O82" i="4"/>
  <c r="O354" i="4"/>
  <c r="O296" i="4"/>
  <c r="O48" i="4"/>
  <c r="O234" i="4"/>
  <c r="O355" i="4"/>
  <c r="O100" i="4"/>
  <c r="O490" i="4"/>
  <c r="O279" i="4"/>
  <c r="O4" i="4"/>
  <c r="O175" i="4"/>
  <c r="O17" i="4"/>
  <c r="O243" i="4"/>
  <c r="O457" i="4"/>
  <c r="O60" i="4"/>
  <c r="O389" i="4"/>
  <c r="O83" i="4"/>
  <c r="O191" i="4"/>
  <c r="O254" i="4"/>
  <c r="O360" i="4"/>
  <c r="O144" i="4"/>
  <c r="O451" i="4"/>
  <c r="O309" i="4"/>
  <c r="O103" i="4"/>
  <c r="O463" i="4"/>
  <c r="O305" i="4"/>
  <c r="O356" i="4"/>
  <c r="O40" i="4"/>
  <c r="O146" i="4"/>
  <c r="O368" i="4"/>
  <c r="O446" i="4"/>
  <c r="O198" i="4"/>
  <c r="O401" i="4"/>
  <c r="O242" i="4"/>
  <c r="O53" i="4"/>
  <c r="O407" i="4"/>
  <c r="O312" i="4"/>
  <c r="O230" i="4"/>
  <c r="O182" i="4"/>
  <c r="O29" i="4"/>
  <c r="O481" i="4"/>
  <c r="O318" i="4"/>
  <c r="O88" i="4"/>
  <c r="O400" i="4"/>
  <c r="O345" i="4"/>
  <c r="O278" i="4"/>
  <c r="O269" i="4"/>
  <c r="O7" i="4"/>
  <c r="O139" i="4"/>
  <c r="O228" i="4"/>
  <c r="O429" i="4"/>
  <c r="O188" i="4"/>
  <c r="O391" i="4"/>
  <c r="O90" i="4"/>
  <c r="O217" i="4"/>
  <c r="O419" i="4"/>
  <c r="O260" i="4"/>
  <c r="O466" i="4"/>
  <c r="O281" i="4"/>
  <c r="O288" i="4"/>
  <c r="O284" i="4"/>
  <c r="O168" i="4"/>
  <c r="O174" i="4"/>
  <c r="O406" i="4"/>
  <c r="O333" i="4"/>
  <c r="O171" i="4"/>
  <c r="O285" i="4"/>
  <c r="O306" i="4"/>
  <c r="O232" i="4"/>
  <c r="O136" i="4"/>
  <c r="O19" i="4"/>
  <c r="O440" i="4"/>
  <c r="O497" i="4"/>
  <c r="O369" i="4"/>
  <c r="O475" i="4"/>
  <c r="O308" i="4"/>
  <c r="O473" i="4"/>
  <c r="O108" i="4"/>
  <c r="O237" i="4"/>
  <c r="O297" i="4"/>
  <c r="O458" i="4"/>
  <c r="O166" i="4"/>
  <c r="O363" i="4"/>
  <c r="O487" i="4"/>
  <c r="O27" i="4"/>
  <c r="O50" i="4"/>
  <c r="O337" i="4"/>
  <c r="O465" i="4"/>
  <c r="O89" i="4"/>
  <c r="O385" i="4"/>
  <c r="O93" i="4"/>
  <c r="O133" i="4"/>
  <c r="O319" i="4"/>
  <c r="O464" i="4"/>
  <c r="O336" i="4"/>
  <c r="O87" i="4"/>
  <c r="O216" i="4"/>
  <c r="O202" i="4"/>
  <c r="O45" i="4"/>
  <c r="O328" i="4"/>
  <c r="O263" i="4"/>
  <c r="O176" i="4"/>
  <c r="O14" i="4"/>
  <c r="O488" i="4"/>
  <c r="O418" i="4"/>
  <c r="O95" i="4"/>
  <c r="O218" i="4"/>
  <c r="O438" i="4"/>
  <c r="O187" i="4"/>
  <c r="O411" i="4"/>
  <c r="O240" i="4"/>
  <c r="O183" i="4"/>
  <c r="O367" i="4"/>
  <c r="O211" i="4"/>
  <c r="O392" i="4"/>
  <c r="O244" i="4"/>
  <c r="O159" i="4"/>
  <c r="O68" i="4"/>
  <c r="O239" i="4"/>
  <c r="O227" i="4"/>
  <c r="O366" i="4"/>
  <c r="O212" i="4"/>
  <c r="O190" i="4"/>
  <c r="O492" i="4"/>
  <c r="O330" i="4"/>
  <c r="O75" i="4"/>
  <c r="O456" i="4"/>
  <c r="O426" i="4"/>
  <c r="O117" i="4"/>
  <c r="O415" i="4"/>
  <c r="O274" i="4"/>
  <c r="O193" i="4"/>
  <c r="O20" i="4"/>
  <c r="O273" i="4"/>
  <c r="O335" i="4"/>
  <c r="O65" i="4"/>
  <c r="O298" i="4"/>
  <c r="O403" i="4"/>
  <c r="O223" i="4"/>
  <c r="O12" i="4"/>
  <c r="O163" i="4"/>
  <c r="O394" i="4"/>
  <c r="O208" i="4"/>
  <c r="O98" i="4"/>
  <c r="O154" i="4"/>
  <c r="O313" i="4"/>
  <c r="O362" i="4"/>
  <c r="O441" i="4"/>
  <c r="O157" i="4"/>
  <c r="O324" i="4"/>
  <c r="O140" i="4"/>
  <c r="O433" i="4"/>
  <c r="O289" i="4"/>
  <c r="O325" i="4"/>
  <c r="O91" i="4"/>
  <c r="O424" i="4"/>
  <c r="O423" i="4"/>
  <c r="O302" i="4"/>
  <c r="O63" i="4"/>
  <c r="O384" i="4"/>
  <c r="O304" i="4"/>
  <c r="O257" i="4"/>
  <c r="O388" i="4"/>
  <c r="O494" i="4"/>
  <c r="O61" i="4"/>
  <c r="O32" i="4"/>
  <c r="O74" i="4"/>
  <c r="O135" i="4"/>
  <c r="O152" i="4"/>
  <c r="O249" i="4"/>
  <c r="O109" i="4"/>
  <c r="O247" i="4"/>
  <c r="O131" i="4"/>
  <c r="O112" i="4"/>
  <c r="O428" i="4"/>
  <c r="O120" i="4"/>
  <c r="O414" i="4"/>
  <c r="O222" i="4"/>
  <c r="O320" i="4"/>
  <c r="O36" i="4"/>
  <c r="O445" i="4"/>
  <c r="O51" i="4"/>
  <c r="O326" i="4"/>
  <c r="O286" i="4"/>
  <c r="O450" i="4"/>
  <c r="O125" i="4"/>
  <c r="O189" i="4"/>
  <c r="O412" i="4"/>
  <c r="O195" i="4"/>
  <c r="O97" i="4"/>
  <c r="O134" i="4"/>
  <c r="O408" i="4"/>
  <c r="O300" i="4"/>
  <c r="O43" i="4"/>
  <c r="O3" i="4"/>
  <c r="O210" i="4"/>
  <c r="O121" i="4"/>
  <c r="O290" i="4"/>
  <c r="O334" i="4"/>
  <c r="O386" i="4"/>
  <c r="O311" i="4"/>
  <c r="O162" i="4"/>
  <c r="O221" i="4"/>
  <c r="O114" i="4"/>
  <c r="O11" i="4"/>
  <c r="O253" i="4"/>
  <c r="O310" i="4"/>
  <c r="O81" i="4"/>
  <c r="O145" i="4"/>
  <c r="O52" i="4"/>
  <c r="O72" i="4"/>
  <c r="O422" i="4"/>
  <c r="O410" i="4"/>
  <c r="O322" i="4"/>
  <c r="O370" i="4"/>
  <c r="O173" i="4"/>
  <c r="O331" i="4"/>
  <c r="O417" i="4"/>
  <c r="O258" i="4"/>
  <c r="O381" i="4"/>
  <c r="O57" i="4"/>
  <c r="O327" i="4"/>
  <c r="O393" i="4"/>
  <c r="O67" i="4"/>
  <c r="O96" i="4"/>
  <c r="O150" i="4"/>
  <c r="O167" i="4"/>
  <c r="O434" i="4"/>
  <c r="O44" i="4"/>
  <c r="O62" i="4"/>
  <c r="O294" i="4"/>
  <c r="O321" i="4"/>
  <c r="O468" i="4"/>
  <c r="O142" i="4"/>
  <c r="O338" i="4"/>
  <c r="O339" i="4"/>
  <c r="O149" i="4"/>
  <c r="O169" i="4"/>
  <c r="O172" i="4"/>
  <c r="O478" i="4"/>
  <c r="O482" i="4"/>
  <c r="O233" i="4"/>
  <c r="O25" i="4"/>
  <c r="O241" i="4"/>
  <c r="O332" i="4"/>
  <c r="O76" i="4"/>
  <c r="O104" i="4"/>
  <c r="O77" i="4"/>
  <c r="O236" i="4"/>
  <c r="O132" i="4"/>
  <c r="O371" i="4"/>
  <c r="O41" i="4"/>
  <c r="O86" i="4"/>
  <c r="O380" i="4"/>
  <c r="O432" i="4"/>
  <c r="O251" i="4"/>
  <c r="O35" i="4"/>
  <c r="O39" i="4"/>
  <c r="O225" i="4"/>
  <c r="O455" i="4"/>
  <c r="O315" i="4"/>
  <c r="O277" i="4"/>
  <c r="O153" i="4"/>
  <c r="O66" i="4"/>
  <c r="O340" i="4"/>
  <c r="O46" i="4"/>
  <c r="O280" i="4"/>
  <c r="O164" i="4"/>
  <c r="O329" i="4"/>
  <c r="O373" i="4"/>
  <c r="O252" i="4"/>
  <c r="O377" i="4"/>
  <c r="O444" i="4"/>
  <c r="O276" i="4"/>
  <c r="O206" i="4"/>
  <c r="O28" i="4"/>
  <c r="O248" i="4"/>
  <c r="O431" i="4"/>
  <c r="O268" i="4"/>
  <c r="O477" i="4"/>
  <c r="O126" i="4"/>
  <c r="O170" i="4"/>
  <c r="O471" i="4"/>
  <c r="O435" i="4"/>
  <c r="O226" i="4"/>
  <c r="O454" i="4"/>
  <c r="O92" i="4"/>
  <c r="O271" i="4"/>
  <c r="O314" i="4"/>
  <c r="O37" i="4"/>
  <c r="O462" i="4"/>
  <c r="O5" i="4"/>
  <c r="O158" i="4"/>
  <c r="O261" i="4"/>
  <c r="O246" i="4"/>
  <c r="O79" i="4"/>
  <c r="O186" i="4"/>
  <c r="O156" i="4"/>
  <c r="O194" i="4"/>
  <c r="O460" i="4"/>
  <c r="O123" i="4"/>
  <c r="O498" i="4"/>
  <c r="O110" i="4"/>
  <c r="O160" i="4"/>
  <c r="O64" i="4"/>
  <c r="O459" i="4"/>
  <c r="O489" i="4"/>
  <c r="O398" i="4"/>
  <c r="O22" i="4"/>
  <c r="O479" i="4"/>
  <c r="O364" i="4"/>
  <c r="O6" i="4"/>
  <c r="O23" i="4"/>
  <c r="O317" i="4"/>
  <c r="O265" i="4"/>
  <c r="O420" i="4"/>
  <c r="O344" i="4"/>
  <c r="O214" i="4"/>
  <c r="O130" i="4"/>
  <c r="O259" i="4"/>
  <c r="O266" i="4"/>
  <c r="O472" i="4"/>
  <c r="O185" i="4"/>
  <c r="O387" i="4"/>
  <c r="O421" i="4"/>
  <c r="O262" i="4"/>
  <c r="O69" i="4"/>
  <c r="O31" i="4"/>
  <c r="O99" i="4"/>
  <c r="O256" i="4"/>
  <c r="O293" i="4"/>
  <c r="O397" i="4"/>
  <c r="O219" i="4"/>
  <c r="O437" i="4"/>
  <c r="O343" i="4"/>
  <c r="O71" i="4"/>
  <c r="O375" i="4"/>
  <c r="O224" i="4"/>
  <c r="O143" i="4"/>
  <c r="O151" i="4"/>
  <c r="P399" i="4"/>
  <c r="U55" i="4"/>
  <c r="T55" i="4"/>
  <c r="Q55" i="4"/>
  <c r="V283" i="4"/>
  <c r="R55" i="4"/>
  <c r="S55" i="4"/>
  <c r="V55" i="4" l="1"/>
  <c r="V151" i="4"/>
  <c r="V143" i="4"/>
  <c r="V207" i="4"/>
  <c r="V224" i="4"/>
  <c r="V375" i="4"/>
  <c r="V71" i="4"/>
  <c r="V343" i="4"/>
  <c r="V437" i="4"/>
  <c r="V219" i="4"/>
  <c r="V397" i="4"/>
  <c r="V293" i="4"/>
  <c r="V256" i="4"/>
  <c r="V99" i="4"/>
  <c r="V31" i="4"/>
  <c r="V69" i="4"/>
  <c r="V262" i="4"/>
  <c r="V421" i="4"/>
  <c r="V387" i="4"/>
  <c r="V185" i="4"/>
  <c r="V472" i="4"/>
  <c r="V266" i="4"/>
  <c r="V259" i="4"/>
  <c r="V130" i="4"/>
  <c r="V214" i="4"/>
  <c r="V344" i="4"/>
  <c r="V420" i="4"/>
  <c r="V265" i="4"/>
  <c r="V317" i="4"/>
  <c r="V23" i="4"/>
  <c r="V6" i="4"/>
  <c r="V364" i="4"/>
  <c r="V479" i="4"/>
  <c r="V22" i="4"/>
  <c r="V398" i="4"/>
  <c r="V489" i="4"/>
  <c r="V459" i="4"/>
  <c r="V64" i="4"/>
  <c r="V160" i="4"/>
  <c r="V110" i="4"/>
  <c r="V498" i="4"/>
  <c r="V123" i="4"/>
  <c r="V460" i="4"/>
  <c r="V194" i="4"/>
  <c r="V156" i="4"/>
  <c r="V186" i="4"/>
  <c r="V79" i="4"/>
  <c r="V246" i="4"/>
  <c r="V261" i="4"/>
  <c r="V158" i="4"/>
  <c r="V5" i="4"/>
  <c r="V462" i="4"/>
  <c r="V37" i="4"/>
  <c r="V314" i="4"/>
  <c r="V271" i="4"/>
  <c r="V92" i="4"/>
  <c r="V454" i="4"/>
  <c r="V226" i="4"/>
  <c r="V435" i="4"/>
  <c r="V471" i="4"/>
  <c r="V170" i="4"/>
  <c r="V126" i="4"/>
  <c r="V477" i="4"/>
  <c r="V268" i="4"/>
  <c r="V431" i="4"/>
  <c r="V248" i="4"/>
  <c r="V28" i="4"/>
  <c r="V206" i="4"/>
  <c r="V276" i="4"/>
  <c r="V444" i="4"/>
  <c r="V377" i="4"/>
  <c r="V252" i="4"/>
  <c r="V373" i="4"/>
  <c r="V329" i="4"/>
  <c r="V164" i="4"/>
  <c r="V280" i="4"/>
  <c r="V46" i="4"/>
  <c r="V340" i="4"/>
  <c r="V66" i="4"/>
  <c r="V153" i="4"/>
  <c r="V277" i="4"/>
  <c r="V315" i="4"/>
  <c r="V455" i="4"/>
  <c r="V225" i="4"/>
  <c r="V39" i="4"/>
  <c r="V35" i="4"/>
  <c r="V251" i="4"/>
  <c r="V432" i="4"/>
  <c r="V380" i="4"/>
  <c r="V86" i="4"/>
  <c r="V41" i="4"/>
  <c r="V371" i="4"/>
  <c r="V132" i="4"/>
  <c r="V236" i="4"/>
  <c r="V77" i="4"/>
  <c r="V104" i="4"/>
  <c r="V76" i="4"/>
  <c r="V332" i="4"/>
  <c r="V241" i="4"/>
  <c r="V25" i="4"/>
  <c r="V233" i="4"/>
  <c r="V482" i="4"/>
  <c r="V478" i="4"/>
  <c r="V172" i="4"/>
  <c r="V169" i="4"/>
  <c r="V149" i="4"/>
  <c r="V339" i="4"/>
  <c r="V338" i="4"/>
  <c r="V142" i="4"/>
  <c r="V468" i="4"/>
  <c r="V321" i="4"/>
  <c r="V294" i="4"/>
  <c r="V62" i="4"/>
  <c r="V44" i="4"/>
  <c r="V434" i="4"/>
  <c r="V167" i="4"/>
  <c r="V150" i="4"/>
  <c r="V96" i="4"/>
  <c r="V67" i="4"/>
  <c r="V393" i="4"/>
  <c r="V327" i="4"/>
  <c r="V57" i="4"/>
  <c r="V381" i="4"/>
  <c r="V258" i="4"/>
  <c r="V417" i="4"/>
  <c r="V331" i="4"/>
  <c r="V173" i="4"/>
  <c r="V370" i="4"/>
  <c r="V322" i="4"/>
  <c r="V410" i="4"/>
  <c r="V422" i="4"/>
  <c r="V72" i="4"/>
  <c r="V52" i="4"/>
  <c r="V145" i="4"/>
  <c r="V81" i="4"/>
  <c r="V310" i="4"/>
  <c r="V253" i="4"/>
  <c r="V11" i="4"/>
  <c r="V114" i="4"/>
  <c r="V221" i="4"/>
  <c r="V162" i="4"/>
  <c r="V311" i="4"/>
  <c r="V386" i="4"/>
  <c r="V334" i="4"/>
  <c r="V290" i="4"/>
  <c r="V121" i="4"/>
  <c r="V210" i="4"/>
  <c r="V3" i="4"/>
  <c r="V43" i="4"/>
  <c r="V300" i="4"/>
  <c r="V408" i="4"/>
  <c r="V134" i="4"/>
  <c r="V97" i="4"/>
  <c r="V195" i="4"/>
  <c r="V412" i="4"/>
  <c r="V189" i="4"/>
  <c r="V125" i="4"/>
  <c r="V450" i="4"/>
  <c r="V286" i="4"/>
  <c r="V326" i="4"/>
  <c r="V51" i="4"/>
  <c r="V445" i="4"/>
  <c r="V36" i="4"/>
  <c r="V320" i="4"/>
  <c r="V222" i="4"/>
  <c r="V414" i="4"/>
  <c r="V120" i="4"/>
  <c r="V428" i="4"/>
  <c r="V112" i="4"/>
  <c r="V131" i="4"/>
  <c r="V247" i="4"/>
  <c r="V109" i="4"/>
  <c r="V249" i="4"/>
  <c r="V152" i="4"/>
  <c r="V135" i="4"/>
  <c r="V74" i="4"/>
  <c r="V32" i="4"/>
  <c r="V61" i="4"/>
  <c r="V494" i="4"/>
  <c r="V388" i="4"/>
  <c r="V257" i="4"/>
  <c r="V304" i="4"/>
  <c r="V384" i="4"/>
  <c r="V63" i="4"/>
  <c r="V302" i="4"/>
  <c r="V423" i="4"/>
  <c r="V424" i="4"/>
  <c r="V91" i="4"/>
  <c r="V325" i="4"/>
  <c r="V289" i="4"/>
  <c r="V433" i="4"/>
  <c r="V140" i="4"/>
  <c r="V324" i="4"/>
  <c r="V157" i="4"/>
  <c r="V441" i="4"/>
  <c r="V362" i="4"/>
  <c r="V313" i="4"/>
  <c r="V154" i="4"/>
  <c r="V98" i="4"/>
  <c r="V208" i="4"/>
  <c r="V394" i="4"/>
  <c r="V163" i="4"/>
  <c r="V12" i="4"/>
  <c r="V223" i="4"/>
  <c r="V403" i="4"/>
  <c r="V298" i="4"/>
  <c r="V65" i="4"/>
  <c r="V335" i="4"/>
  <c r="V273" i="4"/>
  <c r="V20" i="4"/>
  <c r="V193" i="4"/>
  <c r="V274" i="4"/>
  <c r="V415" i="4"/>
  <c r="V117" i="4"/>
  <c r="V426" i="4"/>
  <c r="V456" i="4"/>
  <c r="V75" i="4"/>
  <c r="V330" i="4"/>
  <c r="V492" i="4"/>
  <c r="V190" i="4"/>
  <c r="V212" i="4"/>
  <c r="V366" i="4"/>
  <c r="V227" i="4"/>
  <c r="V239" i="4"/>
  <c r="V68" i="4"/>
  <c r="V159" i="4"/>
  <c r="V244" i="4"/>
  <c r="V392" i="4"/>
  <c r="V211" i="4"/>
  <c r="V367" i="4"/>
  <c r="V183" i="4"/>
  <c r="V240" i="4"/>
  <c r="V411" i="4"/>
  <c r="V187" i="4"/>
  <c r="V438" i="4"/>
  <c r="V218" i="4"/>
  <c r="V95" i="4"/>
  <c r="V418" i="4"/>
  <c r="V488" i="4"/>
  <c r="V14" i="4"/>
  <c r="V176" i="4"/>
  <c r="V263" i="4"/>
  <c r="V328" i="4"/>
  <c r="V45" i="4"/>
  <c r="V2" i="4"/>
  <c r="V202" i="4"/>
  <c r="V216" i="4"/>
  <c r="V87" i="4"/>
  <c r="V336" i="4"/>
  <c r="V464" i="4"/>
  <c r="V319" i="4"/>
  <c r="V133" i="4"/>
  <c r="V93" i="4"/>
  <c r="V385" i="4"/>
  <c r="V89" i="4"/>
  <c r="V465" i="4"/>
  <c r="V337" i="4"/>
  <c r="V50" i="4"/>
  <c r="V27" i="4"/>
  <c r="V487" i="4"/>
  <c r="V363" i="4"/>
  <c r="V166" i="4"/>
  <c r="V458" i="4"/>
  <c r="V297" i="4"/>
  <c r="V237" i="4"/>
  <c r="V108" i="4"/>
  <c r="V473" i="4"/>
  <c r="V308" i="4"/>
  <c r="V475" i="4"/>
  <c r="V369" i="4"/>
  <c r="V497" i="4"/>
  <c r="V440" i="4"/>
  <c r="V19" i="4"/>
  <c r="V136" i="4"/>
  <c r="V232" i="4"/>
  <c r="V306" i="4"/>
  <c r="V285" i="4"/>
  <c r="V171" i="4"/>
  <c r="V333" i="4"/>
  <c r="V406" i="4"/>
  <c r="V174" i="4"/>
  <c r="V168" i="4"/>
  <c r="V284" i="4"/>
  <c r="V288" i="4"/>
  <c r="V281" i="4"/>
  <c r="V466" i="4"/>
  <c r="V260" i="4"/>
  <c r="V419" i="4"/>
  <c r="V217" i="4"/>
  <c r="V90" i="4"/>
  <c r="V391" i="4"/>
  <c r="V188" i="4"/>
  <c r="V429" i="4"/>
  <c r="V228" i="4"/>
  <c r="V139" i="4"/>
  <c r="V7" i="4"/>
  <c r="V269" i="4"/>
  <c r="V278" i="4"/>
  <c r="V345" i="4"/>
  <c r="V400" i="4"/>
  <c r="V88" i="4"/>
  <c r="V318" i="4"/>
  <c r="V481" i="4"/>
  <c r="V29" i="4"/>
  <c r="V182" i="4"/>
  <c r="V230" i="4"/>
  <c r="V312" i="4"/>
  <c r="V407" i="4"/>
  <c r="V53" i="4"/>
  <c r="V242" i="4"/>
  <c r="V401" i="4"/>
  <c r="V198" i="4"/>
  <c r="V446" i="4"/>
  <c r="V368" i="4"/>
  <c r="V146" i="4"/>
  <c r="V40" i="4"/>
  <c r="V356" i="4"/>
  <c r="V305" i="4"/>
  <c r="V463" i="4"/>
  <c r="V103" i="4"/>
  <c r="V309" i="4"/>
  <c r="V451" i="4"/>
  <c r="V144" i="4"/>
  <c r="V360" i="4"/>
  <c r="V254" i="4"/>
  <c r="V191" i="4"/>
  <c r="V83" i="4"/>
  <c r="V389" i="4"/>
  <c r="V60" i="4"/>
  <c r="V457" i="4"/>
  <c r="V243" i="4"/>
  <c r="V17" i="4"/>
  <c r="V175" i="4"/>
  <c r="V4" i="4"/>
  <c r="V279" i="4"/>
  <c r="V490" i="4"/>
  <c r="V100" i="4"/>
  <c r="V355" i="4"/>
  <c r="V234" i="4"/>
  <c r="V48" i="4"/>
  <c r="V296" i="4"/>
  <c r="V354" i="4"/>
  <c r="V82" i="4"/>
  <c r="V238" i="4"/>
  <c r="V179" i="4"/>
  <c r="V58" i="4"/>
  <c r="V106" i="4"/>
  <c r="V178" i="4"/>
  <c r="V299" i="4"/>
  <c r="V480" i="4"/>
  <c r="V177" i="4"/>
  <c r="V413" i="4"/>
  <c r="V483" i="4"/>
  <c r="V353" i="4"/>
  <c r="V352" i="4"/>
  <c r="V192" i="4"/>
  <c r="V80" i="4"/>
  <c r="V15" i="4"/>
  <c r="V485" i="4"/>
  <c r="V442" i="4"/>
  <c r="V382" i="4"/>
  <c r="V291" i="4"/>
  <c r="V436" i="4"/>
  <c r="V351" i="4"/>
  <c r="V430" i="4"/>
  <c r="V54" i="4"/>
  <c r="V113" i="4"/>
  <c r="V9" i="4"/>
  <c r="V24" i="4"/>
  <c r="V350" i="4"/>
  <c r="V115" i="4"/>
  <c r="V105" i="4"/>
  <c r="V493" i="4"/>
  <c r="V395" i="4"/>
  <c r="V209" i="4"/>
  <c r="V201" i="4"/>
  <c r="V447" i="4"/>
  <c r="V26" i="4"/>
  <c r="V270" i="4"/>
  <c r="V378" i="4"/>
  <c r="V18" i="4"/>
  <c r="V349" i="4"/>
  <c r="V348" i="4"/>
  <c r="V376" i="4"/>
  <c r="V184" i="4"/>
  <c r="V301" i="4"/>
  <c r="V220" i="4"/>
  <c r="V469" i="4"/>
  <c r="V342" i="4"/>
  <c r="V461" i="4"/>
  <c r="V203" i="4"/>
  <c r="V155" i="4"/>
  <c r="V21" i="4"/>
  <c r="V127" i="4"/>
  <c r="V316" i="4"/>
  <c r="V250" i="4"/>
  <c r="V402" i="4"/>
  <c r="V359" i="4"/>
  <c r="V452" i="4"/>
  <c r="V470" i="4"/>
  <c r="V357" i="4"/>
  <c r="V148" i="4"/>
  <c r="V94" i="4"/>
  <c r="V141" i="4"/>
  <c r="V137" i="4"/>
  <c r="V341" i="4"/>
  <c r="V476" i="4"/>
  <c r="V118" i="4"/>
  <c r="V8" i="4"/>
  <c r="V347" i="4"/>
  <c r="V282" i="4"/>
  <c r="V180" i="4"/>
  <c r="V467" i="4"/>
  <c r="V439" i="4"/>
  <c r="V101" i="4"/>
  <c r="V124" i="4"/>
  <c r="V390" i="4"/>
  <c r="V165" i="4"/>
  <c r="V448" i="4"/>
  <c r="V215" i="4"/>
  <c r="V30" i="4"/>
  <c r="V295" i="4"/>
  <c r="V405" i="4"/>
  <c r="V56" i="4"/>
  <c r="V346" i="4"/>
  <c r="V204" i="4"/>
  <c r="V107" i="4"/>
  <c r="V495" i="4"/>
  <c r="V486" i="4"/>
  <c r="V275" i="4"/>
  <c r="V38" i="4"/>
  <c r="V78" i="4"/>
  <c r="V372" i="4"/>
  <c r="V205" i="4"/>
  <c r="V181" i="4"/>
  <c r="V453" i="4"/>
  <c r="V307" i="4"/>
  <c r="V59" i="4"/>
  <c r="V42" i="4"/>
  <c r="V200" i="4"/>
  <c r="V128" i="4"/>
  <c r="V119" i="4"/>
  <c r="V199" i="4"/>
  <c r="V267" i="4"/>
  <c r="V229" i="4"/>
  <c r="V449" i="4"/>
  <c r="V213" i="4"/>
  <c r="V16" i="4"/>
  <c r="V85" i="4"/>
  <c r="V235" i="4"/>
  <c r="V73" i="4"/>
  <c r="V84" i="4"/>
  <c r="V138" i="4"/>
  <c r="V161" i="4"/>
  <c r="V231" i="4"/>
  <c r="V129" i="4"/>
  <c r="V102" i="4"/>
  <c r="V196" i="4"/>
  <c r="V116" i="4"/>
  <c r="V303" i="4"/>
  <c r="V484" i="4"/>
  <c r="V383" i="4"/>
  <c r="V287" i="4"/>
  <c r="V197" i="4"/>
  <c r="V13" i="4"/>
  <c r="V272" i="4"/>
  <c r="V396" i="4"/>
  <c r="V409" i="4"/>
  <c r="V264" i="4"/>
  <c r="V416" i="4"/>
  <c r="V427" i="4"/>
  <c r="V399" i="4"/>
  <c r="V443" i="4"/>
  <c r="V70" i="4"/>
  <c r="V361" i="4"/>
  <c r="V111" i="4"/>
  <c r="V379" i="4"/>
  <c r="V245" i="4"/>
  <c r="V474" i="4"/>
  <c r="V425" i="4"/>
  <c r="V34" i="4"/>
  <c r="V147" i="4"/>
  <c r="V49" i="4"/>
  <c r="V122" i="4"/>
  <c r="V358" i="4"/>
  <c r="V10" i="4"/>
  <c r="V47" i="4"/>
  <c r="AB19" i="4" l="1"/>
  <c r="Z19" i="4"/>
  <c r="AA19" i="4"/>
  <c r="AC19" i="4"/>
  <c r="AD19" i="4"/>
  <c r="AE19" i="4"/>
  <c r="AA21" i="4"/>
</calcChain>
</file>

<file path=xl/sharedStrings.xml><?xml version="1.0" encoding="utf-8"?>
<sst xmlns="http://schemas.openxmlformats.org/spreadsheetml/2006/main" count="1587" uniqueCount="194">
  <si>
    <t>id_</t>
  </si>
  <si>
    <t>empathy1</t>
  </si>
  <si>
    <t>empathy2</t>
  </si>
  <si>
    <t>empathy3</t>
  </si>
  <si>
    <t>empathy4</t>
  </si>
  <si>
    <t>empathy5</t>
  </si>
  <si>
    <t>empathy6</t>
  </si>
  <si>
    <t>empathy7</t>
  </si>
  <si>
    <t>happy</t>
  </si>
  <si>
    <t>hapmar</t>
  </si>
  <si>
    <t>satjob</t>
  </si>
  <si>
    <t>health1</t>
  </si>
  <si>
    <t>mntlhlth</t>
  </si>
  <si>
    <t>givblood</t>
  </si>
  <si>
    <t>givhmlss</t>
  </si>
  <si>
    <t>othshelp</t>
  </si>
  <si>
    <t>careself</t>
  </si>
  <si>
    <t>peoptrbl</t>
  </si>
  <si>
    <t>Name</t>
  </si>
  <si>
    <t>Desc</t>
  </si>
  <si>
    <t>Question</t>
  </si>
  <si>
    <t>+</t>
  </si>
  <si>
    <t>r have tender feeling for people less fortunate</t>
  </si>
  <si>
    <t>The following statements ask about your thoughts and feelings in various situations. For each item indicate how well it describes you by choosing the number on the showcard where 1 indicates that it does not describe you very well  and 5 means that it does describe you very well. Of course numbers 2-4 indicate that how well it describes you are In between these points.
A. I often have tender, concerned feelings for people less fortunate than me.</t>
  </si>
  <si>
    <t>-</t>
  </si>
  <si>
    <t>r does not feel very sorry for people having pro</t>
  </si>
  <si>
    <t>The following statements ask about your thoughts and feelings in various situations. For each item indicate how well it describes you by choosing the number on the showcard where 1 indicates that it does not describe you very well  and 5 means that it does describe you very well. Of course numbers 2-4 indicate that how well it describes you are In between these points.
B. Sometimes I don't feel very sorry for other people when they are having problems.</t>
  </si>
  <si>
    <t>r feels protective towards people taken advantage</t>
  </si>
  <si>
    <t>The following statements ask about your thoughts and feelings in various situations. For each item indicate how well it describes you by choosing the number on the showcard where 1 indicates that it does not describe you very well  and 5 means that it does describe you very well. Of course numbers 2-4 indicate that how well it describes you are In between these points.
C. When I see someone being taken advantage of, I feel kind of protective towards them.</t>
  </si>
  <si>
    <t>others misfortunes do not disturb r</t>
  </si>
  <si>
    <t>The following statements ask about your thoughts and feelings in various situations. For each item indicate how well it describes you by choosing the number on the showcard where 1 indicates that it does not describe you very well  and 5 means that it does describe you very well. Of course numbers 2-4 indicate that how well it describes you are In between these points.
D. Other people's misfortunes do not usually disturb me a great deal.</t>
  </si>
  <si>
    <t>r does not feel pity for someone treated unfair</t>
  </si>
  <si>
    <t>The following statements ask about your thoughts and feelings in various situations. For each item indicate how well it describes you by choosing the number on the showcard where 1 indicates that it does not describe you very well  and 5 means that it does describe you very well. Of course numbers 2-4 indicate that how well it describes you are In between these points.
E. When I see someone being treated unfairly, I sometimes don't feel very much pity for them.</t>
  </si>
  <si>
    <t>r often quite touched by things</t>
  </si>
  <si>
    <t>The following statements ask about your thoughts and feelings in various situations. For each item indicate how well it describes you by choosing the number on the showcard where 1 indicates that it does not describe you very well  and 5 means that it does describe you very well. Of course numbers 2-4 indicate that how well it describes you are In between these points.
F. I am often quite touched by things that I see happen.</t>
  </si>
  <si>
    <t>r describes oneself as a soft-hearted person</t>
  </si>
  <si>
    <t>The following statements ask about your thoughts and feelings in various situations. For each item indicate how well it describes you by choosing the number on the showcard where 1 indicates that it does not describe you very well  and 5 means that it does describe you very well. Of course numbers 2-4 indicate that how well it describes you are In between these points.
G. I would describe myself as a pretty soft-hearted person.</t>
  </si>
  <si>
    <t>general happiness</t>
  </si>
  <si>
    <t>Taken all together, how would you say things are these days--would you say that you are very happy, pretty happy, or not too happy?</t>
  </si>
  <si>
    <t>happiness of marriage</t>
  </si>
  <si>
    <t>A. Taking things all together, how would you describe your marriage? 
Would you say that your marriage is very happy, pretty happy, or not too happy?</t>
  </si>
  <si>
    <t>work satisfaction</t>
  </si>
  <si>
    <t>On the whole, how satisfied are you with the work you do--would you say you are very satisfied, moderately satisfied, 
a little dissatisfied, or very dissatisfied?</t>
  </si>
  <si>
    <t>r's health in general</t>
  </si>
  <si>
    <t>Would you say that in general your health is Excellent, Very good, Good, Fair, or Poor?</t>
  </si>
  <si>
    <t>days of poor mental health past 30 days</t>
  </si>
  <si>
    <t>B. Now thinking about your mental health, which includes stress, depression, and problems with emotions, for how many days during the past 30 days was your mental health not good?</t>
  </si>
  <si>
    <t>r donated blood during the past 12 months</t>
  </si>
  <si>
    <t>During the past 12 months, how often have you done each of the following things: 
A. Donated blood</t>
  </si>
  <si>
    <t>r has given food or money to a homeless person</t>
  </si>
  <si>
    <t>During the past 12 months, how often have you done each of the following things: 
B. Given food or money to a homeless person</t>
  </si>
  <si>
    <t>people should help less fortunate others</t>
  </si>
  <si>
    <t>Please tell me whether you strongly agree, agree, neither agree nor disagree, disagree, or strongly disagree with the following statements:
A. People should be willing to help others who are less fortunate</t>
  </si>
  <si>
    <t>those in need have to take care of themselves</t>
  </si>
  <si>
    <t>Please tell me whether you strongly agree, agree, neither agree nor disagree, disagree, or strongly disagree with the following statements:
B. Those in need have to learn to take care of themselves and not depend on others</t>
  </si>
  <si>
    <t>assisting people in trouble is very important</t>
  </si>
  <si>
    <t>Please tell me whether you strongly agree, agree, neither agree nor disagree, disagree, or strongly disagree with the following statements:
C. Personally assisting people in trouble is very important to me</t>
  </si>
  <si>
    <t>Respondent id number</t>
  </si>
  <si>
    <t>empathy2(rev)</t>
  </si>
  <si>
    <t>empathy4(rev)</t>
  </si>
  <si>
    <t>empathy5(rev)</t>
  </si>
  <si>
    <t>ze1</t>
  </si>
  <si>
    <t>ze2</t>
  </si>
  <si>
    <t>ze3</t>
  </si>
  <si>
    <t>ze4</t>
  </si>
  <si>
    <t>ze5</t>
  </si>
  <si>
    <t>ze6</t>
  </si>
  <si>
    <t>ze7</t>
  </si>
  <si>
    <t>Empathy</t>
  </si>
  <si>
    <t>Average Inter-item Correlation</t>
  </si>
  <si>
    <t xml:space="preserve">When using XLMiner, make sure coded in the same direction and missing obs are removed. </t>
  </si>
  <si>
    <t>Cronbach's Alpha</t>
  </si>
  <si>
    <t>Anova: Two-Factor Without Replication</t>
  </si>
  <si>
    <t>SUMMARY</t>
  </si>
  <si>
    <t>Count</t>
  </si>
  <si>
    <t>Sum</t>
  </si>
  <si>
    <t>Average</t>
  </si>
  <si>
    <t>Variance</t>
  </si>
  <si>
    <t>Row 8</t>
  </si>
  <si>
    <t>AVG</t>
  </si>
  <si>
    <t>:(</t>
  </si>
  <si>
    <t>&lt; .2</t>
  </si>
  <si>
    <t>:)</t>
  </si>
  <si>
    <t>.2 &lt; r &lt; .6</t>
  </si>
  <si>
    <t>:\</t>
  </si>
  <si>
    <t>&gt; .6</t>
  </si>
  <si>
    <t>Average Item-total (Part-whole) correlation</t>
  </si>
  <si>
    <t>.2 &lt; r &lt; .4</t>
  </si>
  <si>
    <t>:D</t>
  </si>
  <si>
    <t>&gt; .4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</si>
  <si>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</si>
  <si>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</si>
  <si>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</si>
  <si>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</si>
  <si>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</si>
  <si>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</si>
  <si>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</si>
  <si>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</si>
  <si>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</si>
  <si>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</si>
  <si>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</si>
  <si>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Total</t>
  </si>
  <si>
    <t>N</t>
  </si>
  <si>
    <t>alpha</t>
  </si>
  <si>
    <t>r (2-tailed)</t>
  </si>
  <si>
    <t>Variable Position</t>
  </si>
  <si>
    <t>Variable Name</t>
  </si>
  <si>
    <t>Code</t>
  </si>
  <si>
    <t>Label</t>
  </si>
  <si>
    <t>0</t>
  </si>
  <si>
    <t>1</t>
  </si>
  <si>
    <t>Very happy</t>
  </si>
  <si>
    <t>2</t>
  </si>
  <si>
    <t>Pretty happy</t>
  </si>
  <si>
    <t>3</t>
  </si>
  <si>
    <t>Not too happy</t>
  </si>
  <si>
    <t>-100</t>
  </si>
  <si>
    <t>.i:  Inapplicable</t>
  </si>
  <si>
    <t>-99</t>
  </si>
  <si>
    <t>.n:  No answer</t>
  </si>
  <si>
    <t>-98</t>
  </si>
  <si>
    <t>.d:  Do not Know/Cannot Choose</t>
  </si>
  <si>
    <t>-97</t>
  </si>
  <si>
    <t>.s:  Skipped on Web</t>
  </si>
  <si>
    <t>-96</t>
  </si>
  <si>
    <t>.z:  Variable-specific reserve code</t>
  </si>
  <si>
    <t>-95</t>
  </si>
  <si>
    <t>.u:  Uncodable</t>
  </si>
  <si>
    <t>-90</t>
  </si>
  <si>
    <t>.r:  Refused</t>
  </si>
  <si>
    <t>-80</t>
  </si>
  <si>
    <t>.x:  Not available in this release</t>
  </si>
  <si>
    <t>-70</t>
  </si>
  <si>
    <t>.y:  Not available in this year</t>
  </si>
  <si>
    <t>-60</t>
  </si>
  <si>
    <t>.j:  I do not have a job</t>
  </si>
  <si>
    <t>-50</t>
  </si>
  <si>
    <t>.p:  Not applicable (I have not faced this decision)/Not imputable</t>
  </si>
  <si>
    <t>-40</t>
  </si>
  <si>
    <t>.m:  DK, NA, IAP</t>
  </si>
  <si>
    <t>NOT TOO HAPPY</t>
  </si>
  <si>
    <t>PRETTY HAPPY</t>
  </si>
  <si>
    <t>VERY HAPPY</t>
  </si>
  <si>
    <t>Very satisfied</t>
  </si>
  <si>
    <t>Moderately satisfied</t>
  </si>
  <si>
    <t>A little dissatisfied</t>
  </si>
  <si>
    <t>4</t>
  </si>
  <si>
    <t>Very dissatisfied</t>
  </si>
  <si>
    <t>5</t>
  </si>
  <si>
    <t>Poor</t>
  </si>
  <si>
    <t>Fair</t>
  </si>
  <si>
    <t>Good</t>
  </si>
  <si>
    <t>Very good</t>
  </si>
  <si>
    <t>Excellent</t>
  </si>
  <si>
    <t>6</t>
  </si>
  <si>
    <t>7</t>
  </si>
  <si>
    <t>Describes very well</t>
  </si>
  <si>
    <t>Does not describe very well</t>
  </si>
  <si>
    <t>IAP</t>
  </si>
  <si>
    <t>8</t>
  </si>
  <si>
    <t>DONT KNOW</t>
  </si>
  <si>
    <t>9</t>
  </si>
  <si>
    <t>NO ANSWER</t>
  </si>
  <si>
    <t>10</t>
  </si>
  <si>
    <t>11</t>
  </si>
  <si>
    <t>12</t>
  </si>
  <si>
    <t>13</t>
  </si>
  <si>
    <t>14</t>
  </si>
  <si>
    <t>Not at all in the past year</t>
  </si>
  <si>
    <t>Once in the past year</t>
  </si>
  <si>
    <t>At least 2 or 3 times in the past year</t>
  </si>
  <si>
    <t>Once a month</t>
  </si>
  <si>
    <t>Once a week</t>
  </si>
  <si>
    <t>More than once a week</t>
  </si>
  <si>
    <t>15</t>
  </si>
  <si>
    <t>16</t>
  </si>
  <si>
    <t>Strongly Disagree</t>
  </si>
  <si>
    <t>Disagree</t>
  </si>
  <si>
    <t>Neither Agree nor Disagree</t>
  </si>
  <si>
    <t>Agree</t>
  </si>
  <si>
    <t>Strongly Agree</t>
  </si>
  <si>
    <t>17</t>
  </si>
  <si>
    <t>18</t>
  </si>
  <si>
    <t>Column 1</t>
  </si>
  <si>
    <t>Column 2</t>
  </si>
  <si>
    <t>Column 3</t>
  </si>
  <si>
    <t>Column 4</t>
  </si>
  <si>
    <t>Column 5</t>
  </si>
  <si>
    <t>Column 6</t>
  </si>
  <si>
    <t>Column 7</t>
  </si>
  <si>
    <t>Alpha</t>
  </si>
  <si>
    <t>https://www.statology.org/cronbachs-alpha-excel/</t>
  </si>
  <si>
    <t>Alpha = 1-(MS_error/MS_rows)</t>
  </si>
  <si>
    <t>When using XLMiner, make sure coded in the same direction, missing values are removed, AND you do not select the row with the labels (check off "Labels in First Row") $H$2:$N$490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</si>
</sst>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0" xfId="0" applyNumberFormat="1" applyFont="1" applyAlignment="1">
      <alignment horizontal="center" vertical="top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2" fontId="1" fillId="0" borderId="2" xfId="0" applyNumberFormat="1" applyFont="1" applyBorder="1" applyAlignment="1">
      <alignment horizontal="left" vertical="top"/>
    </xf>
    <xf numFmtId="0" fontId="1" fillId="3" borderId="0" xfId="0" applyFont="1" applyFill="1"/>
    <xf numFmtId="2" fontId="0" fillId="4" borderId="0" xfId="0" applyNumberFormat="1" applyFill="1" applyAlignment="1">
      <alignment horizontal="right"/>
    </xf>
    <xf numFmtId="0" fontId="0" fillId="5" borderId="0" xfId="0" applyFill="1"/>
    <xf numFmtId="2" fontId="1" fillId="4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2" fontId="1" fillId="7" borderId="1" xfId="0" applyNumberFormat="1" applyFont="1" applyFill="1" applyBorder="1" applyAlignment="1">
      <alignment horizontal="center" vertical="top"/>
    </xf>
    <xf numFmtId="0" fontId="0" fillId="7" borderId="0" xfId="0" applyFill="1"/>
    <xf numFmtId="2" fontId="1" fillId="8" borderId="0" xfId="0" applyNumberFormat="1" applyFont="1" applyFill="1" applyAlignment="1">
      <alignment horizontal="center" vertical="top"/>
    </xf>
    <xf numFmtId="164" fontId="1" fillId="8" borderId="0" xfId="0" applyNumberFormat="1" applyFont="1" applyFill="1" applyAlignment="1">
      <alignment horizontal="center" vertical="top"/>
    </xf>
    <xf numFmtId="0" fontId="5" fillId="0" borderId="0" xfId="1"/>
    <xf numFmtId="0" fontId="0" fillId="9" borderId="0" xfId="0" applyFill="1"/>
    <xf numFmtId="0" fontId="4" fillId="0" borderId="0" xfId="0" applyFont="1"/>
    <xf numFmtId="2" fontId="0" fillId="7" borderId="0" xfId="0" applyNumberFormat="1" applyFill="1"/>
    <xf numFmtId="2" fontId="0" fillId="8" borderId="0" xfId="0" applyNumberFormat="1" applyFill="1"/>
    <xf numFmtId="164" fontId="0" fillId="2" borderId="0" xfId="0" applyNumberFormat="1" applyFill="1"/>
    <xf numFmtId="0" fontId="3" fillId="0" borderId="0" xfId="0" applyFont="1"/>
    <xf numFmtId="0" fontId="0" fillId="4" borderId="0" xfId="0" applyFill="1"/>
    <xf numFmtId="0" fontId="6" fillId="0" borderId="0" xfId="0" applyFont="1"/>
    <xf numFmtId="164" fontId="0" fillId="8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3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2" borderId="0" xfId="0" applyFont="1" applyFill="1"/>
    <xf numFmtId="0" fontId="4" fillId="4" borderId="0" xfId="0" applyFont="1" applyFill="1"/>
    <xf numFmtId="0" fontId="7" fillId="10" borderId="0" xfId="0" applyFont="1" applyFill="1"/>
    <xf numFmtId="0" fontId="7" fillId="0" borderId="0" xfId="0" applyFont="1"/>
    <xf numFmtId="11" fontId="7" fillId="10" borderId="0" xfId="0" applyNumberFormat="1" applyFont="1" applyFill="1"/>
    <xf numFmtId="0" fontId="7" fillId="11" borderId="0" xfId="0" applyFont="1" applyFill="1"/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/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0</xdr:colOff>
      <xdr:row>473</xdr:row>
      <xdr:rowOff>38100</xdr:rowOff>
    </xdr:from>
    <xdr:to>
      <xdr:col>32</xdr:col>
      <xdr:colOff>1962150</xdr:colOff>
      <xdr:row>488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6F0B972-6C02-C5BE-1798-D22594EBC7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7600" y="25781000"/>
              <a:ext cx="64135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AABC89-EBDA-49A0-9882-E80F4DB2D873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231BB237-58EB-4D96-8B31-2BF09E11DB01}"/>
    <we:binding id="Input" type="matrix" appref="{03918EE1-3D4A-4036-BFF5-7741B00D0583}"/>
    <we:binding id="Output" type="matrix" appref="{26EFD845-A29E-4EA2-AF2B-B822E1FEAB29}"/>
    <we:binding id="Input1" type="matrix" appref="{EEFDEB55-00DA-4BA7-A705-6AFBC1CF5080}"/>
    <we:binding id="Input2" type="matrix" appref="{C3669588-726E-4566-97A7-80427DA3D2E3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atology.org/cronbachs-alpha-exce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70"/>
  <sheetViews>
    <sheetView zoomScale="55" zoomScaleNormal="55" workbookViewId="0">
      <selection activeCell="P23" sqref="P23"/>
    </sheetView>
  </sheetViews>
  <sheetFormatPr defaultColWidth="9.1796875" defaultRowHeight="14.5" x14ac:dyDescent="0.35"/>
  <cols>
    <col min="1" max="1" width="5.453125" style="3" bestFit="1" customWidth="1"/>
    <col min="2" max="8" width="10.1796875" style="3" bestFit="1" customWidth="1"/>
    <col min="9" max="9" width="6.7265625" style="3" bestFit="1" customWidth="1"/>
    <col min="10" max="10" width="8" style="3" bestFit="1" customWidth="1"/>
    <col min="11" max="11" width="6.7265625" style="3" bestFit="1" customWidth="1"/>
    <col min="12" max="12" width="8" style="3" bestFit="1" customWidth="1"/>
    <col min="13" max="15" width="8.81640625" style="3" bestFit="1" customWidth="1"/>
    <col min="16" max="16" width="9" style="3" bestFit="1" customWidth="1"/>
    <col min="17" max="17" width="8.1796875" style="3" bestFit="1" customWidth="1"/>
    <col min="18" max="18" width="8.81640625" style="3" bestFit="1" customWidth="1"/>
    <col min="19" max="19" width="30.7265625" style="3" customWidth="1"/>
    <col min="20" max="26" width="9.1796875" style="3"/>
    <col min="27" max="27" width="13" style="3" customWidth="1"/>
    <col min="28" max="16384" width="9.1796875" style="3"/>
  </cols>
  <sheetData>
    <row r="1" spans="1:18" ht="14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customFormat="1" ht="14.25" customHeight="1" x14ac:dyDescent="0.35">
      <c r="A2">
        <v>1</v>
      </c>
      <c r="B2">
        <v>1</v>
      </c>
      <c r="C2">
        <v>3</v>
      </c>
      <c r="D2">
        <v>3</v>
      </c>
      <c r="E2">
        <v>3</v>
      </c>
      <c r="F2">
        <v>4</v>
      </c>
      <c r="G2">
        <v>4</v>
      </c>
      <c r="H2">
        <v>4</v>
      </c>
      <c r="I2">
        <v>2</v>
      </c>
      <c r="K2">
        <v>2</v>
      </c>
      <c r="N2">
        <v>6</v>
      </c>
      <c r="O2">
        <v>4</v>
      </c>
      <c r="P2">
        <v>2</v>
      </c>
      <c r="Q2">
        <v>2</v>
      </c>
      <c r="R2">
        <v>2</v>
      </c>
    </row>
    <row r="3" spans="1:18" customFormat="1" ht="14.25" customHeight="1" x14ac:dyDescent="0.35">
      <c r="A3">
        <v>6</v>
      </c>
      <c r="B3">
        <v>3</v>
      </c>
      <c r="C3">
        <v>2</v>
      </c>
      <c r="D3">
        <v>4</v>
      </c>
      <c r="E3">
        <v>3</v>
      </c>
      <c r="F3">
        <v>2</v>
      </c>
      <c r="G3">
        <v>3</v>
      </c>
      <c r="H3">
        <v>2</v>
      </c>
      <c r="I3">
        <v>2</v>
      </c>
      <c r="K3">
        <v>2</v>
      </c>
      <c r="L3">
        <v>3</v>
      </c>
      <c r="M3">
        <v>2</v>
      </c>
      <c r="N3">
        <v>6</v>
      </c>
      <c r="O3">
        <v>4</v>
      </c>
      <c r="P3">
        <v>1</v>
      </c>
      <c r="Q3">
        <v>2</v>
      </c>
      <c r="R3">
        <v>1</v>
      </c>
    </row>
    <row r="4" spans="1:18" customFormat="1" ht="14.25" customHeight="1" x14ac:dyDescent="0.35">
      <c r="A4">
        <v>17</v>
      </c>
      <c r="B4">
        <v>3</v>
      </c>
      <c r="C4">
        <v>1</v>
      </c>
      <c r="D4">
        <v>3</v>
      </c>
      <c r="E4">
        <v>2</v>
      </c>
      <c r="F4">
        <v>3</v>
      </c>
      <c r="G4">
        <v>3</v>
      </c>
      <c r="H4">
        <v>4</v>
      </c>
      <c r="I4">
        <v>3</v>
      </c>
      <c r="N4">
        <v>6</v>
      </c>
      <c r="O4">
        <v>6</v>
      </c>
      <c r="P4">
        <v>2</v>
      </c>
      <c r="Q4">
        <v>4</v>
      </c>
      <c r="R4">
        <v>2</v>
      </c>
    </row>
    <row r="5" spans="1:18" customFormat="1" ht="14.25" customHeight="1" x14ac:dyDescent="0.35">
      <c r="A5">
        <v>18</v>
      </c>
      <c r="B5">
        <v>4</v>
      </c>
      <c r="C5">
        <v>3</v>
      </c>
      <c r="D5">
        <v>4</v>
      </c>
      <c r="E5">
        <v>2</v>
      </c>
      <c r="F5">
        <v>2</v>
      </c>
      <c r="G5">
        <v>3</v>
      </c>
      <c r="H5">
        <v>4</v>
      </c>
      <c r="I5">
        <v>1</v>
      </c>
      <c r="K5">
        <v>1</v>
      </c>
      <c r="L5">
        <v>1</v>
      </c>
      <c r="M5">
        <v>0</v>
      </c>
      <c r="N5">
        <v>5</v>
      </c>
      <c r="O5">
        <v>4</v>
      </c>
      <c r="P5">
        <v>3</v>
      </c>
      <c r="Q5">
        <v>2</v>
      </c>
      <c r="R5">
        <v>3</v>
      </c>
    </row>
    <row r="6" spans="1:18" customFormat="1" ht="14.25" customHeight="1" x14ac:dyDescent="0.35">
      <c r="A6">
        <v>22</v>
      </c>
      <c r="B6">
        <v>3</v>
      </c>
      <c r="C6">
        <v>3</v>
      </c>
      <c r="D6">
        <v>4</v>
      </c>
      <c r="E6">
        <v>2</v>
      </c>
      <c r="F6">
        <v>2</v>
      </c>
      <c r="G6">
        <v>3</v>
      </c>
      <c r="H6">
        <v>2</v>
      </c>
      <c r="I6">
        <v>2</v>
      </c>
      <c r="K6">
        <v>3</v>
      </c>
      <c r="L6">
        <v>4</v>
      </c>
      <c r="M6">
        <v>10</v>
      </c>
      <c r="N6">
        <v>6</v>
      </c>
      <c r="O6">
        <v>4</v>
      </c>
      <c r="P6">
        <v>3</v>
      </c>
      <c r="Q6">
        <v>2</v>
      </c>
      <c r="R6">
        <v>3</v>
      </c>
    </row>
    <row r="7" spans="1:18" customFormat="1" ht="14.25" customHeight="1" x14ac:dyDescent="0.35">
      <c r="A7">
        <v>23</v>
      </c>
      <c r="B7">
        <v>4</v>
      </c>
      <c r="C7">
        <v>2</v>
      </c>
      <c r="D7">
        <v>5</v>
      </c>
      <c r="E7">
        <v>2</v>
      </c>
      <c r="F7">
        <v>1</v>
      </c>
      <c r="G7">
        <v>5</v>
      </c>
      <c r="H7">
        <v>3</v>
      </c>
      <c r="I7">
        <v>3</v>
      </c>
      <c r="J7">
        <v>1</v>
      </c>
      <c r="K7">
        <v>1</v>
      </c>
      <c r="L7">
        <v>2</v>
      </c>
      <c r="M7">
        <v>3</v>
      </c>
      <c r="N7">
        <v>6</v>
      </c>
      <c r="O7">
        <v>2</v>
      </c>
      <c r="P7">
        <v>1</v>
      </c>
      <c r="Q7">
        <v>1</v>
      </c>
      <c r="R7">
        <v>1</v>
      </c>
    </row>
    <row r="8" spans="1:18" customFormat="1" ht="14.25" customHeight="1" x14ac:dyDescent="0.35">
      <c r="A8">
        <v>27</v>
      </c>
      <c r="B8">
        <v>4</v>
      </c>
      <c r="C8">
        <v>1</v>
      </c>
      <c r="D8">
        <v>1</v>
      </c>
      <c r="E8">
        <v>1</v>
      </c>
      <c r="F8">
        <v>1</v>
      </c>
      <c r="G8">
        <v>5</v>
      </c>
      <c r="H8">
        <v>5</v>
      </c>
      <c r="I8">
        <v>2</v>
      </c>
      <c r="N8">
        <v>6</v>
      </c>
      <c r="O8">
        <v>4</v>
      </c>
      <c r="P8">
        <v>2</v>
      </c>
      <c r="Q8">
        <v>4</v>
      </c>
      <c r="R8">
        <v>1</v>
      </c>
    </row>
    <row r="9" spans="1:18" customFormat="1" ht="14.25" customHeight="1" x14ac:dyDescent="0.35">
      <c r="A9">
        <v>32</v>
      </c>
      <c r="B9">
        <v>4</v>
      </c>
      <c r="C9">
        <v>2</v>
      </c>
      <c r="D9">
        <v>4</v>
      </c>
      <c r="E9">
        <v>3</v>
      </c>
      <c r="F9">
        <v>2</v>
      </c>
      <c r="G9">
        <v>4</v>
      </c>
      <c r="H9">
        <v>3</v>
      </c>
      <c r="I9">
        <v>1</v>
      </c>
      <c r="J9">
        <v>1</v>
      </c>
      <c r="K9">
        <v>1</v>
      </c>
      <c r="L9">
        <v>2</v>
      </c>
      <c r="M9">
        <v>0</v>
      </c>
      <c r="N9">
        <v>6</v>
      </c>
      <c r="O9">
        <v>5</v>
      </c>
      <c r="P9">
        <v>2</v>
      </c>
      <c r="Q9">
        <v>3</v>
      </c>
      <c r="R9">
        <v>3</v>
      </c>
    </row>
    <row r="10" spans="1:18" customFormat="1" ht="14.25" customHeight="1" x14ac:dyDescent="0.35">
      <c r="A10">
        <v>33</v>
      </c>
      <c r="B10">
        <v>5</v>
      </c>
      <c r="C10">
        <v>1</v>
      </c>
      <c r="D10">
        <v>5</v>
      </c>
      <c r="E10">
        <v>1</v>
      </c>
      <c r="F10">
        <v>1</v>
      </c>
      <c r="G10">
        <v>5</v>
      </c>
      <c r="H10">
        <v>5</v>
      </c>
      <c r="I10">
        <v>1</v>
      </c>
      <c r="K10">
        <v>1</v>
      </c>
      <c r="L10">
        <v>1</v>
      </c>
      <c r="M10">
        <v>15</v>
      </c>
      <c r="N10">
        <v>4</v>
      </c>
      <c r="O10">
        <v>2</v>
      </c>
      <c r="P10">
        <v>1</v>
      </c>
      <c r="Q10">
        <v>4</v>
      </c>
      <c r="R10">
        <v>1</v>
      </c>
    </row>
    <row r="11" spans="1:18" customFormat="1" ht="14.25" customHeight="1" x14ac:dyDescent="0.35">
      <c r="A11">
        <v>36</v>
      </c>
      <c r="B11">
        <v>1</v>
      </c>
      <c r="C11">
        <v>3</v>
      </c>
      <c r="D11">
        <v>3</v>
      </c>
      <c r="E11">
        <v>3</v>
      </c>
      <c r="F11">
        <v>4</v>
      </c>
      <c r="G11">
        <v>3</v>
      </c>
      <c r="H11">
        <v>3</v>
      </c>
      <c r="I11">
        <v>2</v>
      </c>
      <c r="N11">
        <v>6</v>
      </c>
      <c r="O11">
        <v>4</v>
      </c>
      <c r="P11">
        <v>2</v>
      </c>
      <c r="Q11">
        <v>3</v>
      </c>
      <c r="R11">
        <v>2</v>
      </c>
    </row>
    <row r="12" spans="1:18" customFormat="1" ht="14.25" customHeight="1" x14ac:dyDescent="0.35">
      <c r="A12">
        <v>37</v>
      </c>
      <c r="B12">
        <v>4</v>
      </c>
      <c r="C12">
        <v>2</v>
      </c>
      <c r="D12">
        <v>5</v>
      </c>
      <c r="E12">
        <v>1</v>
      </c>
      <c r="F12">
        <v>1</v>
      </c>
      <c r="G12">
        <v>5</v>
      </c>
      <c r="H12">
        <v>4</v>
      </c>
      <c r="I12">
        <v>3</v>
      </c>
      <c r="J12">
        <v>1</v>
      </c>
      <c r="K12">
        <v>1</v>
      </c>
      <c r="L12">
        <v>4</v>
      </c>
      <c r="M12">
        <v>15</v>
      </c>
      <c r="N12">
        <v>6</v>
      </c>
      <c r="O12">
        <v>3</v>
      </c>
      <c r="P12">
        <v>1</v>
      </c>
      <c r="Q12">
        <v>3</v>
      </c>
      <c r="R12">
        <v>2</v>
      </c>
    </row>
    <row r="13" spans="1:18" customFormat="1" ht="14.25" customHeight="1" x14ac:dyDescent="0.35">
      <c r="A13">
        <v>41</v>
      </c>
      <c r="B13">
        <v>5</v>
      </c>
      <c r="C13">
        <v>2</v>
      </c>
      <c r="D13">
        <v>5</v>
      </c>
      <c r="E13">
        <v>1</v>
      </c>
      <c r="F13">
        <v>1</v>
      </c>
      <c r="G13">
        <v>4</v>
      </c>
      <c r="H13">
        <v>4</v>
      </c>
      <c r="I13">
        <v>1</v>
      </c>
      <c r="N13">
        <v>6</v>
      </c>
      <c r="O13">
        <v>6</v>
      </c>
      <c r="P13">
        <v>1</v>
      </c>
      <c r="Q13">
        <v>3</v>
      </c>
      <c r="R13">
        <v>2</v>
      </c>
    </row>
    <row r="14" spans="1:18" customFormat="1" ht="14.25" customHeight="1" x14ac:dyDescent="0.35">
      <c r="A14">
        <v>43</v>
      </c>
      <c r="B14">
        <v>5</v>
      </c>
      <c r="C14">
        <v>4</v>
      </c>
      <c r="D14">
        <v>4</v>
      </c>
      <c r="E14">
        <v>2</v>
      </c>
      <c r="F14">
        <v>4</v>
      </c>
      <c r="G14">
        <v>3</v>
      </c>
      <c r="H14">
        <v>5</v>
      </c>
      <c r="I14">
        <v>2</v>
      </c>
      <c r="K14">
        <v>1</v>
      </c>
      <c r="L14">
        <v>2</v>
      </c>
      <c r="M14">
        <v>2</v>
      </c>
      <c r="N14">
        <v>6</v>
      </c>
      <c r="O14">
        <v>6</v>
      </c>
      <c r="P14">
        <v>2</v>
      </c>
      <c r="Q14">
        <v>3</v>
      </c>
      <c r="R14">
        <v>3</v>
      </c>
    </row>
    <row r="15" spans="1:18" customFormat="1" ht="14.25" customHeight="1" x14ac:dyDescent="0.35">
      <c r="A15">
        <v>46</v>
      </c>
      <c r="B15">
        <v>5</v>
      </c>
      <c r="C15">
        <v>3</v>
      </c>
      <c r="D15">
        <v>4</v>
      </c>
      <c r="E15">
        <v>3</v>
      </c>
      <c r="F15">
        <v>1</v>
      </c>
      <c r="G15">
        <v>4</v>
      </c>
      <c r="H15">
        <v>4</v>
      </c>
      <c r="I15">
        <v>1</v>
      </c>
      <c r="K15">
        <v>1</v>
      </c>
      <c r="L15">
        <v>3</v>
      </c>
      <c r="M15">
        <v>1</v>
      </c>
      <c r="N15">
        <v>6</v>
      </c>
      <c r="O15">
        <v>3</v>
      </c>
      <c r="P15">
        <v>2</v>
      </c>
      <c r="Q15">
        <v>2</v>
      </c>
      <c r="R15">
        <v>2</v>
      </c>
    </row>
    <row r="16" spans="1:18" customFormat="1" ht="14.25" customHeight="1" x14ac:dyDescent="0.35">
      <c r="A16">
        <v>47</v>
      </c>
      <c r="B16">
        <v>4</v>
      </c>
      <c r="C16">
        <v>3</v>
      </c>
      <c r="D16">
        <v>5</v>
      </c>
      <c r="E16">
        <v>1</v>
      </c>
      <c r="F16">
        <v>1</v>
      </c>
      <c r="G16">
        <v>5</v>
      </c>
      <c r="H16">
        <v>5</v>
      </c>
      <c r="I16">
        <v>2</v>
      </c>
      <c r="K16">
        <v>1</v>
      </c>
      <c r="N16">
        <v>6</v>
      </c>
      <c r="O16">
        <v>4</v>
      </c>
      <c r="P16">
        <v>1</v>
      </c>
      <c r="Q16">
        <v>2</v>
      </c>
      <c r="R16">
        <v>2</v>
      </c>
    </row>
    <row r="17" spans="1:18" customFormat="1" ht="14.25" customHeight="1" x14ac:dyDescent="0.35">
      <c r="A17">
        <v>51</v>
      </c>
      <c r="B17">
        <v>5</v>
      </c>
      <c r="C17">
        <v>1</v>
      </c>
      <c r="D17">
        <v>1</v>
      </c>
      <c r="E17">
        <v>1</v>
      </c>
      <c r="F17">
        <v>1</v>
      </c>
      <c r="G17">
        <v>5</v>
      </c>
      <c r="H17">
        <v>5</v>
      </c>
      <c r="I17">
        <v>1</v>
      </c>
      <c r="J17">
        <v>1</v>
      </c>
      <c r="N17">
        <v>6</v>
      </c>
      <c r="O17">
        <v>4</v>
      </c>
      <c r="P17">
        <v>2</v>
      </c>
      <c r="Q17">
        <v>3</v>
      </c>
      <c r="R17">
        <v>3</v>
      </c>
    </row>
    <row r="18" spans="1:18" customFormat="1" ht="14.25" customHeight="1" x14ac:dyDescent="0.35">
      <c r="A18">
        <v>52</v>
      </c>
      <c r="B18">
        <v>3</v>
      </c>
      <c r="C18">
        <v>3</v>
      </c>
      <c r="D18">
        <v>5</v>
      </c>
      <c r="E18">
        <v>2</v>
      </c>
      <c r="F18">
        <v>2</v>
      </c>
      <c r="G18">
        <v>3</v>
      </c>
      <c r="H18">
        <v>3</v>
      </c>
      <c r="I18">
        <v>2</v>
      </c>
      <c r="N18">
        <v>6</v>
      </c>
      <c r="O18">
        <v>4</v>
      </c>
      <c r="P18">
        <v>3</v>
      </c>
      <c r="Q18">
        <v>3</v>
      </c>
      <c r="R18">
        <v>3</v>
      </c>
    </row>
    <row r="19" spans="1:18" customFormat="1" ht="14.25" customHeight="1" x14ac:dyDescent="0.35">
      <c r="A19">
        <v>56</v>
      </c>
      <c r="B19">
        <v>5</v>
      </c>
      <c r="C19">
        <v>1</v>
      </c>
      <c r="D19">
        <v>5</v>
      </c>
      <c r="E19">
        <v>1</v>
      </c>
      <c r="F19">
        <v>5</v>
      </c>
      <c r="G19">
        <v>5</v>
      </c>
      <c r="H19">
        <v>5</v>
      </c>
      <c r="I19">
        <v>1</v>
      </c>
      <c r="J19">
        <v>1</v>
      </c>
      <c r="K19">
        <v>1</v>
      </c>
      <c r="L19">
        <v>3</v>
      </c>
      <c r="M19">
        <v>0</v>
      </c>
      <c r="N19">
        <v>6</v>
      </c>
      <c r="O19">
        <v>6</v>
      </c>
      <c r="P19">
        <v>1</v>
      </c>
      <c r="Q19">
        <v>2</v>
      </c>
      <c r="R19">
        <v>1</v>
      </c>
    </row>
    <row r="20" spans="1:18" customFormat="1" ht="14.25" customHeight="1" x14ac:dyDescent="0.35">
      <c r="A20">
        <v>59</v>
      </c>
      <c r="B20">
        <v>5</v>
      </c>
      <c r="C20">
        <v>4</v>
      </c>
      <c r="D20">
        <v>5</v>
      </c>
      <c r="E20">
        <v>2</v>
      </c>
      <c r="F20">
        <v>1</v>
      </c>
      <c r="G20">
        <v>5</v>
      </c>
      <c r="H20">
        <v>5</v>
      </c>
      <c r="I20">
        <v>1</v>
      </c>
      <c r="N20">
        <v>6</v>
      </c>
      <c r="O20">
        <v>4</v>
      </c>
      <c r="P20">
        <v>2</v>
      </c>
      <c r="Q20">
        <v>3</v>
      </c>
      <c r="R20">
        <v>2</v>
      </c>
    </row>
    <row r="21" spans="1:18" customFormat="1" ht="14.25" customHeight="1" x14ac:dyDescent="0.35">
      <c r="A21">
        <v>63</v>
      </c>
      <c r="B21">
        <v>5</v>
      </c>
      <c r="C21">
        <v>2</v>
      </c>
      <c r="D21">
        <v>5</v>
      </c>
      <c r="E21">
        <v>2</v>
      </c>
      <c r="F21">
        <v>2</v>
      </c>
      <c r="G21">
        <v>5</v>
      </c>
      <c r="H21">
        <v>5</v>
      </c>
      <c r="I21">
        <v>2</v>
      </c>
      <c r="K21">
        <v>1</v>
      </c>
      <c r="L21">
        <v>3</v>
      </c>
      <c r="M21">
        <v>0</v>
      </c>
      <c r="N21">
        <v>5</v>
      </c>
      <c r="O21">
        <v>2</v>
      </c>
      <c r="P21">
        <v>1</v>
      </c>
      <c r="Q21">
        <v>4</v>
      </c>
      <c r="R21">
        <v>1</v>
      </c>
    </row>
    <row r="22" spans="1:18" customFormat="1" ht="14.25" customHeight="1" x14ac:dyDescent="0.35">
      <c r="A22">
        <v>64</v>
      </c>
      <c r="B22">
        <v>4</v>
      </c>
      <c r="C22">
        <v>4</v>
      </c>
      <c r="D22">
        <v>4</v>
      </c>
      <c r="E22">
        <v>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0</v>
      </c>
      <c r="N22">
        <v>5</v>
      </c>
      <c r="O22">
        <v>6</v>
      </c>
      <c r="P22">
        <v>2</v>
      </c>
      <c r="Q22">
        <v>3</v>
      </c>
      <c r="R22">
        <v>2</v>
      </c>
    </row>
    <row r="23" spans="1:18" customFormat="1" ht="14.25" customHeight="1" x14ac:dyDescent="0.35">
      <c r="A23">
        <v>67</v>
      </c>
      <c r="B23">
        <v>5</v>
      </c>
      <c r="C23">
        <v>3</v>
      </c>
      <c r="D23">
        <v>3</v>
      </c>
      <c r="E23">
        <v>1</v>
      </c>
      <c r="F23">
        <v>3</v>
      </c>
      <c r="G23">
        <v>5</v>
      </c>
      <c r="H23">
        <v>4</v>
      </c>
      <c r="I23">
        <v>3</v>
      </c>
      <c r="K23">
        <v>4</v>
      </c>
      <c r="L23">
        <v>3</v>
      </c>
      <c r="M23">
        <v>0</v>
      </c>
      <c r="N23">
        <v>6</v>
      </c>
      <c r="O23">
        <v>5</v>
      </c>
      <c r="P23">
        <v>1</v>
      </c>
      <c r="Q23">
        <v>1</v>
      </c>
      <c r="R23">
        <v>3</v>
      </c>
    </row>
    <row r="24" spans="1:18" customFormat="1" ht="14.25" customHeight="1" x14ac:dyDescent="0.35">
      <c r="A24">
        <v>71</v>
      </c>
      <c r="B24">
        <v>3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3</v>
      </c>
      <c r="N24">
        <v>6</v>
      </c>
      <c r="O24">
        <v>6</v>
      </c>
      <c r="P24">
        <v>2</v>
      </c>
      <c r="Q24">
        <v>3</v>
      </c>
      <c r="R24">
        <v>3</v>
      </c>
    </row>
    <row r="25" spans="1:18" customFormat="1" ht="14.25" customHeight="1" x14ac:dyDescent="0.35">
      <c r="A25">
        <v>72</v>
      </c>
      <c r="B25">
        <v>5</v>
      </c>
      <c r="C25">
        <v>5</v>
      </c>
      <c r="D25">
        <v>5</v>
      </c>
      <c r="E25">
        <v>5</v>
      </c>
      <c r="F25">
        <v>1</v>
      </c>
      <c r="G25">
        <v>3</v>
      </c>
      <c r="H25">
        <v>3</v>
      </c>
      <c r="I25">
        <v>2</v>
      </c>
      <c r="N25">
        <v>6</v>
      </c>
      <c r="O25">
        <v>6</v>
      </c>
      <c r="Q25">
        <v>4</v>
      </c>
      <c r="R25">
        <v>3</v>
      </c>
    </row>
    <row r="26" spans="1:18" customFormat="1" ht="14.25" customHeight="1" x14ac:dyDescent="0.35">
      <c r="A26">
        <v>76</v>
      </c>
      <c r="B26">
        <v>5</v>
      </c>
      <c r="C26">
        <v>2</v>
      </c>
      <c r="D26">
        <v>5</v>
      </c>
      <c r="E26">
        <v>1</v>
      </c>
      <c r="F26">
        <v>1</v>
      </c>
      <c r="G26">
        <v>5</v>
      </c>
      <c r="H26">
        <v>5</v>
      </c>
      <c r="I26">
        <v>1</v>
      </c>
      <c r="J26">
        <v>1</v>
      </c>
      <c r="N26">
        <v>6</v>
      </c>
      <c r="O26">
        <v>4</v>
      </c>
      <c r="P26">
        <v>2</v>
      </c>
      <c r="Q26">
        <v>2</v>
      </c>
      <c r="R26">
        <v>2</v>
      </c>
    </row>
    <row r="27" spans="1:18" customFormat="1" ht="14.25" customHeight="1" x14ac:dyDescent="0.35">
      <c r="A27">
        <v>78</v>
      </c>
      <c r="B27">
        <v>1</v>
      </c>
      <c r="C27">
        <v>5</v>
      </c>
      <c r="D27">
        <v>2</v>
      </c>
      <c r="E27">
        <v>5</v>
      </c>
      <c r="F27">
        <v>5</v>
      </c>
      <c r="G27">
        <v>1</v>
      </c>
      <c r="H27">
        <v>5</v>
      </c>
      <c r="I27">
        <v>2</v>
      </c>
      <c r="K27">
        <v>1</v>
      </c>
      <c r="L27">
        <v>1</v>
      </c>
      <c r="M27">
        <v>0</v>
      </c>
      <c r="N27">
        <v>6</v>
      </c>
      <c r="O27">
        <v>6</v>
      </c>
      <c r="P27">
        <v>4</v>
      </c>
      <c r="Q27">
        <v>2</v>
      </c>
      <c r="R27">
        <v>4</v>
      </c>
    </row>
    <row r="28" spans="1:18" customFormat="1" ht="14.25" customHeight="1" x14ac:dyDescent="0.35">
      <c r="A28">
        <v>82</v>
      </c>
      <c r="B28">
        <v>4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2</v>
      </c>
      <c r="J28">
        <v>1</v>
      </c>
      <c r="K28">
        <v>1</v>
      </c>
      <c r="L28">
        <v>2</v>
      </c>
      <c r="M28">
        <v>25</v>
      </c>
      <c r="N28">
        <v>6</v>
      </c>
      <c r="O28">
        <v>5</v>
      </c>
      <c r="P28">
        <v>2</v>
      </c>
      <c r="Q28">
        <v>3</v>
      </c>
      <c r="R28">
        <v>3</v>
      </c>
    </row>
    <row r="29" spans="1:18" customFormat="1" ht="14.25" customHeight="1" x14ac:dyDescent="0.35">
      <c r="A29">
        <v>89</v>
      </c>
      <c r="B29">
        <v>3</v>
      </c>
      <c r="C29">
        <v>2</v>
      </c>
      <c r="D29">
        <v>5</v>
      </c>
      <c r="E29">
        <v>3</v>
      </c>
      <c r="F29">
        <v>4</v>
      </c>
      <c r="G29">
        <v>4</v>
      </c>
      <c r="H29">
        <v>5</v>
      </c>
      <c r="I29">
        <v>1</v>
      </c>
      <c r="N29">
        <v>6</v>
      </c>
      <c r="O29">
        <v>3</v>
      </c>
      <c r="P29">
        <v>2</v>
      </c>
      <c r="Q29">
        <v>4</v>
      </c>
      <c r="R29">
        <v>2</v>
      </c>
    </row>
    <row r="30" spans="1:18" customFormat="1" ht="14.25" customHeight="1" x14ac:dyDescent="0.35">
      <c r="A30">
        <v>93</v>
      </c>
      <c r="B30">
        <v>3</v>
      </c>
      <c r="C30">
        <v>2</v>
      </c>
      <c r="D30">
        <v>4</v>
      </c>
      <c r="E30">
        <v>2</v>
      </c>
      <c r="F30">
        <v>2</v>
      </c>
      <c r="G30">
        <v>3</v>
      </c>
      <c r="H30">
        <v>4</v>
      </c>
      <c r="I30">
        <v>1</v>
      </c>
      <c r="K30">
        <v>1</v>
      </c>
      <c r="L30">
        <v>2</v>
      </c>
      <c r="M30">
        <v>0</v>
      </c>
      <c r="N30">
        <v>6</v>
      </c>
      <c r="O30">
        <v>4</v>
      </c>
      <c r="P30">
        <v>2</v>
      </c>
      <c r="Q30">
        <v>4</v>
      </c>
      <c r="R30">
        <v>2</v>
      </c>
    </row>
    <row r="31" spans="1:18" customFormat="1" ht="14.25" customHeight="1" x14ac:dyDescent="0.35">
      <c r="A31">
        <v>94</v>
      </c>
      <c r="B31">
        <v>3</v>
      </c>
      <c r="C31">
        <v>4</v>
      </c>
      <c r="D31">
        <v>4</v>
      </c>
      <c r="E31">
        <v>3</v>
      </c>
      <c r="F31">
        <v>2</v>
      </c>
      <c r="G31">
        <v>3</v>
      </c>
      <c r="H31">
        <v>4</v>
      </c>
      <c r="I31">
        <v>2</v>
      </c>
      <c r="K31">
        <v>1</v>
      </c>
      <c r="L31">
        <v>2</v>
      </c>
      <c r="M31">
        <v>0</v>
      </c>
      <c r="N31">
        <v>6</v>
      </c>
      <c r="O31">
        <v>4</v>
      </c>
      <c r="P31">
        <v>2</v>
      </c>
      <c r="Q31">
        <v>2</v>
      </c>
      <c r="R31">
        <v>3</v>
      </c>
    </row>
    <row r="32" spans="1:18" customFormat="1" ht="14.25" customHeight="1" x14ac:dyDescent="0.35">
      <c r="A32">
        <v>96</v>
      </c>
      <c r="B32">
        <v>5</v>
      </c>
      <c r="C32">
        <v>1</v>
      </c>
      <c r="D32">
        <v>5</v>
      </c>
      <c r="E32">
        <v>1</v>
      </c>
      <c r="F32">
        <v>1</v>
      </c>
      <c r="G32">
        <v>5</v>
      </c>
      <c r="H32">
        <v>5</v>
      </c>
      <c r="I32">
        <v>2</v>
      </c>
      <c r="K32">
        <v>2</v>
      </c>
      <c r="L32">
        <v>1</v>
      </c>
      <c r="M32">
        <v>2</v>
      </c>
      <c r="N32">
        <v>6</v>
      </c>
      <c r="O32">
        <v>5</v>
      </c>
      <c r="P32">
        <v>1</v>
      </c>
      <c r="Q32">
        <v>4</v>
      </c>
      <c r="R32">
        <v>1</v>
      </c>
    </row>
    <row r="33" spans="1:18" customFormat="1" ht="14.25" customHeight="1" x14ac:dyDescent="0.35">
      <c r="A33">
        <v>97</v>
      </c>
      <c r="B33">
        <v>3</v>
      </c>
      <c r="C33">
        <v>3</v>
      </c>
      <c r="D33">
        <v>2</v>
      </c>
      <c r="E33">
        <v>4</v>
      </c>
      <c r="F33">
        <v>4</v>
      </c>
      <c r="G33">
        <v>4</v>
      </c>
      <c r="H33">
        <v>5</v>
      </c>
      <c r="I33">
        <v>2</v>
      </c>
      <c r="K33">
        <v>1</v>
      </c>
      <c r="L33">
        <v>2</v>
      </c>
      <c r="M33">
        <v>0</v>
      </c>
      <c r="N33">
        <v>6</v>
      </c>
      <c r="O33">
        <v>6</v>
      </c>
      <c r="P33">
        <v>2</v>
      </c>
      <c r="Q33">
        <v>2</v>
      </c>
      <c r="R33">
        <v>2</v>
      </c>
    </row>
    <row r="34" spans="1:18" customFormat="1" ht="14.25" customHeight="1" x14ac:dyDescent="0.35">
      <c r="A34">
        <v>99</v>
      </c>
      <c r="B34">
        <v>5</v>
      </c>
      <c r="C34">
        <v>2</v>
      </c>
      <c r="D34">
        <v>5</v>
      </c>
      <c r="E34">
        <v>1</v>
      </c>
      <c r="F34">
        <v>1</v>
      </c>
      <c r="G34">
        <v>5</v>
      </c>
      <c r="H34">
        <v>5</v>
      </c>
      <c r="I34">
        <v>2</v>
      </c>
      <c r="J34">
        <v>2</v>
      </c>
      <c r="K34">
        <v>1</v>
      </c>
      <c r="N34">
        <v>6</v>
      </c>
      <c r="O34">
        <v>3</v>
      </c>
      <c r="P34">
        <v>2</v>
      </c>
      <c r="Q34">
        <v>3</v>
      </c>
      <c r="R34">
        <v>3</v>
      </c>
    </row>
    <row r="35" spans="1:18" customFormat="1" ht="14.25" customHeight="1" x14ac:dyDescent="0.35">
      <c r="A35">
        <v>100</v>
      </c>
      <c r="B35">
        <v>3</v>
      </c>
      <c r="C35">
        <v>1</v>
      </c>
      <c r="D35">
        <v>4</v>
      </c>
      <c r="E35">
        <v>2</v>
      </c>
      <c r="F35">
        <v>2</v>
      </c>
      <c r="G35">
        <v>4</v>
      </c>
      <c r="H35">
        <v>4</v>
      </c>
      <c r="I35">
        <v>2</v>
      </c>
      <c r="K35">
        <v>2</v>
      </c>
      <c r="L35">
        <v>3</v>
      </c>
      <c r="M35">
        <v>5</v>
      </c>
      <c r="N35">
        <v>6</v>
      </c>
      <c r="O35">
        <v>6</v>
      </c>
      <c r="P35">
        <v>1</v>
      </c>
      <c r="Q35">
        <v>4</v>
      </c>
      <c r="R35">
        <v>3</v>
      </c>
    </row>
    <row r="36" spans="1:18" customFormat="1" ht="14.25" customHeight="1" x14ac:dyDescent="0.35">
      <c r="A36">
        <v>101</v>
      </c>
      <c r="B36">
        <v>4</v>
      </c>
      <c r="C36">
        <v>2</v>
      </c>
      <c r="D36">
        <v>4</v>
      </c>
      <c r="E36">
        <v>4</v>
      </c>
      <c r="F36">
        <v>1</v>
      </c>
      <c r="G36">
        <v>4</v>
      </c>
      <c r="H36">
        <v>5</v>
      </c>
      <c r="I36">
        <v>2</v>
      </c>
      <c r="N36">
        <v>6</v>
      </c>
      <c r="O36">
        <v>4</v>
      </c>
      <c r="P36">
        <v>1</v>
      </c>
      <c r="Q36">
        <v>3</v>
      </c>
      <c r="R36">
        <v>2</v>
      </c>
    </row>
    <row r="37" spans="1:18" customFormat="1" ht="14.25" customHeight="1" x14ac:dyDescent="0.35">
      <c r="A37">
        <v>108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2</v>
      </c>
      <c r="K37">
        <v>1</v>
      </c>
      <c r="L37">
        <v>2</v>
      </c>
      <c r="M37">
        <v>0</v>
      </c>
      <c r="N37">
        <v>6</v>
      </c>
      <c r="O37">
        <v>3</v>
      </c>
      <c r="P37">
        <v>2</v>
      </c>
      <c r="Q37">
        <v>3</v>
      </c>
      <c r="R37">
        <v>2</v>
      </c>
    </row>
    <row r="38" spans="1:18" customFormat="1" ht="14.25" customHeight="1" x14ac:dyDescent="0.35">
      <c r="A38">
        <v>109</v>
      </c>
      <c r="B38">
        <v>5</v>
      </c>
      <c r="C38">
        <v>1</v>
      </c>
      <c r="D38">
        <v>5</v>
      </c>
      <c r="E38">
        <v>1</v>
      </c>
      <c r="F38">
        <v>1</v>
      </c>
      <c r="G38">
        <v>1</v>
      </c>
      <c r="H38">
        <v>5</v>
      </c>
      <c r="I38">
        <v>2</v>
      </c>
      <c r="K38">
        <v>1</v>
      </c>
      <c r="N38">
        <v>6</v>
      </c>
      <c r="O38">
        <v>4</v>
      </c>
      <c r="P38">
        <v>2</v>
      </c>
      <c r="Q38">
        <v>3</v>
      </c>
      <c r="R38">
        <v>3</v>
      </c>
    </row>
    <row r="39" spans="1:18" customFormat="1" ht="14.25" customHeight="1" x14ac:dyDescent="0.35">
      <c r="A39">
        <v>120</v>
      </c>
      <c r="B39">
        <v>5</v>
      </c>
      <c r="C39">
        <v>1</v>
      </c>
      <c r="D39">
        <v>5</v>
      </c>
      <c r="E39">
        <v>1</v>
      </c>
      <c r="F39">
        <v>1</v>
      </c>
      <c r="G39">
        <v>5</v>
      </c>
      <c r="H39">
        <v>5</v>
      </c>
      <c r="I39">
        <v>2</v>
      </c>
      <c r="N39">
        <v>6</v>
      </c>
      <c r="O39">
        <v>4</v>
      </c>
      <c r="P39">
        <v>2</v>
      </c>
      <c r="Q39">
        <v>4</v>
      </c>
      <c r="R39">
        <v>1</v>
      </c>
    </row>
    <row r="40" spans="1:18" customFormat="1" ht="14.25" customHeight="1" x14ac:dyDescent="0.35">
      <c r="A40">
        <v>124</v>
      </c>
      <c r="B40">
        <v>5</v>
      </c>
      <c r="C40">
        <v>1</v>
      </c>
      <c r="D40">
        <v>5</v>
      </c>
      <c r="E40">
        <v>1</v>
      </c>
      <c r="F40">
        <v>1</v>
      </c>
      <c r="G40">
        <v>5</v>
      </c>
      <c r="H40">
        <v>5</v>
      </c>
      <c r="I40">
        <v>3</v>
      </c>
      <c r="J40">
        <v>2</v>
      </c>
      <c r="N40">
        <v>6</v>
      </c>
      <c r="O40">
        <v>4</v>
      </c>
      <c r="P40">
        <v>2</v>
      </c>
      <c r="Q40">
        <v>3</v>
      </c>
      <c r="R40">
        <v>2</v>
      </c>
    </row>
    <row r="41" spans="1:18" customFormat="1" ht="14.25" customHeight="1" x14ac:dyDescent="0.35">
      <c r="A41">
        <v>125</v>
      </c>
      <c r="B41">
        <v>4</v>
      </c>
      <c r="C41">
        <v>3</v>
      </c>
      <c r="D41">
        <v>5</v>
      </c>
      <c r="E41">
        <v>3</v>
      </c>
      <c r="F41">
        <v>1</v>
      </c>
      <c r="G41">
        <v>4</v>
      </c>
      <c r="H41">
        <v>4</v>
      </c>
      <c r="I41">
        <v>3</v>
      </c>
      <c r="K41">
        <v>1</v>
      </c>
      <c r="L41">
        <v>4</v>
      </c>
      <c r="M41">
        <v>20</v>
      </c>
      <c r="N41">
        <v>6</v>
      </c>
      <c r="O41">
        <v>4</v>
      </c>
      <c r="P41">
        <v>2</v>
      </c>
      <c r="Q41">
        <v>2</v>
      </c>
      <c r="R41">
        <v>3</v>
      </c>
    </row>
    <row r="42" spans="1:18" customFormat="1" ht="14.25" customHeight="1" x14ac:dyDescent="0.35">
      <c r="A42">
        <v>129</v>
      </c>
      <c r="B42">
        <v>1</v>
      </c>
      <c r="C42">
        <v>1</v>
      </c>
      <c r="D42">
        <v>4</v>
      </c>
      <c r="E42">
        <v>3</v>
      </c>
      <c r="F42">
        <v>1</v>
      </c>
      <c r="G42">
        <v>5</v>
      </c>
      <c r="H42">
        <v>3</v>
      </c>
      <c r="I42">
        <v>1</v>
      </c>
      <c r="N42">
        <v>6</v>
      </c>
      <c r="O42">
        <v>1</v>
      </c>
      <c r="P42">
        <v>1</v>
      </c>
      <c r="Q42">
        <v>1</v>
      </c>
      <c r="R42">
        <v>2</v>
      </c>
    </row>
    <row r="43" spans="1:18" customFormat="1" ht="14.25" customHeight="1" x14ac:dyDescent="0.35">
      <c r="A43">
        <v>133</v>
      </c>
      <c r="B43">
        <v>4</v>
      </c>
      <c r="C43">
        <v>2</v>
      </c>
      <c r="D43">
        <v>4</v>
      </c>
      <c r="E43">
        <v>2</v>
      </c>
      <c r="F43">
        <v>2</v>
      </c>
      <c r="G43">
        <v>3</v>
      </c>
      <c r="H43">
        <v>5</v>
      </c>
      <c r="I43">
        <v>2</v>
      </c>
      <c r="K43">
        <v>2</v>
      </c>
      <c r="L43">
        <v>3</v>
      </c>
      <c r="M43">
        <v>3</v>
      </c>
      <c r="N43">
        <v>6</v>
      </c>
      <c r="O43">
        <v>6</v>
      </c>
      <c r="P43">
        <v>2</v>
      </c>
      <c r="Q43">
        <v>4</v>
      </c>
      <c r="R43">
        <v>4</v>
      </c>
    </row>
    <row r="44" spans="1:18" customFormat="1" ht="14.25" customHeight="1" x14ac:dyDescent="0.35">
      <c r="A44">
        <v>134</v>
      </c>
      <c r="B44">
        <v>4</v>
      </c>
      <c r="C44">
        <v>1</v>
      </c>
      <c r="D44">
        <v>5</v>
      </c>
      <c r="E44">
        <v>2</v>
      </c>
      <c r="F44">
        <v>1</v>
      </c>
      <c r="G44">
        <v>5</v>
      </c>
      <c r="H44">
        <v>4</v>
      </c>
      <c r="I44">
        <v>2</v>
      </c>
      <c r="J44">
        <v>1</v>
      </c>
      <c r="K44">
        <v>2</v>
      </c>
      <c r="N44">
        <v>6</v>
      </c>
      <c r="O44">
        <v>6</v>
      </c>
      <c r="P44">
        <v>2</v>
      </c>
      <c r="Q44">
        <v>2</v>
      </c>
      <c r="R44">
        <v>2</v>
      </c>
    </row>
    <row r="45" spans="1:18" customFormat="1" ht="14.25" customHeight="1" x14ac:dyDescent="0.35">
      <c r="A45">
        <v>136</v>
      </c>
      <c r="B45">
        <v>4</v>
      </c>
      <c r="C45">
        <v>2</v>
      </c>
      <c r="D45">
        <v>4</v>
      </c>
      <c r="E45">
        <v>2</v>
      </c>
      <c r="F45">
        <v>1</v>
      </c>
      <c r="G45">
        <v>5</v>
      </c>
      <c r="H45">
        <v>4</v>
      </c>
      <c r="I45">
        <v>2</v>
      </c>
      <c r="J45">
        <v>2</v>
      </c>
      <c r="K45">
        <v>2</v>
      </c>
      <c r="L45">
        <v>2</v>
      </c>
      <c r="M45">
        <v>2</v>
      </c>
      <c r="N45">
        <v>6</v>
      </c>
      <c r="O45">
        <v>6</v>
      </c>
      <c r="P45">
        <v>2</v>
      </c>
      <c r="Q45">
        <v>3</v>
      </c>
      <c r="R45">
        <v>2</v>
      </c>
    </row>
    <row r="46" spans="1:18" customFormat="1" ht="14.25" customHeight="1" x14ac:dyDescent="0.35">
      <c r="A46">
        <v>138</v>
      </c>
      <c r="B46">
        <v>2</v>
      </c>
      <c r="C46">
        <v>1</v>
      </c>
      <c r="D46">
        <v>5</v>
      </c>
      <c r="E46">
        <v>1</v>
      </c>
      <c r="F46">
        <v>3</v>
      </c>
      <c r="G46">
        <v>5</v>
      </c>
      <c r="H46">
        <v>5</v>
      </c>
      <c r="I46">
        <v>2</v>
      </c>
      <c r="J46">
        <v>2</v>
      </c>
      <c r="N46">
        <v>6</v>
      </c>
      <c r="O46">
        <v>4</v>
      </c>
      <c r="P46">
        <v>3</v>
      </c>
      <c r="Q46">
        <v>3</v>
      </c>
      <c r="R46">
        <v>3</v>
      </c>
    </row>
    <row r="47" spans="1:18" customFormat="1" ht="14.25" customHeight="1" x14ac:dyDescent="0.35">
      <c r="A47">
        <v>139</v>
      </c>
      <c r="B47">
        <v>5</v>
      </c>
      <c r="C47">
        <v>1</v>
      </c>
      <c r="D47">
        <v>4</v>
      </c>
      <c r="E47">
        <v>3</v>
      </c>
      <c r="F47">
        <v>3</v>
      </c>
      <c r="G47">
        <v>3</v>
      </c>
      <c r="H47">
        <v>3</v>
      </c>
      <c r="I47">
        <v>2</v>
      </c>
      <c r="J47">
        <v>2</v>
      </c>
      <c r="K47">
        <v>2</v>
      </c>
      <c r="N47">
        <v>6</v>
      </c>
      <c r="O47">
        <v>6</v>
      </c>
      <c r="P47">
        <v>1</v>
      </c>
      <c r="Q47">
        <v>2</v>
      </c>
      <c r="R47">
        <v>2</v>
      </c>
    </row>
    <row r="48" spans="1:18" customFormat="1" ht="14.25" customHeight="1" x14ac:dyDescent="0.35">
      <c r="A48">
        <v>147</v>
      </c>
      <c r="B48">
        <v>5</v>
      </c>
      <c r="C48">
        <v>1</v>
      </c>
      <c r="D48">
        <v>5</v>
      </c>
      <c r="E48">
        <v>2</v>
      </c>
      <c r="F48">
        <v>5</v>
      </c>
      <c r="G48">
        <v>5</v>
      </c>
      <c r="H48">
        <v>5</v>
      </c>
      <c r="I48">
        <v>1</v>
      </c>
      <c r="K48">
        <v>2</v>
      </c>
      <c r="L48">
        <v>1</v>
      </c>
      <c r="M48">
        <v>0</v>
      </c>
      <c r="N48">
        <v>6</v>
      </c>
      <c r="O48">
        <v>4</v>
      </c>
      <c r="P48">
        <v>2</v>
      </c>
      <c r="Q48">
        <v>2</v>
      </c>
      <c r="R48">
        <v>2</v>
      </c>
    </row>
    <row r="49" spans="1:18" customFormat="1" ht="14.25" customHeight="1" x14ac:dyDescent="0.35">
      <c r="A49">
        <v>150</v>
      </c>
      <c r="B49">
        <v>5</v>
      </c>
      <c r="C49">
        <v>1</v>
      </c>
      <c r="D49">
        <v>5</v>
      </c>
      <c r="E49">
        <v>3</v>
      </c>
      <c r="F49">
        <v>1</v>
      </c>
      <c r="G49">
        <v>5</v>
      </c>
      <c r="H49">
        <v>5</v>
      </c>
      <c r="I49">
        <v>2</v>
      </c>
      <c r="N49">
        <v>6</v>
      </c>
      <c r="O49">
        <v>6</v>
      </c>
    </row>
    <row r="50" spans="1:18" customFormat="1" ht="14.25" customHeight="1" x14ac:dyDescent="0.35">
      <c r="A50">
        <v>152</v>
      </c>
      <c r="B50">
        <v>3</v>
      </c>
      <c r="C50">
        <v>2</v>
      </c>
      <c r="D50">
        <v>5</v>
      </c>
      <c r="E50">
        <v>2</v>
      </c>
      <c r="F50">
        <v>1</v>
      </c>
      <c r="G50">
        <v>5</v>
      </c>
      <c r="H50">
        <v>4</v>
      </c>
      <c r="I50">
        <v>1</v>
      </c>
      <c r="K50">
        <v>1</v>
      </c>
      <c r="L50">
        <v>1</v>
      </c>
      <c r="M50">
        <v>5</v>
      </c>
      <c r="N50">
        <v>6</v>
      </c>
      <c r="O50">
        <v>6</v>
      </c>
      <c r="P50">
        <v>1</v>
      </c>
      <c r="Q50">
        <v>1</v>
      </c>
      <c r="R50">
        <v>3</v>
      </c>
    </row>
    <row r="51" spans="1:18" customFormat="1" ht="14.25" customHeight="1" x14ac:dyDescent="0.35">
      <c r="A51">
        <v>153</v>
      </c>
      <c r="B51">
        <v>1</v>
      </c>
      <c r="C51">
        <v>3</v>
      </c>
      <c r="D51">
        <v>1</v>
      </c>
      <c r="E51">
        <v>2</v>
      </c>
      <c r="F51">
        <v>1</v>
      </c>
      <c r="G51">
        <v>4</v>
      </c>
      <c r="H51">
        <v>5</v>
      </c>
      <c r="I51">
        <v>1</v>
      </c>
      <c r="K51">
        <v>2</v>
      </c>
      <c r="N51">
        <v>6</v>
      </c>
      <c r="O51">
        <v>2</v>
      </c>
      <c r="P51">
        <v>1</v>
      </c>
      <c r="Q51">
        <v>1</v>
      </c>
      <c r="R51">
        <v>1</v>
      </c>
    </row>
    <row r="52" spans="1:18" customFormat="1" ht="14.25" customHeight="1" x14ac:dyDescent="0.35">
      <c r="A52">
        <v>158</v>
      </c>
      <c r="B52">
        <v>2</v>
      </c>
      <c r="C52">
        <v>3</v>
      </c>
      <c r="D52">
        <v>3</v>
      </c>
      <c r="E52">
        <v>3</v>
      </c>
      <c r="F52">
        <v>3</v>
      </c>
      <c r="G52">
        <v>2</v>
      </c>
      <c r="H52">
        <v>2</v>
      </c>
      <c r="I52">
        <v>2</v>
      </c>
      <c r="K52">
        <v>2</v>
      </c>
      <c r="L52">
        <v>2</v>
      </c>
      <c r="M52">
        <v>10</v>
      </c>
      <c r="N52">
        <v>6</v>
      </c>
      <c r="O52">
        <v>5</v>
      </c>
      <c r="P52">
        <v>4</v>
      </c>
      <c r="Q52">
        <v>4</v>
      </c>
      <c r="R52">
        <v>4</v>
      </c>
    </row>
    <row r="53" spans="1:18" customFormat="1" ht="14.25" customHeight="1" x14ac:dyDescent="0.35">
      <c r="A53">
        <v>159</v>
      </c>
      <c r="B53">
        <v>5</v>
      </c>
      <c r="C53">
        <v>1</v>
      </c>
      <c r="D53">
        <v>4</v>
      </c>
      <c r="E53">
        <v>1</v>
      </c>
      <c r="F53">
        <v>1</v>
      </c>
      <c r="G53">
        <v>4</v>
      </c>
      <c r="H53">
        <v>5</v>
      </c>
      <c r="I53">
        <v>1</v>
      </c>
      <c r="J53">
        <v>1</v>
      </c>
      <c r="K53">
        <v>1</v>
      </c>
      <c r="L53">
        <v>1</v>
      </c>
      <c r="M53">
        <v>0</v>
      </c>
      <c r="N53">
        <v>6</v>
      </c>
      <c r="O53">
        <v>4</v>
      </c>
      <c r="P53">
        <v>1</v>
      </c>
      <c r="Q53">
        <v>4</v>
      </c>
      <c r="R53">
        <v>2</v>
      </c>
    </row>
    <row r="54" spans="1:18" customFormat="1" ht="14.25" customHeight="1" x14ac:dyDescent="0.35">
      <c r="A54">
        <v>164</v>
      </c>
      <c r="B54">
        <v>5</v>
      </c>
      <c r="C54">
        <v>3</v>
      </c>
      <c r="D54">
        <v>5</v>
      </c>
      <c r="E54">
        <v>4</v>
      </c>
      <c r="F54">
        <v>2</v>
      </c>
      <c r="G54">
        <v>5</v>
      </c>
      <c r="H54">
        <v>4</v>
      </c>
      <c r="I54">
        <v>2</v>
      </c>
      <c r="N54">
        <v>6</v>
      </c>
      <c r="O54">
        <v>4</v>
      </c>
      <c r="P54">
        <v>1</v>
      </c>
      <c r="Q54">
        <v>3</v>
      </c>
      <c r="R54">
        <v>2</v>
      </c>
    </row>
    <row r="55" spans="1:18" customFormat="1" ht="14.25" customHeight="1" x14ac:dyDescent="0.35">
      <c r="A55">
        <v>168</v>
      </c>
      <c r="B55">
        <v>5</v>
      </c>
      <c r="C55">
        <v>1</v>
      </c>
      <c r="D55">
        <v>4</v>
      </c>
      <c r="E55">
        <v>3</v>
      </c>
      <c r="F55">
        <v>1</v>
      </c>
      <c r="G55">
        <v>5</v>
      </c>
      <c r="H55">
        <v>5</v>
      </c>
      <c r="I55">
        <v>2</v>
      </c>
      <c r="K55">
        <v>2</v>
      </c>
      <c r="L55">
        <v>1</v>
      </c>
      <c r="M55">
        <v>10</v>
      </c>
      <c r="N55">
        <v>6</v>
      </c>
      <c r="O55">
        <v>4</v>
      </c>
      <c r="P55">
        <v>2</v>
      </c>
      <c r="Q55">
        <v>3</v>
      </c>
      <c r="R55">
        <v>3</v>
      </c>
    </row>
    <row r="56" spans="1:18" customFormat="1" ht="14.25" customHeight="1" x14ac:dyDescent="0.35">
      <c r="A56">
        <v>169</v>
      </c>
      <c r="B56">
        <v>3</v>
      </c>
      <c r="C56">
        <v>3</v>
      </c>
      <c r="D56">
        <v>4</v>
      </c>
      <c r="E56">
        <v>3</v>
      </c>
      <c r="F56">
        <v>5</v>
      </c>
      <c r="G56">
        <v>4</v>
      </c>
      <c r="H56">
        <v>3</v>
      </c>
      <c r="I56">
        <v>3</v>
      </c>
      <c r="N56">
        <v>6</v>
      </c>
      <c r="O56">
        <v>4</v>
      </c>
      <c r="P56">
        <v>2</v>
      </c>
      <c r="Q56">
        <v>2</v>
      </c>
      <c r="R56">
        <v>2</v>
      </c>
    </row>
    <row r="57" spans="1:18" customFormat="1" ht="14.25" customHeight="1" x14ac:dyDescent="0.35">
      <c r="A57">
        <v>174</v>
      </c>
      <c r="B57">
        <v>4</v>
      </c>
      <c r="C57">
        <v>2</v>
      </c>
      <c r="D57">
        <v>4</v>
      </c>
      <c r="E57">
        <v>2</v>
      </c>
      <c r="F57">
        <v>2</v>
      </c>
      <c r="G57">
        <v>4</v>
      </c>
      <c r="H57">
        <v>4</v>
      </c>
      <c r="I57">
        <v>3</v>
      </c>
      <c r="K57">
        <v>1</v>
      </c>
      <c r="L57">
        <v>1</v>
      </c>
      <c r="M57">
        <v>10</v>
      </c>
      <c r="N57">
        <v>6</v>
      </c>
      <c r="O57">
        <v>6</v>
      </c>
      <c r="P57">
        <v>1</v>
      </c>
      <c r="Q57">
        <v>2</v>
      </c>
      <c r="R57">
        <v>2</v>
      </c>
    </row>
    <row r="58" spans="1:18" customFormat="1" ht="14.25" customHeight="1" x14ac:dyDescent="0.35">
      <c r="A58">
        <v>175</v>
      </c>
      <c r="B58">
        <v>5</v>
      </c>
      <c r="C58">
        <v>1</v>
      </c>
      <c r="D58">
        <v>3</v>
      </c>
      <c r="E58">
        <v>2</v>
      </c>
      <c r="F58">
        <v>1</v>
      </c>
      <c r="G58">
        <v>5</v>
      </c>
      <c r="H58">
        <v>5</v>
      </c>
      <c r="I58">
        <v>3</v>
      </c>
      <c r="J58">
        <v>1</v>
      </c>
      <c r="K58">
        <v>2</v>
      </c>
      <c r="N58">
        <v>6</v>
      </c>
      <c r="O58">
        <v>4</v>
      </c>
      <c r="P58">
        <v>1</v>
      </c>
      <c r="Q58">
        <v>4</v>
      </c>
      <c r="R58">
        <v>2</v>
      </c>
    </row>
    <row r="59" spans="1:18" customFormat="1" ht="14.25" customHeight="1" x14ac:dyDescent="0.35">
      <c r="A59">
        <v>180</v>
      </c>
      <c r="B59">
        <v>1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3</v>
      </c>
      <c r="J59">
        <v>2</v>
      </c>
      <c r="K59">
        <v>4</v>
      </c>
      <c r="L59">
        <v>1</v>
      </c>
      <c r="M59">
        <v>0</v>
      </c>
      <c r="N59">
        <v>6</v>
      </c>
      <c r="O59">
        <v>4</v>
      </c>
      <c r="P59">
        <v>2</v>
      </c>
      <c r="Q59">
        <v>2</v>
      </c>
      <c r="R59">
        <v>2</v>
      </c>
    </row>
    <row r="60" spans="1:18" customFormat="1" ht="14.25" customHeight="1" x14ac:dyDescent="0.35">
      <c r="A60">
        <v>182</v>
      </c>
      <c r="B60">
        <v>3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2</v>
      </c>
      <c r="K60">
        <v>2</v>
      </c>
      <c r="L60">
        <v>2</v>
      </c>
      <c r="M60">
        <v>0</v>
      </c>
      <c r="N60">
        <v>6</v>
      </c>
      <c r="O60">
        <v>6</v>
      </c>
      <c r="P60">
        <v>3</v>
      </c>
      <c r="Q60">
        <v>3</v>
      </c>
      <c r="R60">
        <v>3</v>
      </c>
    </row>
    <row r="61" spans="1:18" customFormat="1" ht="14.25" customHeight="1" x14ac:dyDescent="0.35">
      <c r="A61">
        <v>183</v>
      </c>
      <c r="B61">
        <v>5</v>
      </c>
      <c r="C61">
        <v>5</v>
      </c>
      <c r="D61">
        <v>4</v>
      </c>
      <c r="E61">
        <v>4</v>
      </c>
      <c r="F61">
        <v>4</v>
      </c>
      <c r="G61">
        <v>5</v>
      </c>
      <c r="H61">
        <v>5</v>
      </c>
      <c r="I61">
        <v>2</v>
      </c>
      <c r="J61">
        <v>3</v>
      </c>
      <c r="K61">
        <v>2</v>
      </c>
      <c r="L61">
        <v>2</v>
      </c>
      <c r="M61">
        <v>0</v>
      </c>
      <c r="N61">
        <v>6</v>
      </c>
      <c r="O61">
        <v>6</v>
      </c>
      <c r="P61">
        <v>1</v>
      </c>
      <c r="Q61">
        <v>1</v>
      </c>
      <c r="R61">
        <v>1</v>
      </c>
    </row>
    <row r="62" spans="1:18" customFormat="1" ht="14.25" customHeight="1" x14ac:dyDescent="0.35">
      <c r="A62">
        <v>184</v>
      </c>
      <c r="B62">
        <v>5</v>
      </c>
      <c r="C62">
        <v>1</v>
      </c>
      <c r="D62">
        <v>4</v>
      </c>
      <c r="E62">
        <v>2</v>
      </c>
      <c r="F62">
        <v>5</v>
      </c>
      <c r="G62">
        <v>5</v>
      </c>
      <c r="H62">
        <v>5</v>
      </c>
      <c r="I62">
        <v>2</v>
      </c>
      <c r="K62">
        <v>3</v>
      </c>
      <c r="N62">
        <v>5</v>
      </c>
      <c r="O62">
        <v>1</v>
      </c>
      <c r="P62">
        <v>1</v>
      </c>
      <c r="Q62">
        <v>2</v>
      </c>
      <c r="R62">
        <v>1</v>
      </c>
    </row>
    <row r="63" spans="1:18" customFormat="1" ht="14.25" customHeight="1" x14ac:dyDescent="0.35">
      <c r="A63">
        <v>186</v>
      </c>
      <c r="B63">
        <v>1</v>
      </c>
      <c r="C63">
        <v>1</v>
      </c>
      <c r="D63">
        <v>1</v>
      </c>
      <c r="E63">
        <v>1</v>
      </c>
      <c r="F63">
        <v>1</v>
      </c>
      <c r="G63">
        <v>5</v>
      </c>
      <c r="H63">
        <v>5</v>
      </c>
      <c r="I63">
        <v>2</v>
      </c>
      <c r="N63">
        <v>6</v>
      </c>
      <c r="O63">
        <v>5</v>
      </c>
      <c r="P63">
        <v>1</v>
      </c>
      <c r="Q63">
        <v>1</v>
      </c>
      <c r="R63">
        <v>2</v>
      </c>
    </row>
    <row r="64" spans="1:18" customFormat="1" ht="14.25" customHeight="1" x14ac:dyDescent="0.35">
      <c r="A64">
        <v>187</v>
      </c>
      <c r="B64">
        <v>5</v>
      </c>
      <c r="C64">
        <v>1</v>
      </c>
      <c r="D64">
        <v>1</v>
      </c>
      <c r="E64">
        <v>1</v>
      </c>
      <c r="F64">
        <v>1</v>
      </c>
      <c r="G64">
        <v>5</v>
      </c>
      <c r="H64">
        <v>5</v>
      </c>
      <c r="I64">
        <v>2</v>
      </c>
      <c r="N64">
        <v>6</v>
      </c>
      <c r="O64">
        <v>2</v>
      </c>
      <c r="P64">
        <v>1</v>
      </c>
      <c r="Q64">
        <v>3</v>
      </c>
      <c r="R64">
        <v>1</v>
      </c>
    </row>
    <row r="65" spans="1:18" customFormat="1" ht="14.25" customHeight="1" x14ac:dyDescent="0.35">
      <c r="A65">
        <v>191</v>
      </c>
      <c r="B65">
        <v>5</v>
      </c>
      <c r="C65">
        <v>5</v>
      </c>
      <c r="D65">
        <v>5</v>
      </c>
      <c r="E65">
        <v>1</v>
      </c>
      <c r="F65">
        <v>1</v>
      </c>
      <c r="G65">
        <v>5</v>
      </c>
      <c r="H65">
        <v>5</v>
      </c>
      <c r="I65">
        <v>2</v>
      </c>
      <c r="K65">
        <v>1</v>
      </c>
      <c r="L65">
        <v>4</v>
      </c>
      <c r="M65">
        <v>2</v>
      </c>
      <c r="N65">
        <v>6</v>
      </c>
      <c r="O65">
        <v>3</v>
      </c>
      <c r="P65">
        <v>1</v>
      </c>
      <c r="Q65">
        <v>3</v>
      </c>
      <c r="R65">
        <v>1</v>
      </c>
    </row>
    <row r="66" spans="1:18" customFormat="1" ht="14.25" customHeight="1" x14ac:dyDescent="0.35">
      <c r="A66">
        <v>192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N66">
        <v>6</v>
      </c>
      <c r="O66">
        <v>6</v>
      </c>
      <c r="P66">
        <v>3</v>
      </c>
      <c r="Q66">
        <v>1</v>
      </c>
      <c r="R66">
        <v>3</v>
      </c>
    </row>
    <row r="67" spans="1:18" customFormat="1" ht="14.25" customHeight="1" x14ac:dyDescent="0.35">
      <c r="A67">
        <v>200</v>
      </c>
      <c r="B67">
        <v>4</v>
      </c>
      <c r="C67">
        <v>3</v>
      </c>
      <c r="D67">
        <v>4</v>
      </c>
      <c r="E67">
        <v>2</v>
      </c>
      <c r="F67">
        <v>2</v>
      </c>
      <c r="G67">
        <v>4</v>
      </c>
      <c r="H67">
        <v>4</v>
      </c>
      <c r="I67">
        <v>2</v>
      </c>
      <c r="J67">
        <v>1</v>
      </c>
      <c r="N67">
        <v>6</v>
      </c>
      <c r="P67">
        <v>2</v>
      </c>
      <c r="Q67">
        <v>1</v>
      </c>
      <c r="R67">
        <v>3</v>
      </c>
    </row>
    <row r="68" spans="1:18" customFormat="1" ht="14.25" customHeight="1" x14ac:dyDescent="0.35">
      <c r="A68">
        <v>202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2</v>
      </c>
      <c r="J68">
        <v>2</v>
      </c>
      <c r="K68">
        <v>2</v>
      </c>
      <c r="L68">
        <v>3</v>
      </c>
      <c r="M68">
        <v>0</v>
      </c>
      <c r="N68">
        <v>4</v>
      </c>
      <c r="O68">
        <v>5</v>
      </c>
      <c r="P68">
        <v>3</v>
      </c>
      <c r="Q68">
        <v>3</v>
      </c>
      <c r="R68">
        <v>3</v>
      </c>
    </row>
    <row r="69" spans="1:18" customFormat="1" ht="14.25" customHeight="1" x14ac:dyDescent="0.35">
      <c r="A69">
        <v>207</v>
      </c>
      <c r="B69">
        <v>3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2</v>
      </c>
      <c r="K69">
        <v>4</v>
      </c>
      <c r="L69">
        <v>2</v>
      </c>
      <c r="M69">
        <v>0</v>
      </c>
      <c r="N69">
        <v>6</v>
      </c>
      <c r="O69">
        <v>6</v>
      </c>
      <c r="P69">
        <v>2</v>
      </c>
      <c r="Q69">
        <v>3</v>
      </c>
      <c r="R69">
        <v>3</v>
      </c>
    </row>
    <row r="70" spans="1:18" customFormat="1" ht="14.25" customHeight="1" x14ac:dyDescent="0.35">
      <c r="A70">
        <v>208</v>
      </c>
      <c r="B70">
        <v>3</v>
      </c>
      <c r="C70">
        <v>3</v>
      </c>
      <c r="D70">
        <v>4</v>
      </c>
      <c r="E70">
        <v>3</v>
      </c>
      <c r="F70">
        <v>4</v>
      </c>
      <c r="G70">
        <v>4</v>
      </c>
      <c r="H70">
        <v>4</v>
      </c>
      <c r="I70">
        <v>3</v>
      </c>
      <c r="N70">
        <v>6</v>
      </c>
      <c r="O70">
        <v>6</v>
      </c>
      <c r="P70">
        <v>3</v>
      </c>
      <c r="Q70">
        <v>4</v>
      </c>
      <c r="R70">
        <v>3</v>
      </c>
    </row>
    <row r="71" spans="1:18" customFormat="1" ht="14.25" customHeight="1" x14ac:dyDescent="0.35">
      <c r="A71">
        <v>212</v>
      </c>
      <c r="B71">
        <v>5</v>
      </c>
      <c r="C71">
        <v>1</v>
      </c>
      <c r="D71">
        <v>2</v>
      </c>
      <c r="E71">
        <v>1</v>
      </c>
      <c r="F71">
        <v>1</v>
      </c>
      <c r="G71">
        <v>5</v>
      </c>
      <c r="H71">
        <v>5</v>
      </c>
      <c r="I71">
        <v>2</v>
      </c>
      <c r="K71">
        <v>2</v>
      </c>
      <c r="L71">
        <v>4</v>
      </c>
      <c r="M71">
        <v>0</v>
      </c>
      <c r="N71">
        <v>6</v>
      </c>
      <c r="O71">
        <v>4</v>
      </c>
      <c r="P71">
        <v>2</v>
      </c>
      <c r="Q71">
        <v>4</v>
      </c>
      <c r="R71">
        <v>3</v>
      </c>
    </row>
    <row r="72" spans="1:18" customFormat="1" ht="14.25" customHeight="1" x14ac:dyDescent="0.35">
      <c r="A72">
        <v>213</v>
      </c>
      <c r="B72">
        <v>4</v>
      </c>
      <c r="C72">
        <v>3</v>
      </c>
      <c r="D72">
        <v>3</v>
      </c>
      <c r="E72">
        <v>3</v>
      </c>
      <c r="F72">
        <v>4</v>
      </c>
      <c r="G72">
        <v>4</v>
      </c>
      <c r="H72">
        <v>4</v>
      </c>
      <c r="I72">
        <v>2</v>
      </c>
      <c r="N72">
        <v>6</v>
      </c>
      <c r="O72">
        <v>6</v>
      </c>
      <c r="P72">
        <v>3</v>
      </c>
      <c r="Q72">
        <v>1</v>
      </c>
      <c r="R72">
        <v>3</v>
      </c>
    </row>
    <row r="73" spans="1:18" customFormat="1" ht="14.25" customHeight="1" x14ac:dyDescent="0.35">
      <c r="A73">
        <v>220</v>
      </c>
      <c r="B73">
        <v>4</v>
      </c>
      <c r="C73">
        <v>3</v>
      </c>
      <c r="D73">
        <v>3</v>
      </c>
      <c r="E73">
        <v>2</v>
      </c>
      <c r="F73">
        <v>2</v>
      </c>
      <c r="G73">
        <v>3</v>
      </c>
      <c r="H73">
        <v>3</v>
      </c>
      <c r="I73">
        <v>1</v>
      </c>
      <c r="J73">
        <v>1</v>
      </c>
      <c r="K73">
        <v>2</v>
      </c>
      <c r="L73">
        <v>4</v>
      </c>
      <c r="M73">
        <v>0</v>
      </c>
      <c r="N73">
        <v>6</v>
      </c>
      <c r="O73">
        <v>6</v>
      </c>
      <c r="P73">
        <v>2</v>
      </c>
      <c r="Q73">
        <v>2</v>
      </c>
      <c r="R73">
        <v>2</v>
      </c>
    </row>
    <row r="74" spans="1:18" customFormat="1" ht="14.25" customHeight="1" x14ac:dyDescent="0.35">
      <c r="A74">
        <v>227</v>
      </c>
      <c r="B74">
        <v>4</v>
      </c>
      <c r="C74">
        <v>4</v>
      </c>
      <c r="D74">
        <v>5</v>
      </c>
      <c r="E74">
        <v>4</v>
      </c>
      <c r="F74">
        <v>5</v>
      </c>
      <c r="G74">
        <v>5</v>
      </c>
      <c r="H74">
        <v>3</v>
      </c>
      <c r="I74">
        <v>2</v>
      </c>
      <c r="J74">
        <v>2</v>
      </c>
      <c r="K74">
        <v>2</v>
      </c>
      <c r="L74">
        <v>2</v>
      </c>
      <c r="M74">
        <v>0</v>
      </c>
      <c r="N74">
        <v>6</v>
      </c>
      <c r="O74">
        <v>4</v>
      </c>
      <c r="P74">
        <v>1</v>
      </c>
      <c r="Q74">
        <v>2</v>
      </c>
      <c r="R74">
        <v>2</v>
      </c>
    </row>
    <row r="75" spans="1:18" customFormat="1" ht="14.25" customHeight="1" x14ac:dyDescent="0.35">
      <c r="A75">
        <v>228</v>
      </c>
      <c r="B75">
        <v>4</v>
      </c>
      <c r="C75">
        <v>2</v>
      </c>
      <c r="D75">
        <v>4</v>
      </c>
      <c r="E75">
        <v>2</v>
      </c>
      <c r="F75">
        <v>4</v>
      </c>
      <c r="G75">
        <v>3</v>
      </c>
      <c r="H75">
        <v>3</v>
      </c>
      <c r="I75">
        <v>2</v>
      </c>
      <c r="J75">
        <v>1</v>
      </c>
      <c r="K75">
        <v>2</v>
      </c>
      <c r="L75">
        <v>2</v>
      </c>
      <c r="M75">
        <v>15</v>
      </c>
      <c r="N75">
        <v>5</v>
      </c>
      <c r="O75">
        <v>5</v>
      </c>
      <c r="P75">
        <v>2</v>
      </c>
      <c r="Q75">
        <v>3</v>
      </c>
      <c r="R75">
        <v>2</v>
      </c>
    </row>
    <row r="76" spans="1:18" customFormat="1" ht="14.25" customHeight="1" x14ac:dyDescent="0.35">
      <c r="A76">
        <v>235</v>
      </c>
      <c r="B76">
        <v>5</v>
      </c>
      <c r="C76">
        <v>3</v>
      </c>
      <c r="D76">
        <v>4</v>
      </c>
      <c r="E76">
        <v>2</v>
      </c>
      <c r="F76">
        <v>2</v>
      </c>
      <c r="G76">
        <v>5</v>
      </c>
      <c r="H76">
        <v>4</v>
      </c>
      <c r="I76">
        <v>2</v>
      </c>
      <c r="J76">
        <v>2</v>
      </c>
      <c r="K76">
        <v>1</v>
      </c>
      <c r="L76">
        <v>3</v>
      </c>
      <c r="M76">
        <v>1</v>
      </c>
      <c r="N76">
        <v>6</v>
      </c>
      <c r="O76">
        <v>3</v>
      </c>
      <c r="P76">
        <v>2</v>
      </c>
      <c r="Q76">
        <v>4</v>
      </c>
      <c r="R76">
        <v>2</v>
      </c>
    </row>
    <row r="77" spans="1:18" customFormat="1" ht="14.25" customHeight="1" x14ac:dyDescent="0.35">
      <c r="A77">
        <v>239</v>
      </c>
      <c r="B77">
        <v>3</v>
      </c>
      <c r="C77">
        <v>3</v>
      </c>
      <c r="D77">
        <v>4</v>
      </c>
      <c r="E77">
        <v>3</v>
      </c>
      <c r="F77">
        <v>1</v>
      </c>
      <c r="G77">
        <v>4</v>
      </c>
      <c r="H77">
        <v>3</v>
      </c>
      <c r="I77">
        <v>3</v>
      </c>
      <c r="J77">
        <v>2</v>
      </c>
      <c r="K77">
        <v>2</v>
      </c>
      <c r="L77">
        <v>2</v>
      </c>
      <c r="M77">
        <v>0</v>
      </c>
      <c r="N77">
        <v>6</v>
      </c>
      <c r="O77">
        <v>5</v>
      </c>
      <c r="P77">
        <v>2</v>
      </c>
      <c r="Q77">
        <v>2</v>
      </c>
      <c r="R77">
        <v>1</v>
      </c>
    </row>
    <row r="78" spans="1:18" customFormat="1" ht="14.25" customHeight="1" x14ac:dyDescent="0.35">
      <c r="A78">
        <v>241</v>
      </c>
      <c r="B78">
        <v>3</v>
      </c>
      <c r="C78">
        <v>3</v>
      </c>
      <c r="D78">
        <v>3</v>
      </c>
      <c r="E78">
        <v>5</v>
      </c>
      <c r="F78">
        <v>3</v>
      </c>
      <c r="G78">
        <v>3</v>
      </c>
      <c r="H78">
        <v>3</v>
      </c>
      <c r="I78">
        <v>2</v>
      </c>
      <c r="K78">
        <v>2</v>
      </c>
      <c r="L78">
        <v>4</v>
      </c>
      <c r="M78">
        <v>0</v>
      </c>
      <c r="N78">
        <v>5</v>
      </c>
      <c r="O78">
        <v>1</v>
      </c>
      <c r="P78">
        <v>1</v>
      </c>
      <c r="Q78">
        <v>1</v>
      </c>
      <c r="R78">
        <v>2</v>
      </c>
    </row>
    <row r="79" spans="1:18" customFormat="1" ht="14.25" customHeight="1" x14ac:dyDescent="0.35">
      <c r="A79">
        <v>243</v>
      </c>
      <c r="B79">
        <v>4</v>
      </c>
      <c r="C79">
        <v>4</v>
      </c>
      <c r="D79">
        <v>5</v>
      </c>
      <c r="E79">
        <v>3</v>
      </c>
      <c r="F79">
        <v>1</v>
      </c>
      <c r="G79">
        <v>4</v>
      </c>
      <c r="H79">
        <v>2</v>
      </c>
      <c r="I79">
        <v>2</v>
      </c>
      <c r="K79">
        <v>3</v>
      </c>
      <c r="L79">
        <v>2</v>
      </c>
      <c r="M79">
        <v>0</v>
      </c>
      <c r="N79">
        <v>6</v>
      </c>
      <c r="O79">
        <v>4</v>
      </c>
      <c r="P79">
        <v>2</v>
      </c>
      <c r="Q79">
        <v>2</v>
      </c>
      <c r="R79">
        <v>2</v>
      </c>
    </row>
    <row r="80" spans="1:18" customFormat="1" ht="14.25" customHeight="1" x14ac:dyDescent="0.35">
      <c r="A80">
        <v>246</v>
      </c>
      <c r="B80">
        <v>4</v>
      </c>
      <c r="C80">
        <v>3</v>
      </c>
      <c r="D80">
        <v>4</v>
      </c>
      <c r="E80">
        <v>2</v>
      </c>
      <c r="F80">
        <v>1</v>
      </c>
      <c r="G80">
        <v>4</v>
      </c>
      <c r="H80">
        <v>4</v>
      </c>
      <c r="I80">
        <v>2</v>
      </c>
      <c r="J80">
        <v>1</v>
      </c>
      <c r="K80">
        <v>1</v>
      </c>
      <c r="L80">
        <v>3</v>
      </c>
      <c r="M80">
        <v>0</v>
      </c>
      <c r="N80">
        <v>4</v>
      </c>
      <c r="O80">
        <v>3</v>
      </c>
      <c r="P80">
        <v>2</v>
      </c>
      <c r="Q80">
        <v>4</v>
      </c>
      <c r="R80">
        <v>2</v>
      </c>
    </row>
    <row r="81" spans="1:18" customFormat="1" ht="14.25" customHeight="1" x14ac:dyDescent="0.35">
      <c r="A81">
        <v>248</v>
      </c>
      <c r="B81">
        <v>4</v>
      </c>
      <c r="C81">
        <v>2</v>
      </c>
      <c r="D81">
        <v>1</v>
      </c>
      <c r="E81">
        <v>3</v>
      </c>
      <c r="F81">
        <v>1</v>
      </c>
      <c r="G81">
        <v>4</v>
      </c>
      <c r="H81">
        <v>5</v>
      </c>
      <c r="I81">
        <v>1</v>
      </c>
      <c r="N81">
        <v>5</v>
      </c>
      <c r="O81">
        <v>4</v>
      </c>
      <c r="P81">
        <v>2</v>
      </c>
      <c r="Q81">
        <v>2</v>
      </c>
      <c r="R81">
        <v>1</v>
      </c>
    </row>
    <row r="82" spans="1:18" customFormat="1" ht="14.25" customHeight="1" x14ac:dyDescent="0.35">
      <c r="A82">
        <v>249</v>
      </c>
      <c r="B82">
        <v>4</v>
      </c>
      <c r="C82">
        <v>1</v>
      </c>
      <c r="D82">
        <v>5</v>
      </c>
      <c r="E82">
        <v>1</v>
      </c>
      <c r="F82">
        <v>1</v>
      </c>
      <c r="G82">
        <v>5</v>
      </c>
      <c r="H82">
        <v>3</v>
      </c>
      <c r="I82">
        <v>2</v>
      </c>
      <c r="K82">
        <v>2</v>
      </c>
      <c r="L82">
        <v>5</v>
      </c>
      <c r="M82">
        <v>25</v>
      </c>
      <c r="N82">
        <v>6</v>
      </c>
      <c r="O82">
        <v>4</v>
      </c>
      <c r="P82">
        <v>1</v>
      </c>
      <c r="Q82">
        <v>4</v>
      </c>
      <c r="R82">
        <v>1</v>
      </c>
    </row>
    <row r="83" spans="1:18" customFormat="1" ht="14.25" customHeight="1" x14ac:dyDescent="0.35">
      <c r="A83">
        <v>252</v>
      </c>
      <c r="B83">
        <v>5</v>
      </c>
      <c r="C83">
        <v>1</v>
      </c>
      <c r="D83">
        <v>5</v>
      </c>
      <c r="E83">
        <v>1</v>
      </c>
      <c r="F83">
        <v>1</v>
      </c>
      <c r="G83">
        <v>5</v>
      </c>
      <c r="H83">
        <v>5</v>
      </c>
      <c r="I83">
        <v>2</v>
      </c>
      <c r="J83">
        <v>2</v>
      </c>
      <c r="K83">
        <v>1</v>
      </c>
      <c r="L83">
        <v>1</v>
      </c>
      <c r="M83">
        <v>0</v>
      </c>
      <c r="N83">
        <v>6</v>
      </c>
      <c r="O83">
        <v>5</v>
      </c>
      <c r="P83">
        <v>1</v>
      </c>
      <c r="Q83">
        <v>2</v>
      </c>
      <c r="R83">
        <v>1</v>
      </c>
    </row>
    <row r="84" spans="1:18" customFormat="1" ht="14.25" customHeight="1" x14ac:dyDescent="0.35">
      <c r="A84">
        <v>256</v>
      </c>
      <c r="B84">
        <v>5</v>
      </c>
      <c r="C84">
        <v>1</v>
      </c>
      <c r="D84">
        <v>5</v>
      </c>
      <c r="E84">
        <v>1</v>
      </c>
      <c r="F84">
        <v>1</v>
      </c>
      <c r="G84">
        <v>5</v>
      </c>
      <c r="H84">
        <v>5</v>
      </c>
      <c r="I84">
        <v>1</v>
      </c>
      <c r="K84">
        <v>1</v>
      </c>
      <c r="L84">
        <v>3</v>
      </c>
      <c r="M84">
        <v>2</v>
      </c>
      <c r="N84">
        <v>6</v>
      </c>
      <c r="O84">
        <v>3</v>
      </c>
      <c r="P84">
        <v>2</v>
      </c>
      <c r="Q84">
        <v>2</v>
      </c>
      <c r="R84">
        <v>1</v>
      </c>
    </row>
    <row r="85" spans="1:18" customFormat="1" ht="14.25" customHeight="1" x14ac:dyDescent="0.35">
      <c r="A85">
        <v>259</v>
      </c>
      <c r="B85">
        <v>5</v>
      </c>
      <c r="C85">
        <v>3</v>
      </c>
      <c r="D85">
        <v>5</v>
      </c>
      <c r="E85">
        <v>5</v>
      </c>
      <c r="F85">
        <v>3</v>
      </c>
      <c r="G85">
        <v>5</v>
      </c>
      <c r="H85">
        <v>5</v>
      </c>
      <c r="I85">
        <v>2</v>
      </c>
      <c r="K85">
        <v>1</v>
      </c>
      <c r="L85">
        <v>3</v>
      </c>
      <c r="M85">
        <v>0</v>
      </c>
      <c r="N85">
        <v>6</v>
      </c>
      <c r="O85">
        <v>2</v>
      </c>
      <c r="P85">
        <v>1</v>
      </c>
      <c r="Q85">
        <v>2</v>
      </c>
      <c r="R85">
        <v>3</v>
      </c>
    </row>
    <row r="86" spans="1:18" customFormat="1" ht="14.25" customHeight="1" x14ac:dyDescent="0.35">
      <c r="A86">
        <v>260</v>
      </c>
      <c r="B86">
        <v>5</v>
      </c>
      <c r="C86">
        <v>3</v>
      </c>
      <c r="D86">
        <v>5</v>
      </c>
      <c r="E86">
        <v>4</v>
      </c>
      <c r="F86">
        <v>1</v>
      </c>
      <c r="G86">
        <v>5</v>
      </c>
      <c r="H86">
        <v>5</v>
      </c>
      <c r="I86">
        <v>2</v>
      </c>
      <c r="L86">
        <v>1</v>
      </c>
      <c r="M86">
        <v>20</v>
      </c>
      <c r="N86">
        <v>6</v>
      </c>
      <c r="O86">
        <v>3</v>
      </c>
      <c r="P86">
        <v>2</v>
      </c>
      <c r="Q86">
        <v>3</v>
      </c>
      <c r="R86">
        <v>1</v>
      </c>
    </row>
    <row r="87" spans="1:18" customFormat="1" ht="14.25" customHeight="1" x14ac:dyDescent="0.35">
      <c r="A87">
        <v>266</v>
      </c>
      <c r="B87">
        <v>5</v>
      </c>
      <c r="C87">
        <v>1</v>
      </c>
      <c r="D87">
        <v>4</v>
      </c>
      <c r="E87">
        <v>1</v>
      </c>
      <c r="F87">
        <v>1</v>
      </c>
      <c r="G87">
        <v>5</v>
      </c>
      <c r="H87">
        <v>5</v>
      </c>
      <c r="I87">
        <v>2</v>
      </c>
      <c r="N87">
        <v>6</v>
      </c>
      <c r="O87">
        <v>3</v>
      </c>
      <c r="P87">
        <v>1</v>
      </c>
      <c r="Q87">
        <v>3</v>
      </c>
      <c r="R87">
        <v>1</v>
      </c>
    </row>
    <row r="88" spans="1:18" customFormat="1" ht="14.25" customHeight="1" x14ac:dyDescent="0.35">
      <c r="A88">
        <v>272</v>
      </c>
      <c r="B88">
        <v>4</v>
      </c>
      <c r="C88">
        <v>3</v>
      </c>
      <c r="D88">
        <v>5</v>
      </c>
      <c r="E88">
        <v>2</v>
      </c>
      <c r="F88">
        <v>1</v>
      </c>
      <c r="G88">
        <v>3</v>
      </c>
      <c r="H88">
        <v>5</v>
      </c>
      <c r="I88">
        <v>2</v>
      </c>
      <c r="K88">
        <v>2</v>
      </c>
      <c r="N88">
        <v>6</v>
      </c>
      <c r="O88">
        <v>5</v>
      </c>
      <c r="P88">
        <v>2</v>
      </c>
      <c r="Q88">
        <v>3</v>
      </c>
      <c r="R88">
        <v>1</v>
      </c>
    </row>
    <row r="89" spans="1:18" customFormat="1" ht="14.25" customHeight="1" x14ac:dyDescent="0.35">
      <c r="A89">
        <v>279</v>
      </c>
      <c r="B89">
        <v>5</v>
      </c>
      <c r="C89">
        <v>4</v>
      </c>
      <c r="D89">
        <v>5</v>
      </c>
      <c r="E89">
        <v>1</v>
      </c>
      <c r="F89">
        <v>1</v>
      </c>
      <c r="G89">
        <v>5</v>
      </c>
      <c r="H89">
        <v>5</v>
      </c>
      <c r="I89">
        <v>2</v>
      </c>
      <c r="J89">
        <v>1</v>
      </c>
      <c r="K89">
        <v>1</v>
      </c>
      <c r="L89">
        <v>3</v>
      </c>
      <c r="M89">
        <v>0</v>
      </c>
      <c r="N89">
        <v>6</v>
      </c>
      <c r="O89">
        <v>4</v>
      </c>
      <c r="P89">
        <v>2</v>
      </c>
      <c r="Q89">
        <v>3</v>
      </c>
      <c r="R89">
        <v>2</v>
      </c>
    </row>
    <row r="90" spans="1:18" customFormat="1" ht="14.25" customHeight="1" x14ac:dyDescent="0.35">
      <c r="A90">
        <v>287</v>
      </c>
      <c r="B90">
        <v>3</v>
      </c>
      <c r="C90">
        <v>3</v>
      </c>
      <c r="D90">
        <v>4</v>
      </c>
      <c r="E90">
        <v>2</v>
      </c>
      <c r="F90">
        <v>2</v>
      </c>
      <c r="G90">
        <v>3</v>
      </c>
      <c r="H90">
        <v>2</v>
      </c>
      <c r="I90">
        <v>1</v>
      </c>
      <c r="J90">
        <v>1</v>
      </c>
      <c r="K90">
        <v>1</v>
      </c>
      <c r="L90">
        <v>2</v>
      </c>
      <c r="M90">
        <v>2</v>
      </c>
      <c r="N90">
        <v>6</v>
      </c>
      <c r="O90">
        <v>6</v>
      </c>
      <c r="P90">
        <v>2</v>
      </c>
      <c r="Q90">
        <v>2</v>
      </c>
      <c r="R90">
        <v>3</v>
      </c>
    </row>
    <row r="91" spans="1:18" customFormat="1" ht="14.25" customHeight="1" x14ac:dyDescent="0.35">
      <c r="A91">
        <v>294</v>
      </c>
      <c r="B91">
        <v>5</v>
      </c>
      <c r="C91">
        <v>4</v>
      </c>
      <c r="D91">
        <v>1</v>
      </c>
      <c r="E91">
        <v>1</v>
      </c>
      <c r="F91">
        <v>2</v>
      </c>
      <c r="G91">
        <v>5</v>
      </c>
      <c r="H91">
        <v>5</v>
      </c>
      <c r="I91">
        <v>1</v>
      </c>
      <c r="J91">
        <v>1</v>
      </c>
      <c r="N91">
        <v>6</v>
      </c>
      <c r="O91">
        <v>5</v>
      </c>
      <c r="P91">
        <v>2</v>
      </c>
      <c r="Q91">
        <v>1</v>
      </c>
      <c r="R91">
        <v>3</v>
      </c>
    </row>
    <row r="92" spans="1:18" customFormat="1" ht="14.25" customHeight="1" x14ac:dyDescent="0.35">
      <c r="A92">
        <v>299</v>
      </c>
      <c r="B92">
        <v>3</v>
      </c>
      <c r="C92">
        <v>3</v>
      </c>
      <c r="D92">
        <v>3</v>
      </c>
      <c r="E92">
        <v>2</v>
      </c>
      <c r="F92">
        <v>2</v>
      </c>
      <c r="G92">
        <v>3</v>
      </c>
      <c r="H92">
        <v>3</v>
      </c>
      <c r="I92">
        <v>3</v>
      </c>
      <c r="K92">
        <v>2</v>
      </c>
      <c r="L92">
        <v>3</v>
      </c>
      <c r="M92">
        <v>2</v>
      </c>
      <c r="N92">
        <v>1</v>
      </c>
      <c r="O92">
        <v>4</v>
      </c>
      <c r="P92">
        <v>3</v>
      </c>
      <c r="Q92">
        <v>3</v>
      </c>
      <c r="R92">
        <v>2</v>
      </c>
    </row>
    <row r="93" spans="1:18" customFormat="1" ht="14.25" customHeight="1" x14ac:dyDescent="0.35">
      <c r="A93">
        <v>303</v>
      </c>
      <c r="B93">
        <v>5</v>
      </c>
      <c r="C93">
        <v>1</v>
      </c>
      <c r="D93">
        <v>5</v>
      </c>
      <c r="E93">
        <v>3</v>
      </c>
      <c r="F93">
        <v>1</v>
      </c>
      <c r="G93">
        <v>5</v>
      </c>
      <c r="H93">
        <v>5</v>
      </c>
      <c r="I93">
        <v>1</v>
      </c>
      <c r="J93">
        <v>1</v>
      </c>
      <c r="N93">
        <v>6</v>
      </c>
      <c r="O93">
        <v>5</v>
      </c>
      <c r="P93">
        <v>1</v>
      </c>
      <c r="Q93">
        <v>2</v>
      </c>
      <c r="R93">
        <v>2</v>
      </c>
    </row>
    <row r="94" spans="1:18" customFormat="1" ht="14.25" customHeight="1" x14ac:dyDescent="0.35">
      <c r="A94">
        <v>308</v>
      </c>
      <c r="B94">
        <v>4</v>
      </c>
      <c r="C94">
        <v>2</v>
      </c>
      <c r="D94">
        <v>4</v>
      </c>
      <c r="E94">
        <v>1</v>
      </c>
      <c r="F94">
        <v>2</v>
      </c>
      <c r="G94">
        <v>4</v>
      </c>
      <c r="H94">
        <v>5</v>
      </c>
      <c r="I94">
        <v>2</v>
      </c>
      <c r="K94">
        <v>2</v>
      </c>
      <c r="L94">
        <v>1</v>
      </c>
      <c r="M94">
        <v>15</v>
      </c>
      <c r="N94">
        <v>5</v>
      </c>
      <c r="O94">
        <v>2</v>
      </c>
      <c r="P94">
        <v>1</v>
      </c>
      <c r="Q94">
        <v>2</v>
      </c>
      <c r="R94">
        <v>2</v>
      </c>
    </row>
    <row r="95" spans="1:18" customFormat="1" ht="14.25" customHeight="1" x14ac:dyDescent="0.35">
      <c r="A95">
        <v>312</v>
      </c>
      <c r="B95">
        <v>4</v>
      </c>
      <c r="C95">
        <v>4</v>
      </c>
      <c r="D95">
        <v>4</v>
      </c>
      <c r="E95">
        <v>4</v>
      </c>
      <c r="F95">
        <v>4</v>
      </c>
      <c r="G95">
        <v>5</v>
      </c>
      <c r="H95">
        <v>5</v>
      </c>
      <c r="I95">
        <v>1</v>
      </c>
      <c r="K95">
        <v>1</v>
      </c>
      <c r="L95">
        <v>1</v>
      </c>
      <c r="M95">
        <v>0</v>
      </c>
      <c r="N95">
        <v>6</v>
      </c>
      <c r="O95">
        <v>6</v>
      </c>
      <c r="P95">
        <v>2</v>
      </c>
      <c r="Q95">
        <v>2</v>
      </c>
      <c r="R95">
        <v>4</v>
      </c>
    </row>
    <row r="96" spans="1:18" customFormat="1" ht="14.25" customHeight="1" x14ac:dyDescent="0.35">
      <c r="A96">
        <v>315</v>
      </c>
      <c r="B96">
        <v>5</v>
      </c>
      <c r="C96">
        <v>1</v>
      </c>
      <c r="D96">
        <v>5</v>
      </c>
      <c r="E96">
        <v>1</v>
      </c>
      <c r="F96">
        <v>1</v>
      </c>
      <c r="G96">
        <v>5</v>
      </c>
      <c r="H96">
        <v>5</v>
      </c>
      <c r="I96">
        <v>3</v>
      </c>
      <c r="J96">
        <v>1</v>
      </c>
      <c r="K96">
        <v>1</v>
      </c>
      <c r="N96">
        <v>6</v>
      </c>
      <c r="O96">
        <v>2</v>
      </c>
      <c r="P96">
        <v>2</v>
      </c>
      <c r="Q96">
        <v>3</v>
      </c>
      <c r="R96">
        <v>2</v>
      </c>
    </row>
    <row r="97" spans="1:18" customFormat="1" ht="14.25" customHeight="1" x14ac:dyDescent="0.35">
      <c r="A97">
        <v>332</v>
      </c>
      <c r="B97">
        <v>5</v>
      </c>
      <c r="C97">
        <v>1</v>
      </c>
      <c r="D97">
        <v>5</v>
      </c>
      <c r="E97">
        <v>1</v>
      </c>
      <c r="F97">
        <v>1</v>
      </c>
      <c r="G97">
        <v>5</v>
      </c>
      <c r="H97">
        <v>5</v>
      </c>
      <c r="I97">
        <v>1</v>
      </c>
      <c r="K97">
        <v>1</v>
      </c>
      <c r="L97">
        <v>1</v>
      </c>
      <c r="M97">
        <v>7</v>
      </c>
      <c r="N97">
        <v>5</v>
      </c>
      <c r="O97">
        <v>2</v>
      </c>
      <c r="P97">
        <v>1</v>
      </c>
      <c r="Q97">
        <v>3</v>
      </c>
      <c r="R97">
        <v>1</v>
      </c>
    </row>
    <row r="98" spans="1:18" customFormat="1" ht="14.25" customHeight="1" x14ac:dyDescent="0.35">
      <c r="A98">
        <v>337</v>
      </c>
      <c r="B98">
        <v>5</v>
      </c>
      <c r="C98">
        <v>2</v>
      </c>
      <c r="D98">
        <v>5</v>
      </c>
      <c r="E98">
        <v>2</v>
      </c>
      <c r="F98">
        <v>1</v>
      </c>
      <c r="G98">
        <v>4</v>
      </c>
      <c r="H98">
        <v>4</v>
      </c>
      <c r="I98">
        <v>2</v>
      </c>
      <c r="K98">
        <v>1</v>
      </c>
      <c r="L98">
        <v>1</v>
      </c>
      <c r="M98">
        <v>0</v>
      </c>
      <c r="N98">
        <v>6</v>
      </c>
      <c r="O98">
        <v>3</v>
      </c>
      <c r="P98">
        <v>1</v>
      </c>
      <c r="Q98">
        <v>2</v>
      </c>
      <c r="R98">
        <v>2</v>
      </c>
    </row>
    <row r="99" spans="1:18" customFormat="1" ht="14.25" customHeight="1" x14ac:dyDescent="0.35">
      <c r="A99">
        <v>339</v>
      </c>
      <c r="B99">
        <v>3</v>
      </c>
      <c r="C99">
        <v>3</v>
      </c>
      <c r="D99">
        <v>3</v>
      </c>
      <c r="E99">
        <v>3</v>
      </c>
      <c r="F99">
        <v>3</v>
      </c>
      <c r="G99">
        <v>3</v>
      </c>
      <c r="H99">
        <v>3</v>
      </c>
      <c r="I99">
        <v>2</v>
      </c>
      <c r="K99">
        <v>1</v>
      </c>
      <c r="L99">
        <v>1</v>
      </c>
      <c r="M99">
        <v>2</v>
      </c>
      <c r="N99">
        <v>6</v>
      </c>
      <c r="O99">
        <v>6</v>
      </c>
      <c r="P99">
        <v>2</v>
      </c>
      <c r="Q99">
        <v>2</v>
      </c>
      <c r="R99">
        <v>4</v>
      </c>
    </row>
    <row r="100" spans="1:18" customFormat="1" ht="14.25" customHeight="1" x14ac:dyDescent="0.35">
      <c r="A100">
        <v>347</v>
      </c>
      <c r="B100">
        <v>5</v>
      </c>
      <c r="C100">
        <v>1</v>
      </c>
      <c r="D100">
        <v>5</v>
      </c>
      <c r="E100">
        <v>1</v>
      </c>
      <c r="F100">
        <v>5</v>
      </c>
      <c r="G100">
        <v>4</v>
      </c>
      <c r="H100">
        <v>5</v>
      </c>
      <c r="I100">
        <v>1</v>
      </c>
      <c r="J100">
        <v>1</v>
      </c>
      <c r="N100">
        <v>6</v>
      </c>
      <c r="O100">
        <v>1</v>
      </c>
      <c r="P100">
        <v>1</v>
      </c>
      <c r="Q100">
        <v>1</v>
      </c>
      <c r="R100">
        <v>1</v>
      </c>
    </row>
    <row r="101" spans="1:18" customFormat="1" ht="14.25" customHeight="1" x14ac:dyDescent="0.35">
      <c r="A101">
        <v>358</v>
      </c>
      <c r="B101">
        <v>5</v>
      </c>
      <c r="C101">
        <v>1</v>
      </c>
      <c r="D101">
        <v>5</v>
      </c>
      <c r="E101">
        <v>4</v>
      </c>
      <c r="F101">
        <v>1</v>
      </c>
      <c r="G101">
        <v>5</v>
      </c>
      <c r="H101">
        <v>5</v>
      </c>
      <c r="I101">
        <v>2</v>
      </c>
      <c r="J101">
        <v>1</v>
      </c>
      <c r="K101">
        <v>1</v>
      </c>
      <c r="L101">
        <v>1</v>
      </c>
      <c r="M101">
        <v>0</v>
      </c>
      <c r="N101">
        <v>6</v>
      </c>
      <c r="O101">
        <v>3</v>
      </c>
      <c r="P101">
        <v>2</v>
      </c>
      <c r="Q101">
        <v>4</v>
      </c>
      <c r="R101">
        <v>1</v>
      </c>
    </row>
    <row r="102" spans="1:18" customFormat="1" ht="14.25" customHeight="1" x14ac:dyDescent="0.35">
      <c r="A102">
        <v>359</v>
      </c>
      <c r="B102">
        <v>5</v>
      </c>
      <c r="C102">
        <v>3</v>
      </c>
      <c r="D102">
        <v>3</v>
      </c>
      <c r="E102">
        <v>3</v>
      </c>
      <c r="F102">
        <v>3</v>
      </c>
      <c r="G102">
        <v>5</v>
      </c>
      <c r="H102">
        <v>5</v>
      </c>
      <c r="I102">
        <v>3</v>
      </c>
      <c r="K102">
        <v>2</v>
      </c>
      <c r="N102">
        <v>5</v>
      </c>
      <c r="O102">
        <v>1</v>
      </c>
      <c r="P102">
        <v>2</v>
      </c>
      <c r="Q102">
        <v>4</v>
      </c>
      <c r="R102">
        <v>2</v>
      </c>
    </row>
    <row r="103" spans="1:18" customFormat="1" ht="14.25" customHeight="1" x14ac:dyDescent="0.35">
      <c r="A103">
        <v>365</v>
      </c>
      <c r="B103">
        <v>1</v>
      </c>
      <c r="C103">
        <v>4</v>
      </c>
      <c r="D103">
        <v>5</v>
      </c>
      <c r="E103">
        <v>3</v>
      </c>
      <c r="F103">
        <v>2</v>
      </c>
      <c r="G103">
        <v>3</v>
      </c>
      <c r="H103">
        <v>4</v>
      </c>
      <c r="I103">
        <v>1</v>
      </c>
      <c r="K103">
        <v>2</v>
      </c>
      <c r="L103">
        <v>1</v>
      </c>
      <c r="M103">
        <v>2</v>
      </c>
      <c r="N103">
        <v>6</v>
      </c>
      <c r="O103">
        <v>5</v>
      </c>
      <c r="P103">
        <v>1</v>
      </c>
      <c r="Q103">
        <v>2</v>
      </c>
      <c r="R103">
        <v>2</v>
      </c>
    </row>
    <row r="104" spans="1:18" customFormat="1" ht="14.25" customHeight="1" x14ac:dyDescent="0.35">
      <c r="A104">
        <v>369</v>
      </c>
      <c r="B104">
        <v>5</v>
      </c>
      <c r="C104">
        <v>4</v>
      </c>
      <c r="D104">
        <v>4</v>
      </c>
      <c r="E104">
        <v>2</v>
      </c>
      <c r="F104">
        <v>2</v>
      </c>
      <c r="G104">
        <v>4</v>
      </c>
      <c r="H104">
        <v>5</v>
      </c>
      <c r="I104">
        <v>1</v>
      </c>
      <c r="J104">
        <v>1</v>
      </c>
      <c r="K104">
        <v>1</v>
      </c>
      <c r="N104">
        <v>6</v>
      </c>
      <c r="O104">
        <v>6</v>
      </c>
      <c r="P104">
        <v>1</v>
      </c>
      <c r="Q104">
        <v>2</v>
      </c>
      <c r="R104">
        <v>3</v>
      </c>
    </row>
    <row r="105" spans="1:18" customFormat="1" ht="14.25" customHeight="1" x14ac:dyDescent="0.35">
      <c r="A105">
        <v>377</v>
      </c>
      <c r="B105">
        <v>4</v>
      </c>
      <c r="C105">
        <v>1</v>
      </c>
      <c r="D105">
        <v>4</v>
      </c>
      <c r="E105">
        <v>1</v>
      </c>
      <c r="F105">
        <v>1</v>
      </c>
      <c r="G105">
        <v>4</v>
      </c>
      <c r="H105">
        <v>1</v>
      </c>
      <c r="I105">
        <v>2</v>
      </c>
      <c r="J105">
        <v>1</v>
      </c>
      <c r="N105">
        <v>6</v>
      </c>
      <c r="O105">
        <v>3</v>
      </c>
      <c r="P105">
        <v>1</v>
      </c>
      <c r="Q105">
        <v>2</v>
      </c>
      <c r="R105">
        <v>2</v>
      </c>
    </row>
    <row r="106" spans="1:18" customFormat="1" ht="14.25" customHeight="1" x14ac:dyDescent="0.35">
      <c r="A106">
        <v>380</v>
      </c>
      <c r="B106">
        <v>3</v>
      </c>
      <c r="C106">
        <v>1</v>
      </c>
      <c r="D106">
        <v>2</v>
      </c>
      <c r="E106">
        <v>5</v>
      </c>
      <c r="F106">
        <v>3</v>
      </c>
      <c r="G106">
        <v>5</v>
      </c>
      <c r="H106">
        <v>4</v>
      </c>
      <c r="I106">
        <v>1</v>
      </c>
      <c r="K106">
        <v>1</v>
      </c>
      <c r="L106">
        <v>1</v>
      </c>
      <c r="M106">
        <v>0</v>
      </c>
      <c r="N106">
        <v>6</v>
      </c>
      <c r="O106">
        <v>4</v>
      </c>
      <c r="P106">
        <v>1</v>
      </c>
      <c r="Q106">
        <v>2</v>
      </c>
      <c r="R106">
        <v>2</v>
      </c>
    </row>
    <row r="107" spans="1:18" customFormat="1" ht="14.25" customHeight="1" x14ac:dyDescent="0.35">
      <c r="A107">
        <v>386</v>
      </c>
      <c r="B107">
        <v>4</v>
      </c>
      <c r="C107">
        <v>2</v>
      </c>
      <c r="D107">
        <v>5</v>
      </c>
      <c r="E107">
        <v>2</v>
      </c>
      <c r="F107">
        <v>2</v>
      </c>
      <c r="G107">
        <v>4</v>
      </c>
      <c r="H107">
        <v>5</v>
      </c>
      <c r="I107">
        <v>2</v>
      </c>
      <c r="K107">
        <v>2</v>
      </c>
      <c r="L107">
        <v>2</v>
      </c>
      <c r="M107">
        <v>15</v>
      </c>
      <c r="N107">
        <v>6</v>
      </c>
      <c r="O107">
        <v>5</v>
      </c>
      <c r="P107">
        <v>2</v>
      </c>
      <c r="Q107">
        <v>2</v>
      </c>
      <c r="R107">
        <v>2</v>
      </c>
    </row>
    <row r="108" spans="1:18" customFormat="1" ht="14.25" customHeight="1" x14ac:dyDescent="0.35">
      <c r="A108">
        <v>397</v>
      </c>
      <c r="B108">
        <v>5</v>
      </c>
      <c r="C108">
        <v>1</v>
      </c>
      <c r="D108">
        <v>5</v>
      </c>
      <c r="E108">
        <v>1</v>
      </c>
      <c r="G108">
        <v>5</v>
      </c>
      <c r="H108">
        <v>5</v>
      </c>
      <c r="I108">
        <v>1</v>
      </c>
      <c r="J108">
        <v>1</v>
      </c>
      <c r="K108">
        <v>1</v>
      </c>
      <c r="N108">
        <v>6</v>
      </c>
      <c r="O108">
        <v>4</v>
      </c>
      <c r="P108">
        <v>2</v>
      </c>
      <c r="Q108">
        <v>2</v>
      </c>
      <c r="R108">
        <v>2</v>
      </c>
    </row>
    <row r="109" spans="1:18" customFormat="1" ht="14.25" customHeight="1" x14ac:dyDescent="0.35">
      <c r="A109">
        <v>401</v>
      </c>
      <c r="B109">
        <v>2</v>
      </c>
      <c r="C109">
        <v>1</v>
      </c>
      <c r="D109">
        <v>2</v>
      </c>
      <c r="E109">
        <v>2</v>
      </c>
      <c r="F109">
        <v>2</v>
      </c>
      <c r="G109">
        <v>2</v>
      </c>
      <c r="H109">
        <v>3</v>
      </c>
      <c r="I109">
        <v>2</v>
      </c>
      <c r="J109">
        <v>2</v>
      </c>
      <c r="N109">
        <v>6</v>
      </c>
      <c r="O109">
        <v>6</v>
      </c>
      <c r="P109">
        <v>4</v>
      </c>
      <c r="Q109">
        <v>1</v>
      </c>
      <c r="R109">
        <v>2</v>
      </c>
    </row>
    <row r="110" spans="1:18" customFormat="1" ht="14.25" customHeight="1" x14ac:dyDescent="0.35">
      <c r="A110">
        <v>405</v>
      </c>
      <c r="B110">
        <v>5</v>
      </c>
      <c r="C110">
        <v>1</v>
      </c>
      <c r="D110">
        <v>5</v>
      </c>
      <c r="E110">
        <v>1</v>
      </c>
      <c r="F110">
        <v>1</v>
      </c>
      <c r="G110">
        <v>5</v>
      </c>
      <c r="H110">
        <v>5</v>
      </c>
      <c r="I110">
        <v>3</v>
      </c>
      <c r="K110">
        <v>3</v>
      </c>
      <c r="L110">
        <v>3</v>
      </c>
      <c r="M110">
        <v>0</v>
      </c>
      <c r="N110">
        <v>6</v>
      </c>
      <c r="O110">
        <v>5</v>
      </c>
      <c r="P110">
        <v>1</v>
      </c>
      <c r="Q110">
        <v>1</v>
      </c>
      <c r="R110">
        <v>2</v>
      </c>
    </row>
    <row r="111" spans="1:18" customFormat="1" ht="14.25" customHeight="1" x14ac:dyDescent="0.35">
      <c r="A111">
        <v>408</v>
      </c>
      <c r="B111">
        <v>4</v>
      </c>
      <c r="C111">
        <v>2</v>
      </c>
      <c r="D111">
        <v>4</v>
      </c>
      <c r="E111">
        <v>2</v>
      </c>
      <c r="F111">
        <v>2</v>
      </c>
      <c r="G111">
        <v>4</v>
      </c>
      <c r="H111">
        <v>4</v>
      </c>
      <c r="I111">
        <v>2</v>
      </c>
      <c r="J111">
        <v>1</v>
      </c>
      <c r="K111">
        <v>1</v>
      </c>
      <c r="L111">
        <v>2</v>
      </c>
      <c r="M111">
        <v>0</v>
      </c>
      <c r="N111">
        <v>6</v>
      </c>
      <c r="O111">
        <v>6</v>
      </c>
      <c r="P111">
        <v>2</v>
      </c>
      <c r="Q111">
        <v>4</v>
      </c>
      <c r="R111">
        <v>3</v>
      </c>
    </row>
    <row r="112" spans="1:18" customFormat="1" ht="14.25" customHeight="1" x14ac:dyDescent="0.35">
      <c r="A112">
        <v>412</v>
      </c>
      <c r="B112">
        <v>3</v>
      </c>
      <c r="C112">
        <v>1</v>
      </c>
      <c r="D112">
        <v>5</v>
      </c>
      <c r="E112">
        <v>2</v>
      </c>
      <c r="F112">
        <v>1</v>
      </c>
      <c r="G112">
        <v>2</v>
      </c>
      <c r="H112">
        <v>5</v>
      </c>
      <c r="I112">
        <v>2</v>
      </c>
      <c r="K112">
        <v>1</v>
      </c>
      <c r="L112">
        <v>2</v>
      </c>
      <c r="M112">
        <v>5</v>
      </c>
      <c r="N112">
        <v>6</v>
      </c>
      <c r="O112">
        <v>1</v>
      </c>
      <c r="P112">
        <v>3</v>
      </c>
      <c r="Q112">
        <v>2</v>
      </c>
      <c r="R112">
        <v>1</v>
      </c>
    </row>
    <row r="113" spans="1:18" customFormat="1" ht="14.25" customHeight="1" x14ac:dyDescent="0.35">
      <c r="A113">
        <v>421</v>
      </c>
      <c r="B113">
        <v>5</v>
      </c>
      <c r="C113">
        <v>1</v>
      </c>
      <c r="D113">
        <v>5</v>
      </c>
      <c r="E113">
        <v>1</v>
      </c>
      <c r="F113">
        <v>1</v>
      </c>
      <c r="G113">
        <v>5</v>
      </c>
      <c r="H113">
        <v>5</v>
      </c>
      <c r="I113">
        <v>2</v>
      </c>
      <c r="K113">
        <v>1</v>
      </c>
      <c r="N113">
        <v>6</v>
      </c>
      <c r="O113">
        <v>1</v>
      </c>
      <c r="P113">
        <v>1</v>
      </c>
      <c r="Q113">
        <v>4</v>
      </c>
      <c r="R113">
        <v>1</v>
      </c>
    </row>
    <row r="114" spans="1:18" customFormat="1" ht="14.25" customHeight="1" x14ac:dyDescent="0.35">
      <c r="A114">
        <v>424</v>
      </c>
      <c r="B114">
        <v>5</v>
      </c>
      <c r="C114">
        <v>3</v>
      </c>
      <c r="D114">
        <v>3</v>
      </c>
      <c r="E114">
        <v>1</v>
      </c>
      <c r="F114">
        <v>3</v>
      </c>
      <c r="G114">
        <v>3</v>
      </c>
      <c r="H114">
        <v>3</v>
      </c>
      <c r="I114">
        <v>2</v>
      </c>
      <c r="K114">
        <v>1</v>
      </c>
      <c r="N114">
        <v>5</v>
      </c>
      <c r="O114">
        <v>2</v>
      </c>
      <c r="P114">
        <v>1</v>
      </c>
      <c r="Q114">
        <v>4</v>
      </c>
      <c r="R114">
        <v>2</v>
      </c>
    </row>
    <row r="115" spans="1:18" customFormat="1" ht="14.25" customHeight="1" x14ac:dyDescent="0.35">
      <c r="A115">
        <v>431</v>
      </c>
      <c r="B115">
        <v>4</v>
      </c>
      <c r="C115">
        <v>2</v>
      </c>
      <c r="D115">
        <v>4</v>
      </c>
      <c r="E115">
        <v>2</v>
      </c>
      <c r="F115">
        <v>2</v>
      </c>
      <c r="G115">
        <v>4</v>
      </c>
      <c r="H115">
        <v>2</v>
      </c>
      <c r="I115">
        <v>2</v>
      </c>
      <c r="K115">
        <v>2</v>
      </c>
      <c r="L115">
        <v>3</v>
      </c>
      <c r="M115">
        <v>0</v>
      </c>
      <c r="N115">
        <v>6</v>
      </c>
      <c r="O115">
        <v>4</v>
      </c>
      <c r="P115">
        <v>1</v>
      </c>
      <c r="Q115">
        <v>2</v>
      </c>
      <c r="R115">
        <v>2</v>
      </c>
    </row>
    <row r="116" spans="1:18" customFormat="1" ht="14.25" customHeight="1" x14ac:dyDescent="0.35">
      <c r="A116">
        <v>435</v>
      </c>
      <c r="B116">
        <v>5</v>
      </c>
      <c r="C116">
        <v>1</v>
      </c>
      <c r="D116">
        <v>5</v>
      </c>
      <c r="E116">
        <v>1</v>
      </c>
      <c r="F116">
        <v>1</v>
      </c>
      <c r="G116">
        <v>5</v>
      </c>
      <c r="H116">
        <v>5</v>
      </c>
      <c r="I116">
        <v>2</v>
      </c>
      <c r="N116">
        <v>6</v>
      </c>
      <c r="O116">
        <v>1</v>
      </c>
      <c r="P116">
        <v>1</v>
      </c>
      <c r="Q116">
        <v>5</v>
      </c>
      <c r="R116">
        <v>1</v>
      </c>
    </row>
    <row r="117" spans="1:18" customFormat="1" ht="14.25" customHeight="1" x14ac:dyDescent="0.35">
      <c r="A117">
        <v>444</v>
      </c>
      <c r="B117">
        <v>5</v>
      </c>
      <c r="C117">
        <v>1</v>
      </c>
      <c r="D117">
        <v>2</v>
      </c>
      <c r="E117">
        <v>5</v>
      </c>
      <c r="F117">
        <v>2</v>
      </c>
      <c r="G117">
        <v>5</v>
      </c>
      <c r="H117">
        <v>5</v>
      </c>
      <c r="I117">
        <v>2</v>
      </c>
      <c r="K117">
        <v>1</v>
      </c>
      <c r="L117">
        <v>2</v>
      </c>
      <c r="M117">
        <v>0</v>
      </c>
      <c r="N117">
        <v>6</v>
      </c>
      <c r="O117">
        <v>6</v>
      </c>
      <c r="P117">
        <v>2</v>
      </c>
      <c r="Q117">
        <v>5</v>
      </c>
      <c r="R117">
        <v>1</v>
      </c>
    </row>
    <row r="118" spans="1:18" customFormat="1" ht="14.25" customHeight="1" x14ac:dyDescent="0.35">
      <c r="A118">
        <v>448</v>
      </c>
      <c r="B118">
        <v>5</v>
      </c>
      <c r="E118">
        <v>1</v>
      </c>
      <c r="F118">
        <v>3</v>
      </c>
      <c r="G118">
        <v>4</v>
      </c>
      <c r="H118">
        <v>4</v>
      </c>
      <c r="I118">
        <v>1</v>
      </c>
      <c r="K118">
        <v>1</v>
      </c>
      <c r="L118">
        <v>1</v>
      </c>
      <c r="M118">
        <v>0</v>
      </c>
      <c r="N118">
        <v>6</v>
      </c>
      <c r="O118">
        <v>4</v>
      </c>
      <c r="P118">
        <v>3</v>
      </c>
      <c r="Q118">
        <v>2</v>
      </c>
      <c r="R118">
        <v>3</v>
      </c>
    </row>
    <row r="119" spans="1:18" customFormat="1" ht="14.25" customHeight="1" x14ac:dyDescent="0.35">
      <c r="A119">
        <v>453</v>
      </c>
      <c r="B119">
        <v>5</v>
      </c>
      <c r="C119">
        <v>3</v>
      </c>
      <c r="D119">
        <v>5</v>
      </c>
      <c r="E119">
        <v>2</v>
      </c>
      <c r="F119">
        <v>2</v>
      </c>
      <c r="G119">
        <v>5</v>
      </c>
      <c r="H119">
        <v>5</v>
      </c>
      <c r="I119">
        <v>2</v>
      </c>
      <c r="K119">
        <v>2</v>
      </c>
      <c r="L119">
        <v>1</v>
      </c>
      <c r="M119">
        <v>2</v>
      </c>
      <c r="N119">
        <v>6</v>
      </c>
      <c r="O119">
        <v>4</v>
      </c>
      <c r="P119">
        <v>1</v>
      </c>
      <c r="Q119">
        <v>3</v>
      </c>
      <c r="R119">
        <v>1</v>
      </c>
    </row>
    <row r="120" spans="1:18" customFormat="1" ht="14.25" customHeight="1" x14ac:dyDescent="0.35">
      <c r="A120">
        <v>456</v>
      </c>
      <c r="B120">
        <v>5</v>
      </c>
      <c r="C120">
        <v>1</v>
      </c>
      <c r="D120">
        <v>5</v>
      </c>
      <c r="E120">
        <v>1</v>
      </c>
      <c r="F120">
        <v>1</v>
      </c>
      <c r="G120">
        <v>4</v>
      </c>
      <c r="H120">
        <v>4</v>
      </c>
      <c r="I120">
        <v>3</v>
      </c>
      <c r="K120">
        <v>1</v>
      </c>
      <c r="L120">
        <v>1</v>
      </c>
      <c r="M120">
        <v>25</v>
      </c>
      <c r="N120">
        <v>5</v>
      </c>
      <c r="O120">
        <v>4</v>
      </c>
      <c r="P120">
        <v>2</v>
      </c>
      <c r="Q120">
        <v>2</v>
      </c>
      <c r="R120">
        <v>2</v>
      </c>
    </row>
    <row r="121" spans="1:18" customFormat="1" ht="14.25" customHeight="1" x14ac:dyDescent="0.35">
      <c r="A121">
        <v>460</v>
      </c>
      <c r="B121">
        <v>5</v>
      </c>
      <c r="C121">
        <v>5</v>
      </c>
      <c r="D121">
        <v>5</v>
      </c>
      <c r="E121">
        <v>3</v>
      </c>
      <c r="F121">
        <v>3</v>
      </c>
      <c r="G121">
        <v>5</v>
      </c>
      <c r="H121">
        <v>5</v>
      </c>
      <c r="I121">
        <v>3</v>
      </c>
      <c r="N121">
        <v>6</v>
      </c>
      <c r="O121">
        <v>6</v>
      </c>
      <c r="P121">
        <v>1</v>
      </c>
      <c r="Q121">
        <v>1</v>
      </c>
      <c r="R121">
        <v>1</v>
      </c>
    </row>
    <row r="122" spans="1:18" customFormat="1" ht="14.25" customHeight="1" x14ac:dyDescent="0.35">
      <c r="A122">
        <v>462</v>
      </c>
      <c r="B122">
        <v>5</v>
      </c>
      <c r="C122">
        <v>4</v>
      </c>
      <c r="D122">
        <v>4</v>
      </c>
      <c r="E122">
        <v>2</v>
      </c>
      <c r="F122">
        <v>1</v>
      </c>
      <c r="G122">
        <v>5</v>
      </c>
      <c r="H122">
        <v>5</v>
      </c>
      <c r="I122">
        <v>1</v>
      </c>
      <c r="N122">
        <v>6</v>
      </c>
      <c r="O122">
        <v>5</v>
      </c>
      <c r="P122">
        <v>2</v>
      </c>
      <c r="Q122">
        <v>2</v>
      </c>
      <c r="R122">
        <v>2</v>
      </c>
    </row>
    <row r="123" spans="1:18" customFormat="1" ht="14.25" customHeight="1" x14ac:dyDescent="0.35">
      <c r="A123">
        <v>469</v>
      </c>
      <c r="B123">
        <v>3</v>
      </c>
      <c r="D123">
        <v>3</v>
      </c>
      <c r="E123">
        <v>4</v>
      </c>
      <c r="G123">
        <v>4</v>
      </c>
      <c r="H123">
        <v>5</v>
      </c>
      <c r="I123">
        <v>2</v>
      </c>
      <c r="J123">
        <v>2</v>
      </c>
      <c r="N123">
        <v>6</v>
      </c>
      <c r="P123">
        <v>3</v>
      </c>
      <c r="Q123">
        <v>3</v>
      </c>
      <c r="R123">
        <v>3</v>
      </c>
    </row>
    <row r="124" spans="1:18" customFormat="1" ht="14.25" customHeight="1" x14ac:dyDescent="0.35">
      <c r="A124">
        <v>476</v>
      </c>
      <c r="B124">
        <v>3</v>
      </c>
      <c r="C124">
        <v>3</v>
      </c>
      <c r="D124">
        <v>5</v>
      </c>
      <c r="E124">
        <v>3</v>
      </c>
      <c r="F124">
        <v>4</v>
      </c>
      <c r="G124">
        <v>5</v>
      </c>
      <c r="H124">
        <v>5</v>
      </c>
      <c r="I124">
        <v>2</v>
      </c>
      <c r="J124">
        <v>1</v>
      </c>
      <c r="K124">
        <v>2</v>
      </c>
      <c r="L124">
        <v>1</v>
      </c>
      <c r="M124">
        <v>0</v>
      </c>
      <c r="N124">
        <v>6</v>
      </c>
      <c r="O124">
        <v>6</v>
      </c>
      <c r="P124">
        <v>3</v>
      </c>
      <c r="Q124">
        <v>1</v>
      </c>
      <c r="R124">
        <v>3</v>
      </c>
    </row>
    <row r="125" spans="1:18" customFormat="1" ht="14.25" customHeight="1" x14ac:dyDescent="0.35">
      <c r="A125">
        <v>482</v>
      </c>
      <c r="B125">
        <v>4</v>
      </c>
      <c r="C125">
        <v>1</v>
      </c>
      <c r="D125">
        <v>5</v>
      </c>
      <c r="E125">
        <v>3</v>
      </c>
      <c r="F125">
        <v>1</v>
      </c>
      <c r="G125">
        <v>4</v>
      </c>
      <c r="H125">
        <v>4</v>
      </c>
      <c r="I125">
        <v>1</v>
      </c>
      <c r="J125">
        <v>1</v>
      </c>
      <c r="N125">
        <v>6</v>
      </c>
      <c r="O125">
        <v>4</v>
      </c>
      <c r="P125">
        <v>1</v>
      </c>
      <c r="Q125">
        <v>2</v>
      </c>
      <c r="R125">
        <v>2</v>
      </c>
    </row>
    <row r="126" spans="1:18" customFormat="1" ht="14.25" customHeight="1" x14ac:dyDescent="0.35">
      <c r="A126">
        <v>487</v>
      </c>
      <c r="B126">
        <v>3</v>
      </c>
      <c r="C126">
        <v>3</v>
      </c>
      <c r="D126">
        <v>4</v>
      </c>
      <c r="E126">
        <v>3</v>
      </c>
      <c r="F126">
        <v>3</v>
      </c>
      <c r="G126">
        <v>2</v>
      </c>
      <c r="H126">
        <v>2</v>
      </c>
      <c r="I126">
        <v>1</v>
      </c>
      <c r="J126">
        <v>1</v>
      </c>
      <c r="K126">
        <v>2</v>
      </c>
      <c r="L126">
        <v>1</v>
      </c>
      <c r="M126">
        <v>0</v>
      </c>
      <c r="N126">
        <v>6</v>
      </c>
      <c r="O126">
        <v>6</v>
      </c>
      <c r="P126">
        <v>3</v>
      </c>
      <c r="Q126">
        <v>2</v>
      </c>
      <c r="R126">
        <v>3</v>
      </c>
    </row>
    <row r="127" spans="1:18" customFormat="1" ht="14.25" customHeight="1" x14ac:dyDescent="0.35">
      <c r="A127">
        <v>491</v>
      </c>
      <c r="B127">
        <v>4</v>
      </c>
      <c r="C127">
        <v>1</v>
      </c>
      <c r="D127">
        <v>5</v>
      </c>
      <c r="E127">
        <v>1</v>
      </c>
      <c r="F127">
        <v>1</v>
      </c>
      <c r="G127">
        <v>5</v>
      </c>
      <c r="H127">
        <v>5</v>
      </c>
      <c r="I127">
        <v>3</v>
      </c>
      <c r="K127">
        <v>4</v>
      </c>
      <c r="N127">
        <v>6</v>
      </c>
      <c r="O127">
        <v>5</v>
      </c>
      <c r="P127">
        <v>1</v>
      </c>
      <c r="Q127">
        <v>3</v>
      </c>
      <c r="R127">
        <v>3</v>
      </c>
    </row>
    <row r="128" spans="1:18" customFormat="1" ht="14.25" customHeight="1" x14ac:dyDescent="0.35">
      <c r="A128">
        <v>493</v>
      </c>
      <c r="B128">
        <v>5</v>
      </c>
      <c r="C128">
        <v>1</v>
      </c>
      <c r="D128">
        <v>5</v>
      </c>
      <c r="E128">
        <v>1</v>
      </c>
      <c r="F128">
        <v>1</v>
      </c>
      <c r="G128">
        <v>5</v>
      </c>
      <c r="H128">
        <v>5</v>
      </c>
      <c r="I128">
        <v>2</v>
      </c>
      <c r="K128">
        <v>3</v>
      </c>
      <c r="L128">
        <v>3</v>
      </c>
      <c r="M128">
        <v>5</v>
      </c>
      <c r="N128">
        <v>6</v>
      </c>
      <c r="O128">
        <v>4</v>
      </c>
      <c r="P128">
        <v>2</v>
      </c>
      <c r="Q128">
        <v>3</v>
      </c>
      <c r="R128">
        <v>2</v>
      </c>
    </row>
    <row r="129" spans="1:18" customFormat="1" ht="14.25" customHeight="1" x14ac:dyDescent="0.35">
      <c r="A129">
        <v>499</v>
      </c>
      <c r="B129">
        <v>5</v>
      </c>
      <c r="C129">
        <v>1</v>
      </c>
      <c r="D129">
        <v>5</v>
      </c>
      <c r="E129">
        <v>1</v>
      </c>
      <c r="F129">
        <v>1</v>
      </c>
      <c r="G129">
        <v>5</v>
      </c>
      <c r="H129">
        <v>4</v>
      </c>
      <c r="I129">
        <v>2</v>
      </c>
      <c r="J129">
        <v>1</v>
      </c>
      <c r="K129">
        <v>1</v>
      </c>
      <c r="L129">
        <v>2</v>
      </c>
      <c r="M129">
        <v>4</v>
      </c>
      <c r="N129">
        <v>6</v>
      </c>
      <c r="O129">
        <v>6</v>
      </c>
      <c r="P129">
        <v>2</v>
      </c>
      <c r="Q129">
        <v>2</v>
      </c>
      <c r="R129">
        <v>2</v>
      </c>
    </row>
    <row r="130" spans="1:18" customFormat="1" ht="14.25" customHeight="1" x14ac:dyDescent="0.35">
      <c r="A130">
        <v>501</v>
      </c>
      <c r="B130">
        <v>4</v>
      </c>
      <c r="C130">
        <v>1</v>
      </c>
      <c r="D130">
        <v>1</v>
      </c>
      <c r="E130">
        <v>2</v>
      </c>
      <c r="F130">
        <v>2</v>
      </c>
      <c r="G130">
        <v>3</v>
      </c>
      <c r="H130">
        <v>3</v>
      </c>
      <c r="I130">
        <v>1</v>
      </c>
      <c r="J130">
        <v>1</v>
      </c>
      <c r="K130">
        <v>1</v>
      </c>
      <c r="L130">
        <v>2</v>
      </c>
      <c r="M130">
        <v>0</v>
      </c>
      <c r="N130">
        <v>6</v>
      </c>
      <c r="O130">
        <v>6</v>
      </c>
      <c r="P130">
        <v>1</v>
      </c>
      <c r="Q130">
        <v>2</v>
      </c>
      <c r="R130">
        <v>2</v>
      </c>
    </row>
    <row r="131" spans="1:18" customFormat="1" ht="14.25" customHeight="1" x14ac:dyDescent="0.35">
      <c r="A131">
        <v>504</v>
      </c>
      <c r="B131">
        <v>4</v>
      </c>
      <c r="C131">
        <v>2</v>
      </c>
      <c r="D131">
        <v>4</v>
      </c>
      <c r="E131">
        <v>3</v>
      </c>
      <c r="F131">
        <v>4</v>
      </c>
      <c r="G131">
        <v>4</v>
      </c>
      <c r="H131">
        <v>4</v>
      </c>
      <c r="I131">
        <v>2</v>
      </c>
      <c r="J131">
        <v>1</v>
      </c>
      <c r="K131">
        <v>2</v>
      </c>
      <c r="L131">
        <v>3</v>
      </c>
      <c r="M131">
        <v>0</v>
      </c>
      <c r="N131">
        <v>6</v>
      </c>
      <c r="O131">
        <v>2</v>
      </c>
      <c r="P131">
        <v>1</v>
      </c>
      <c r="Q131">
        <v>2</v>
      </c>
      <c r="R131">
        <v>2</v>
      </c>
    </row>
    <row r="132" spans="1:18" customFormat="1" ht="14.25" customHeight="1" x14ac:dyDescent="0.35">
      <c r="A132">
        <v>510</v>
      </c>
      <c r="B132">
        <v>5</v>
      </c>
      <c r="C132">
        <v>1</v>
      </c>
      <c r="D132">
        <v>5</v>
      </c>
      <c r="E132">
        <v>1</v>
      </c>
      <c r="F132">
        <v>1</v>
      </c>
      <c r="G132">
        <v>5</v>
      </c>
      <c r="H132">
        <v>5</v>
      </c>
      <c r="I132">
        <v>3</v>
      </c>
      <c r="J132">
        <v>3</v>
      </c>
      <c r="K132">
        <v>2</v>
      </c>
      <c r="L132">
        <v>5</v>
      </c>
      <c r="M132">
        <v>30</v>
      </c>
      <c r="N132">
        <v>6</v>
      </c>
      <c r="O132">
        <v>4</v>
      </c>
      <c r="P132">
        <v>1</v>
      </c>
      <c r="Q132">
        <v>5</v>
      </c>
      <c r="R132">
        <v>1</v>
      </c>
    </row>
    <row r="133" spans="1:18" customFormat="1" ht="14.25" customHeight="1" x14ac:dyDescent="0.35">
      <c r="A133">
        <v>514</v>
      </c>
      <c r="B133">
        <v>5</v>
      </c>
      <c r="C133">
        <v>1</v>
      </c>
      <c r="D133">
        <v>5</v>
      </c>
      <c r="E133">
        <v>1</v>
      </c>
      <c r="F133">
        <v>1</v>
      </c>
      <c r="G133">
        <v>5</v>
      </c>
      <c r="H133">
        <v>5</v>
      </c>
      <c r="I133">
        <v>2</v>
      </c>
      <c r="J133">
        <v>2</v>
      </c>
      <c r="K133">
        <v>3</v>
      </c>
      <c r="N133">
        <v>6</v>
      </c>
      <c r="O133">
        <v>3</v>
      </c>
      <c r="P133">
        <v>1</v>
      </c>
      <c r="Q133">
        <v>4</v>
      </c>
      <c r="R133">
        <v>1</v>
      </c>
    </row>
    <row r="134" spans="1:18" customFormat="1" ht="14.25" customHeight="1" x14ac:dyDescent="0.35">
      <c r="A134">
        <v>520</v>
      </c>
      <c r="B134">
        <v>3</v>
      </c>
      <c r="C134">
        <v>3</v>
      </c>
      <c r="D134">
        <v>4</v>
      </c>
      <c r="E134">
        <v>2</v>
      </c>
      <c r="F134">
        <v>2</v>
      </c>
      <c r="G134">
        <v>3</v>
      </c>
      <c r="H134">
        <v>3</v>
      </c>
      <c r="I134">
        <v>1</v>
      </c>
      <c r="K134">
        <v>1</v>
      </c>
      <c r="L134">
        <v>1</v>
      </c>
      <c r="M134">
        <v>0</v>
      </c>
      <c r="N134">
        <v>6</v>
      </c>
      <c r="O134">
        <v>6</v>
      </c>
      <c r="P134">
        <v>2</v>
      </c>
      <c r="Q134">
        <v>2</v>
      </c>
      <c r="R134">
        <v>2</v>
      </c>
    </row>
    <row r="135" spans="1:18" customFormat="1" ht="14.25" customHeight="1" x14ac:dyDescent="0.35">
      <c r="A135">
        <v>526</v>
      </c>
      <c r="B135">
        <v>5</v>
      </c>
      <c r="C135">
        <v>4</v>
      </c>
      <c r="D135">
        <v>4</v>
      </c>
      <c r="E135">
        <v>2</v>
      </c>
      <c r="F135">
        <v>4</v>
      </c>
      <c r="G135">
        <v>4</v>
      </c>
      <c r="H135">
        <v>4</v>
      </c>
      <c r="I135">
        <v>3</v>
      </c>
      <c r="K135">
        <v>2</v>
      </c>
      <c r="L135">
        <v>4</v>
      </c>
      <c r="M135">
        <v>5</v>
      </c>
      <c r="N135">
        <v>6</v>
      </c>
      <c r="O135">
        <v>6</v>
      </c>
      <c r="P135">
        <v>2</v>
      </c>
      <c r="Q135">
        <v>3</v>
      </c>
      <c r="R135">
        <v>2</v>
      </c>
    </row>
    <row r="136" spans="1:18" customFormat="1" ht="14.25" customHeight="1" x14ac:dyDescent="0.35">
      <c r="A136">
        <v>535</v>
      </c>
      <c r="B136">
        <v>3</v>
      </c>
      <c r="C136">
        <v>3</v>
      </c>
      <c r="D136">
        <v>4</v>
      </c>
      <c r="E136">
        <v>4</v>
      </c>
      <c r="F136">
        <v>4</v>
      </c>
      <c r="G136">
        <v>4</v>
      </c>
      <c r="H136">
        <v>3</v>
      </c>
      <c r="I136">
        <v>1</v>
      </c>
      <c r="J136">
        <v>1</v>
      </c>
      <c r="K136">
        <v>2</v>
      </c>
      <c r="L136">
        <v>1</v>
      </c>
      <c r="M136">
        <v>1</v>
      </c>
      <c r="N136">
        <v>6</v>
      </c>
      <c r="O136">
        <v>6</v>
      </c>
      <c r="P136">
        <v>2</v>
      </c>
      <c r="Q136">
        <v>4</v>
      </c>
      <c r="R136">
        <v>2</v>
      </c>
    </row>
    <row r="137" spans="1:18" customFormat="1" ht="14.25" customHeight="1" x14ac:dyDescent="0.35">
      <c r="A137">
        <v>545</v>
      </c>
      <c r="B137">
        <v>3</v>
      </c>
      <c r="C137">
        <v>1</v>
      </c>
      <c r="D137">
        <v>5</v>
      </c>
      <c r="E137">
        <v>3</v>
      </c>
      <c r="F137">
        <v>1</v>
      </c>
      <c r="G137">
        <v>4</v>
      </c>
      <c r="H137">
        <v>4</v>
      </c>
      <c r="I137">
        <v>2</v>
      </c>
      <c r="J137">
        <v>2</v>
      </c>
      <c r="K137">
        <v>1</v>
      </c>
      <c r="L137">
        <v>3</v>
      </c>
      <c r="M137">
        <v>7</v>
      </c>
      <c r="N137">
        <v>6</v>
      </c>
      <c r="O137">
        <v>6</v>
      </c>
      <c r="P137">
        <v>2</v>
      </c>
      <c r="Q137">
        <v>2</v>
      </c>
      <c r="R137">
        <v>2</v>
      </c>
    </row>
    <row r="138" spans="1:18" customFormat="1" ht="14.25" customHeight="1" x14ac:dyDescent="0.35">
      <c r="A138">
        <v>568</v>
      </c>
      <c r="B138">
        <v>5</v>
      </c>
      <c r="C138">
        <v>1</v>
      </c>
      <c r="D138">
        <v>5</v>
      </c>
      <c r="E138">
        <v>1</v>
      </c>
      <c r="F138">
        <v>1</v>
      </c>
      <c r="G138">
        <v>5</v>
      </c>
      <c r="H138">
        <v>5</v>
      </c>
      <c r="I138">
        <v>3</v>
      </c>
      <c r="K138">
        <v>4</v>
      </c>
      <c r="N138">
        <v>6</v>
      </c>
      <c r="O138">
        <v>2</v>
      </c>
      <c r="P138">
        <v>1</v>
      </c>
      <c r="Q138">
        <v>4</v>
      </c>
      <c r="R138">
        <v>2</v>
      </c>
    </row>
    <row r="139" spans="1:18" customFormat="1" ht="14.25" customHeight="1" x14ac:dyDescent="0.35">
      <c r="A139">
        <v>572</v>
      </c>
      <c r="B139">
        <v>3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2</v>
      </c>
      <c r="N139">
        <v>6</v>
      </c>
      <c r="O139">
        <v>5</v>
      </c>
      <c r="P139">
        <v>2</v>
      </c>
      <c r="Q139">
        <v>4</v>
      </c>
      <c r="R139">
        <v>3</v>
      </c>
    </row>
    <row r="140" spans="1:18" customFormat="1" ht="14.25" customHeight="1" x14ac:dyDescent="0.35">
      <c r="A140">
        <v>583</v>
      </c>
      <c r="B140">
        <v>3</v>
      </c>
      <c r="C140">
        <v>2</v>
      </c>
      <c r="D140">
        <v>4</v>
      </c>
      <c r="E140">
        <v>3</v>
      </c>
      <c r="F140">
        <v>3</v>
      </c>
      <c r="G140">
        <v>2</v>
      </c>
      <c r="H140">
        <v>3</v>
      </c>
      <c r="I140">
        <v>3</v>
      </c>
      <c r="K140">
        <v>2</v>
      </c>
      <c r="N140">
        <v>6</v>
      </c>
      <c r="O140">
        <v>4</v>
      </c>
      <c r="P140">
        <v>3</v>
      </c>
      <c r="Q140">
        <v>2</v>
      </c>
      <c r="R140">
        <v>2</v>
      </c>
    </row>
    <row r="141" spans="1:18" customFormat="1" ht="14.25" customHeight="1" x14ac:dyDescent="0.35">
      <c r="A141">
        <v>587</v>
      </c>
      <c r="B141">
        <v>4</v>
      </c>
      <c r="C141">
        <v>2</v>
      </c>
      <c r="D141">
        <v>4</v>
      </c>
      <c r="E141">
        <v>4</v>
      </c>
      <c r="F141">
        <v>3</v>
      </c>
      <c r="G141">
        <v>5</v>
      </c>
      <c r="H141">
        <v>5</v>
      </c>
      <c r="I141">
        <v>2</v>
      </c>
      <c r="K141">
        <v>3</v>
      </c>
      <c r="L141">
        <v>4</v>
      </c>
      <c r="M141">
        <v>0</v>
      </c>
      <c r="N141">
        <v>6</v>
      </c>
      <c r="O141">
        <v>5</v>
      </c>
      <c r="P141">
        <v>2</v>
      </c>
      <c r="Q141">
        <v>2</v>
      </c>
      <c r="R141">
        <v>2</v>
      </c>
    </row>
    <row r="142" spans="1:18" customFormat="1" ht="14.25" customHeight="1" x14ac:dyDescent="0.35">
      <c r="A142">
        <v>599</v>
      </c>
      <c r="B142">
        <v>4</v>
      </c>
      <c r="C142">
        <v>5</v>
      </c>
      <c r="D142">
        <v>4</v>
      </c>
      <c r="E142">
        <v>3</v>
      </c>
      <c r="F142">
        <v>2</v>
      </c>
      <c r="G142">
        <v>5</v>
      </c>
      <c r="H142">
        <v>5</v>
      </c>
      <c r="I142">
        <v>2</v>
      </c>
      <c r="J142">
        <v>2</v>
      </c>
      <c r="K142">
        <v>2</v>
      </c>
      <c r="L142">
        <v>3</v>
      </c>
      <c r="M142">
        <v>0</v>
      </c>
      <c r="N142">
        <v>5</v>
      </c>
      <c r="O142">
        <v>6</v>
      </c>
      <c r="P142">
        <v>1</v>
      </c>
      <c r="Q142">
        <v>3</v>
      </c>
      <c r="R142">
        <v>2</v>
      </c>
    </row>
    <row r="143" spans="1:18" customFormat="1" ht="14.25" customHeight="1" x14ac:dyDescent="0.35">
      <c r="A143">
        <v>601</v>
      </c>
      <c r="B143">
        <v>5</v>
      </c>
      <c r="C143">
        <v>2</v>
      </c>
      <c r="D143">
        <v>4</v>
      </c>
      <c r="E143">
        <v>1</v>
      </c>
      <c r="F143">
        <v>1</v>
      </c>
      <c r="G143">
        <v>5</v>
      </c>
      <c r="H143">
        <v>5</v>
      </c>
      <c r="I143">
        <v>1</v>
      </c>
      <c r="J143">
        <v>1</v>
      </c>
      <c r="K143">
        <v>1</v>
      </c>
      <c r="L143">
        <v>3</v>
      </c>
      <c r="M143">
        <v>0</v>
      </c>
      <c r="N143">
        <v>6</v>
      </c>
      <c r="O143">
        <v>4</v>
      </c>
      <c r="P143">
        <v>1</v>
      </c>
      <c r="Q143">
        <v>1</v>
      </c>
      <c r="R143">
        <v>2</v>
      </c>
    </row>
    <row r="144" spans="1:18" customFormat="1" ht="14.25" customHeight="1" x14ac:dyDescent="0.35">
      <c r="A144">
        <v>608</v>
      </c>
      <c r="B144">
        <v>4</v>
      </c>
      <c r="C144">
        <v>3</v>
      </c>
      <c r="D144">
        <v>4</v>
      </c>
      <c r="E144">
        <v>3</v>
      </c>
      <c r="F144">
        <v>4</v>
      </c>
      <c r="G144">
        <v>3</v>
      </c>
      <c r="H144">
        <v>1</v>
      </c>
      <c r="I144">
        <v>2</v>
      </c>
      <c r="N144">
        <v>6</v>
      </c>
      <c r="O144">
        <v>6</v>
      </c>
      <c r="P144">
        <v>3</v>
      </c>
      <c r="Q144">
        <v>1</v>
      </c>
      <c r="R144">
        <v>3</v>
      </c>
    </row>
    <row r="145" spans="1:18" customFormat="1" ht="14.25" customHeight="1" x14ac:dyDescent="0.35">
      <c r="A145">
        <v>612</v>
      </c>
      <c r="B145">
        <v>5</v>
      </c>
      <c r="C145">
        <v>1</v>
      </c>
      <c r="D145">
        <v>5</v>
      </c>
      <c r="E145">
        <v>1</v>
      </c>
      <c r="F145">
        <v>1</v>
      </c>
      <c r="G145">
        <v>5</v>
      </c>
      <c r="H145">
        <v>5</v>
      </c>
      <c r="I145">
        <v>1</v>
      </c>
      <c r="J145">
        <v>1</v>
      </c>
      <c r="N145">
        <v>6</v>
      </c>
      <c r="O145">
        <v>4</v>
      </c>
      <c r="P145">
        <v>2</v>
      </c>
      <c r="Q145">
        <v>4</v>
      </c>
      <c r="R145">
        <v>2</v>
      </c>
    </row>
    <row r="146" spans="1:18" customFormat="1" ht="14.25" customHeight="1" x14ac:dyDescent="0.35">
      <c r="A146">
        <v>617</v>
      </c>
      <c r="B146">
        <v>5</v>
      </c>
      <c r="C146">
        <v>5</v>
      </c>
      <c r="D146">
        <v>5</v>
      </c>
      <c r="E146">
        <v>1</v>
      </c>
      <c r="F146">
        <v>1</v>
      </c>
      <c r="G146">
        <v>5</v>
      </c>
      <c r="H146">
        <v>4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6</v>
      </c>
      <c r="O146">
        <v>4</v>
      </c>
      <c r="P146">
        <v>1</v>
      </c>
      <c r="Q146">
        <v>1</v>
      </c>
      <c r="R146">
        <v>1</v>
      </c>
    </row>
    <row r="147" spans="1:18" customFormat="1" ht="14.25" customHeight="1" x14ac:dyDescent="0.35">
      <c r="A147">
        <v>620</v>
      </c>
      <c r="B147">
        <v>5</v>
      </c>
      <c r="C147">
        <v>3</v>
      </c>
      <c r="D147">
        <v>5</v>
      </c>
      <c r="E147">
        <v>2</v>
      </c>
      <c r="F147">
        <v>1</v>
      </c>
      <c r="G147">
        <v>3</v>
      </c>
      <c r="H147">
        <v>5</v>
      </c>
      <c r="I147">
        <v>2</v>
      </c>
      <c r="J147">
        <v>2</v>
      </c>
      <c r="N147">
        <v>6</v>
      </c>
      <c r="O147">
        <v>6</v>
      </c>
      <c r="P147">
        <v>2</v>
      </c>
      <c r="Q147">
        <v>4</v>
      </c>
      <c r="R147">
        <v>2</v>
      </c>
    </row>
    <row r="148" spans="1:18" customFormat="1" ht="14.25" customHeight="1" x14ac:dyDescent="0.35">
      <c r="A148">
        <v>627</v>
      </c>
      <c r="B148">
        <v>2</v>
      </c>
      <c r="C148">
        <v>2</v>
      </c>
      <c r="D148">
        <v>4</v>
      </c>
      <c r="E148">
        <v>4</v>
      </c>
      <c r="F148">
        <v>3</v>
      </c>
      <c r="G148">
        <v>2</v>
      </c>
      <c r="H148">
        <v>4</v>
      </c>
      <c r="I148">
        <v>2</v>
      </c>
      <c r="J148">
        <v>3</v>
      </c>
      <c r="K148">
        <v>2</v>
      </c>
      <c r="L148">
        <v>1</v>
      </c>
      <c r="M148">
        <v>3</v>
      </c>
      <c r="N148">
        <v>6</v>
      </c>
      <c r="O148">
        <v>6</v>
      </c>
      <c r="P148">
        <v>2</v>
      </c>
      <c r="Q148">
        <v>2</v>
      </c>
      <c r="R148">
        <v>4</v>
      </c>
    </row>
    <row r="149" spans="1:18" customFormat="1" ht="14.25" customHeight="1" x14ac:dyDescent="0.35">
      <c r="A149">
        <v>631</v>
      </c>
      <c r="B149">
        <v>3</v>
      </c>
      <c r="C149">
        <v>4</v>
      </c>
      <c r="D149">
        <v>4</v>
      </c>
      <c r="E149">
        <v>3</v>
      </c>
      <c r="F149">
        <v>4</v>
      </c>
      <c r="G149">
        <v>3</v>
      </c>
      <c r="H149">
        <v>2</v>
      </c>
      <c r="I149">
        <v>2</v>
      </c>
      <c r="N149">
        <v>6</v>
      </c>
      <c r="O149">
        <v>4</v>
      </c>
      <c r="P149">
        <v>2</v>
      </c>
      <c r="Q149">
        <v>2</v>
      </c>
      <c r="R149">
        <v>2</v>
      </c>
    </row>
    <row r="150" spans="1:18" customFormat="1" ht="14.25" customHeight="1" x14ac:dyDescent="0.35">
      <c r="A150">
        <v>635</v>
      </c>
      <c r="B150">
        <v>3</v>
      </c>
      <c r="C150">
        <v>2</v>
      </c>
      <c r="D150">
        <v>3</v>
      </c>
      <c r="E150">
        <v>2</v>
      </c>
      <c r="F150">
        <v>2</v>
      </c>
      <c r="G150">
        <v>4</v>
      </c>
      <c r="H150">
        <v>2</v>
      </c>
      <c r="I150">
        <v>2</v>
      </c>
      <c r="J150">
        <v>2</v>
      </c>
      <c r="K150">
        <v>2</v>
      </c>
      <c r="L150">
        <v>3</v>
      </c>
      <c r="M150">
        <v>0</v>
      </c>
      <c r="N150">
        <v>6</v>
      </c>
      <c r="O150">
        <v>6</v>
      </c>
      <c r="P150">
        <v>2</v>
      </c>
      <c r="Q150">
        <v>2</v>
      </c>
      <c r="R150">
        <v>2</v>
      </c>
    </row>
    <row r="151" spans="1:18" customFormat="1" ht="14.25" customHeight="1" x14ac:dyDescent="0.35">
      <c r="A151">
        <v>647</v>
      </c>
      <c r="B151">
        <v>5</v>
      </c>
      <c r="C151">
        <v>4</v>
      </c>
      <c r="D151">
        <v>4</v>
      </c>
      <c r="E151">
        <v>1</v>
      </c>
      <c r="F151">
        <v>1</v>
      </c>
      <c r="G151">
        <v>5</v>
      </c>
      <c r="H151">
        <v>5</v>
      </c>
      <c r="I151">
        <v>1</v>
      </c>
      <c r="N151">
        <v>6</v>
      </c>
      <c r="O151">
        <v>3</v>
      </c>
      <c r="P151">
        <v>3</v>
      </c>
      <c r="Q151">
        <v>4</v>
      </c>
      <c r="R151">
        <v>3</v>
      </c>
    </row>
    <row r="152" spans="1:18" customFormat="1" ht="14.25" customHeight="1" x14ac:dyDescent="0.35">
      <c r="A152">
        <v>656</v>
      </c>
      <c r="B152">
        <v>5</v>
      </c>
      <c r="C152">
        <v>1</v>
      </c>
      <c r="D152">
        <v>1</v>
      </c>
      <c r="E152">
        <v>1</v>
      </c>
      <c r="F152">
        <v>1</v>
      </c>
      <c r="G152">
        <v>5</v>
      </c>
      <c r="H152">
        <v>5</v>
      </c>
      <c r="I152">
        <v>1</v>
      </c>
      <c r="J152">
        <v>1</v>
      </c>
      <c r="N152">
        <v>6</v>
      </c>
      <c r="O152">
        <v>5</v>
      </c>
      <c r="P152">
        <v>1</v>
      </c>
      <c r="Q152">
        <v>4</v>
      </c>
      <c r="R152">
        <v>2</v>
      </c>
    </row>
    <row r="153" spans="1:18" customFormat="1" ht="14.25" customHeight="1" x14ac:dyDescent="0.35">
      <c r="A153">
        <v>660</v>
      </c>
      <c r="B153">
        <v>5</v>
      </c>
      <c r="C153">
        <v>4</v>
      </c>
      <c r="D153">
        <v>4</v>
      </c>
      <c r="E153">
        <v>2</v>
      </c>
      <c r="F153">
        <v>4</v>
      </c>
      <c r="G153">
        <v>4</v>
      </c>
      <c r="H153">
        <v>5</v>
      </c>
      <c r="I153">
        <v>2</v>
      </c>
      <c r="N153">
        <v>6</v>
      </c>
      <c r="O153">
        <v>4</v>
      </c>
      <c r="P153">
        <v>2</v>
      </c>
      <c r="Q153">
        <v>3</v>
      </c>
      <c r="R153">
        <v>2</v>
      </c>
    </row>
    <row r="154" spans="1:18" customFormat="1" ht="14.25" customHeight="1" x14ac:dyDescent="0.35">
      <c r="A154">
        <v>668</v>
      </c>
      <c r="B154">
        <v>1</v>
      </c>
      <c r="C154">
        <v>3</v>
      </c>
      <c r="D154">
        <v>4</v>
      </c>
      <c r="E154">
        <v>2</v>
      </c>
      <c r="F154">
        <v>2</v>
      </c>
      <c r="G154">
        <v>4</v>
      </c>
      <c r="H154">
        <v>3</v>
      </c>
      <c r="I154">
        <v>1</v>
      </c>
      <c r="J154">
        <v>1</v>
      </c>
      <c r="N154">
        <v>6</v>
      </c>
      <c r="O154">
        <v>3</v>
      </c>
      <c r="P154">
        <v>2</v>
      </c>
      <c r="Q154">
        <v>2</v>
      </c>
      <c r="R154">
        <v>1</v>
      </c>
    </row>
    <row r="155" spans="1:18" customFormat="1" ht="14.25" customHeight="1" x14ac:dyDescent="0.35">
      <c r="A155">
        <v>670</v>
      </c>
      <c r="B155">
        <v>5</v>
      </c>
      <c r="C155">
        <v>2</v>
      </c>
      <c r="D155">
        <v>5</v>
      </c>
      <c r="E155">
        <v>3</v>
      </c>
      <c r="F155">
        <v>3</v>
      </c>
      <c r="G155">
        <v>5</v>
      </c>
      <c r="H155">
        <v>5</v>
      </c>
      <c r="I155">
        <v>2</v>
      </c>
      <c r="K155">
        <v>2</v>
      </c>
      <c r="N155">
        <v>6</v>
      </c>
      <c r="O155">
        <v>6</v>
      </c>
      <c r="P155">
        <v>1</v>
      </c>
      <c r="Q155">
        <v>4</v>
      </c>
      <c r="R155">
        <v>1</v>
      </c>
    </row>
    <row r="156" spans="1:18" customFormat="1" ht="14.25" customHeight="1" x14ac:dyDescent="0.35">
      <c r="A156">
        <v>672</v>
      </c>
      <c r="B156">
        <v>5</v>
      </c>
      <c r="C156">
        <v>3</v>
      </c>
      <c r="D156">
        <v>4</v>
      </c>
      <c r="E156">
        <v>3</v>
      </c>
      <c r="F156">
        <v>2</v>
      </c>
      <c r="G156">
        <v>4</v>
      </c>
      <c r="H156">
        <v>5</v>
      </c>
      <c r="I156">
        <v>2</v>
      </c>
      <c r="K156">
        <v>1</v>
      </c>
      <c r="L156">
        <v>1</v>
      </c>
      <c r="M156">
        <v>0</v>
      </c>
      <c r="N156">
        <v>6</v>
      </c>
      <c r="O156">
        <v>6</v>
      </c>
      <c r="P156">
        <v>1</v>
      </c>
      <c r="Q156">
        <v>1</v>
      </c>
      <c r="R156">
        <v>2</v>
      </c>
    </row>
    <row r="157" spans="1:18" customFormat="1" ht="14.25" customHeight="1" x14ac:dyDescent="0.35">
      <c r="A157">
        <v>677</v>
      </c>
      <c r="B157">
        <v>5</v>
      </c>
      <c r="C157">
        <v>1</v>
      </c>
      <c r="D157">
        <v>5</v>
      </c>
      <c r="E157">
        <v>1</v>
      </c>
      <c r="F157">
        <v>1</v>
      </c>
      <c r="G157">
        <v>5</v>
      </c>
      <c r="H157">
        <v>5</v>
      </c>
      <c r="I157">
        <v>2</v>
      </c>
      <c r="N157">
        <v>6</v>
      </c>
      <c r="O157">
        <v>3</v>
      </c>
      <c r="P157">
        <v>1</v>
      </c>
      <c r="Q157">
        <v>2</v>
      </c>
      <c r="R157">
        <v>1</v>
      </c>
    </row>
    <row r="158" spans="1:18" customFormat="1" ht="14.25" customHeight="1" x14ac:dyDescent="0.35">
      <c r="A158">
        <v>685</v>
      </c>
      <c r="B158">
        <v>4</v>
      </c>
      <c r="C158">
        <v>2</v>
      </c>
      <c r="D158">
        <v>5</v>
      </c>
      <c r="E158">
        <v>2</v>
      </c>
      <c r="F158">
        <v>1</v>
      </c>
      <c r="G158">
        <v>3</v>
      </c>
      <c r="H158">
        <v>2</v>
      </c>
      <c r="I158">
        <v>2</v>
      </c>
      <c r="J158">
        <v>2</v>
      </c>
      <c r="K158">
        <v>2</v>
      </c>
      <c r="L158">
        <v>1</v>
      </c>
      <c r="M158">
        <v>0</v>
      </c>
      <c r="N158">
        <v>5</v>
      </c>
      <c r="O158">
        <v>6</v>
      </c>
      <c r="P158">
        <v>1</v>
      </c>
      <c r="Q158">
        <v>2</v>
      </c>
      <c r="R158">
        <v>2</v>
      </c>
    </row>
    <row r="159" spans="1:18" customFormat="1" ht="14.25" customHeight="1" x14ac:dyDescent="0.35">
      <c r="A159">
        <v>704</v>
      </c>
      <c r="B159">
        <v>5</v>
      </c>
      <c r="C159">
        <v>1</v>
      </c>
      <c r="D159">
        <v>4</v>
      </c>
      <c r="E159">
        <v>2</v>
      </c>
      <c r="F159">
        <v>1</v>
      </c>
      <c r="G159">
        <v>5</v>
      </c>
      <c r="H159">
        <v>5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6</v>
      </c>
      <c r="O159">
        <v>2</v>
      </c>
      <c r="P159">
        <v>1</v>
      </c>
      <c r="Q159">
        <v>3</v>
      </c>
      <c r="R159">
        <v>1</v>
      </c>
    </row>
    <row r="160" spans="1:18" customFormat="1" ht="14.25" customHeight="1" x14ac:dyDescent="0.35">
      <c r="A160">
        <v>708</v>
      </c>
      <c r="B160">
        <v>5</v>
      </c>
      <c r="C160">
        <v>4</v>
      </c>
      <c r="D160">
        <v>5</v>
      </c>
      <c r="E160">
        <v>4</v>
      </c>
      <c r="F160">
        <v>1</v>
      </c>
      <c r="G160">
        <v>5</v>
      </c>
      <c r="H160">
        <v>5</v>
      </c>
      <c r="I160">
        <v>2</v>
      </c>
      <c r="J160">
        <v>2</v>
      </c>
      <c r="K160">
        <v>2</v>
      </c>
      <c r="L160">
        <v>1</v>
      </c>
      <c r="M160">
        <v>0</v>
      </c>
      <c r="N160">
        <v>6</v>
      </c>
      <c r="O160">
        <v>3</v>
      </c>
      <c r="P160">
        <v>1</v>
      </c>
      <c r="Q160">
        <v>4</v>
      </c>
      <c r="R160">
        <v>1</v>
      </c>
    </row>
    <row r="161" spans="1:18" customFormat="1" ht="14.25" customHeight="1" x14ac:dyDescent="0.35">
      <c r="A161">
        <v>712</v>
      </c>
      <c r="B161">
        <v>5</v>
      </c>
      <c r="C161">
        <v>1</v>
      </c>
      <c r="D161">
        <v>5</v>
      </c>
      <c r="E161">
        <v>1</v>
      </c>
      <c r="F161">
        <v>1</v>
      </c>
      <c r="G161">
        <v>5</v>
      </c>
      <c r="H161">
        <v>5</v>
      </c>
      <c r="I161">
        <v>1</v>
      </c>
      <c r="J161">
        <v>1</v>
      </c>
      <c r="K161">
        <v>1</v>
      </c>
      <c r="L161">
        <v>3</v>
      </c>
      <c r="M161">
        <v>0</v>
      </c>
      <c r="N161">
        <v>6</v>
      </c>
      <c r="O161">
        <v>2</v>
      </c>
      <c r="P161">
        <v>1</v>
      </c>
      <c r="Q161">
        <v>2</v>
      </c>
      <c r="R161">
        <v>1</v>
      </c>
    </row>
    <row r="162" spans="1:18" customFormat="1" ht="14.25" customHeight="1" x14ac:dyDescent="0.35">
      <c r="A162">
        <v>718</v>
      </c>
      <c r="B162">
        <v>5</v>
      </c>
      <c r="C162">
        <v>2</v>
      </c>
      <c r="D162">
        <v>4</v>
      </c>
      <c r="E162">
        <v>4</v>
      </c>
      <c r="F162">
        <v>2</v>
      </c>
      <c r="G162">
        <v>4</v>
      </c>
      <c r="H162">
        <v>3</v>
      </c>
      <c r="I162">
        <v>2</v>
      </c>
      <c r="K162">
        <v>2</v>
      </c>
      <c r="L162">
        <v>3</v>
      </c>
      <c r="M162">
        <v>2</v>
      </c>
      <c r="N162">
        <v>6</v>
      </c>
      <c r="O162">
        <v>6</v>
      </c>
      <c r="P162">
        <v>2</v>
      </c>
      <c r="Q162">
        <v>2</v>
      </c>
      <c r="R162">
        <v>2</v>
      </c>
    </row>
    <row r="163" spans="1:18" customFormat="1" ht="14.25" customHeight="1" x14ac:dyDescent="0.35">
      <c r="A163">
        <v>724</v>
      </c>
      <c r="B163">
        <v>3</v>
      </c>
      <c r="C163">
        <v>4</v>
      </c>
      <c r="D163">
        <v>3</v>
      </c>
      <c r="E163">
        <v>3</v>
      </c>
      <c r="F163">
        <v>2</v>
      </c>
      <c r="G163">
        <v>4</v>
      </c>
      <c r="H163">
        <v>3</v>
      </c>
      <c r="I163">
        <v>1</v>
      </c>
      <c r="J163">
        <v>1</v>
      </c>
      <c r="K163">
        <v>2</v>
      </c>
      <c r="L163">
        <v>1</v>
      </c>
      <c r="M163">
        <v>0</v>
      </c>
      <c r="N163">
        <v>6</v>
      </c>
      <c r="O163">
        <v>6</v>
      </c>
      <c r="P163">
        <v>2</v>
      </c>
      <c r="Q163">
        <v>2</v>
      </c>
      <c r="R163">
        <v>1</v>
      </c>
    </row>
    <row r="164" spans="1:18" customFormat="1" ht="14.25" customHeight="1" x14ac:dyDescent="0.35">
      <c r="A164">
        <v>727</v>
      </c>
      <c r="B164">
        <v>5</v>
      </c>
      <c r="C164">
        <v>1</v>
      </c>
      <c r="D164">
        <v>5</v>
      </c>
      <c r="E164">
        <v>2</v>
      </c>
      <c r="F164">
        <v>3</v>
      </c>
      <c r="G164">
        <v>5</v>
      </c>
      <c r="H164">
        <v>5</v>
      </c>
      <c r="I164">
        <v>2</v>
      </c>
      <c r="N164">
        <v>6</v>
      </c>
      <c r="O164">
        <v>6</v>
      </c>
      <c r="P164">
        <v>1</v>
      </c>
      <c r="Q164">
        <v>2</v>
      </c>
      <c r="R164">
        <v>1</v>
      </c>
    </row>
    <row r="165" spans="1:18" customFormat="1" ht="14.25" customHeight="1" x14ac:dyDescent="0.35">
      <c r="A165">
        <v>731</v>
      </c>
      <c r="B165">
        <v>3</v>
      </c>
      <c r="C165">
        <v>3</v>
      </c>
      <c r="D165">
        <v>3</v>
      </c>
      <c r="E165">
        <v>3</v>
      </c>
      <c r="F165">
        <v>3</v>
      </c>
      <c r="G165">
        <v>4</v>
      </c>
      <c r="H165">
        <v>3</v>
      </c>
      <c r="I165">
        <v>2</v>
      </c>
      <c r="N165">
        <v>5</v>
      </c>
      <c r="O165">
        <v>6</v>
      </c>
      <c r="P165">
        <v>2</v>
      </c>
      <c r="Q165">
        <v>4</v>
      </c>
      <c r="R165">
        <v>2</v>
      </c>
    </row>
    <row r="166" spans="1:18" customFormat="1" ht="14.25" customHeight="1" x14ac:dyDescent="0.35">
      <c r="A166">
        <v>738</v>
      </c>
      <c r="B166">
        <v>5</v>
      </c>
      <c r="C166">
        <v>2</v>
      </c>
      <c r="D166">
        <v>5</v>
      </c>
      <c r="E166">
        <v>1</v>
      </c>
      <c r="F166">
        <v>1</v>
      </c>
      <c r="G166">
        <v>5</v>
      </c>
      <c r="H166">
        <v>5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6</v>
      </c>
      <c r="O166">
        <v>4</v>
      </c>
      <c r="P166">
        <v>1</v>
      </c>
      <c r="Q166">
        <v>4</v>
      </c>
      <c r="R166">
        <v>1</v>
      </c>
    </row>
    <row r="167" spans="1:18" customFormat="1" ht="14.25" customHeight="1" x14ac:dyDescent="0.35">
      <c r="A167">
        <v>742</v>
      </c>
      <c r="B167">
        <v>5</v>
      </c>
      <c r="C167">
        <v>2</v>
      </c>
      <c r="D167">
        <v>5</v>
      </c>
      <c r="E167">
        <v>1</v>
      </c>
      <c r="F167">
        <v>2</v>
      </c>
      <c r="G167">
        <v>5</v>
      </c>
      <c r="H167">
        <v>4</v>
      </c>
      <c r="I167">
        <v>2</v>
      </c>
      <c r="K167">
        <v>1</v>
      </c>
      <c r="L167">
        <v>1</v>
      </c>
      <c r="M167">
        <v>0</v>
      </c>
      <c r="N167">
        <v>6</v>
      </c>
      <c r="O167">
        <v>6</v>
      </c>
      <c r="P167">
        <v>1</v>
      </c>
      <c r="Q167">
        <v>2</v>
      </c>
      <c r="R167">
        <v>2</v>
      </c>
    </row>
    <row r="168" spans="1:18" customFormat="1" ht="14.25" customHeight="1" x14ac:dyDescent="0.35">
      <c r="A168">
        <v>747</v>
      </c>
      <c r="B168">
        <v>5</v>
      </c>
      <c r="C168">
        <v>1</v>
      </c>
      <c r="D168">
        <v>5</v>
      </c>
      <c r="E168">
        <v>5</v>
      </c>
      <c r="F168">
        <v>1</v>
      </c>
      <c r="G168">
        <v>5</v>
      </c>
      <c r="H168">
        <v>5</v>
      </c>
      <c r="I168">
        <v>2</v>
      </c>
      <c r="K168">
        <v>2</v>
      </c>
      <c r="L168">
        <v>4</v>
      </c>
      <c r="M168">
        <v>15</v>
      </c>
      <c r="N168">
        <v>6</v>
      </c>
      <c r="O168">
        <v>6</v>
      </c>
      <c r="P168">
        <v>2</v>
      </c>
      <c r="Q168">
        <v>5</v>
      </c>
      <c r="R168">
        <v>4</v>
      </c>
    </row>
    <row r="169" spans="1:18" customFormat="1" ht="14.25" customHeight="1" x14ac:dyDescent="0.35">
      <c r="A169">
        <v>752</v>
      </c>
      <c r="B169">
        <v>5</v>
      </c>
      <c r="C169">
        <v>1</v>
      </c>
      <c r="D169">
        <v>5</v>
      </c>
      <c r="E169">
        <v>1</v>
      </c>
      <c r="F169">
        <v>1</v>
      </c>
      <c r="G169">
        <v>5</v>
      </c>
      <c r="H169">
        <v>5</v>
      </c>
      <c r="I169">
        <v>3</v>
      </c>
      <c r="K169">
        <v>2</v>
      </c>
      <c r="L169">
        <v>4</v>
      </c>
      <c r="M169">
        <v>30</v>
      </c>
      <c r="N169">
        <v>6</v>
      </c>
      <c r="O169">
        <v>4</v>
      </c>
      <c r="P169">
        <v>1</v>
      </c>
      <c r="Q169">
        <v>1</v>
      </c>
      <c r="R169">
        <v>1</v>
      </c>
    </row>
    <row r="170" spans="1:18" customFormat="1" ht="14.25" customHeight="1" x14ac:dyDescent="0.35">
      <c r="A170">
        <v>764</v>
      </c>
      <c r="B170">
        <v>4</v>
      </c>
      <c r="C170">
        <v>2</v>
      </c>
      <c r="D170">
        <v>5</v>
      </c>
      <c r="E170">
        <v>3</v>
      </c>
      <c r="F170">
        <v>2</v>
      </c>
      <c r="G170">
        <v>4</v>
      </c>
      <c r="H170">
        <v>4</v>
      </c>
      <c r="I170">
        <v>2</v>
      </c>
      <c r="J170">
        <v>1</v>
      </c>
      <c r="K170">
        <v>2</v>
      </c>
      <c r="L170">
        <v>2</v>
      </c>
      <c r="M170">
        <v>0</v>
      </c>
      <c r="N170">
        <v>6</v>
      </c>
      <c r="O170">
        <v>2</v>
      </c>
      <c r="P170">
        <v>2</v>
      </c>
      <c r="Q170">
        <v>4</v>
      </c>
      <c r="R170">
        <v>2</v>
      </c>
    </row>
    <row r="171" spans="1:18" customFormat="1" ht="14.25" customHeight="1" x14ac:dyDescent="0.35">
      <c r="A171">
        <v>771</v>
      </c>
      <c r="B171">
        <v>4</v>
      </c>
      <c r="C171">
        <v>4</v>
      </c>
      <c r="D171">
        <v>5</v>
      </c>
      <c r="E171">
        <v>3</v>
      </c>
      <c r="F171">
        <v>4</v>
      </c>
      <c r="G171">
        <v>4</v>
      </c>
      <c r="H171">
        <v>3</v>
      </c>
      <c r="I171">
        <v>2</v>
      </c>
      <c r="J171">
        <v>2</v>
      </c>
      <c r="K171">
        <v>2</v>
      </c>
      <c r="N171">
        <v>5</v>
      </c>
      <c r="O171">
        <v>6</v>
      </c>
      <c r="P171">
        <v>2</v>
      </c>
      <c r="Q171">
        <v>1</v>
      </c>
      <c r="R171">
        <v>1</v>
      </c>
    </row>
    <row r="172" spans="1:18" customFormat="1" ht="14.25" customHeight="1" x14ac:dyDescent="0.35">
      <c r="A172">
        <v>776</v>
      </c>
      <c r="B172">
        <v>1</v>
      </c>
      <c r="C172">
        <v>1</v>
      </c>
      <c r="D172">
        <v>5</v>
      </c>
      <c r="E172">
        <v>1</v>
      </c>
      <c r="F172">
        <v>1</v>
      </c>
      <c r="G172">
        <v>5</v>
      </c>
      <c r="H172">
        <v>5</v>
      </c>
      <c r="I172">
        <v>2</v>
      </c>
      <c r="J172">
        <v>2</v>
      </c>
      <c r="K172">
        <v>2</v>
      </c>
      <c r="L172">
        <v>1</v>
      </c>
      <c r="M172">
        <v>0</v>
      </c>
      <c r="N172">
        <v>6</v>
      </c>
      <c r="O172">
        <v>4</v>
      </c>
      <c r="P172">
        <v>2</v>
      </c>
      <c r="Q172">
        <v>4</v>
      </c>
      <c r="R172">
        <v>3</v>
      </c>
    </row>
    <row r="173" spans="1:18" customFormat="1" ht="14.25" customHeight="1" x14ac:dyDescent="0.35">
      <c r="A173">
        <v>781</v>
      </c>
      <c r="B173">
        <v>1</v>
      </c>
      <c r="C173">
        <v>3</v>
      </c>
      <c r="D173">
        <v>5</v>
      </c>
      <c r="E173">
        <v>3</v>
      </c>
      <c r="F173">
        <v>4</v>
      </c>
      <c r="G173">
        <v>1</v>
      </c>
      <c r="H173">
        <v>1</v>
      </c>
      <c r="I173">
        <v>1</v>
      </c>
      <c r="N173">
        <v>6</v>
      </c>
      <c r="O173">
        <v>4</v>
      </c>
      <c r="P173">
        <v>1</v>
      </c>
      <c r="Q173">
        <v>2</v>
      </c>
      <c r="R173">
        <v>1</v>
      </c>
    </row>
    <row r="174" spans="1:18" customFormat="1" ht="14.25" customHeight="1" x14ac:dyDescent="0.35">
      <c r="A174">
        <v>785</v>
      </c>
      <c r="B174">
        <v>4</v>
      </c>
      <c r="C174">
        <v>2</v>
      </c>
      <c r="D174">
        <v>4</v>
      </c>
      <c r="E174">
        <v>2</v>
      </c>
      <c r="F174">
        <v>2</v>
      </c>
      <c r="G174">
        <v>4</v>
      </c>
      <c r="H174">
        <v>4</v>
      </c>
      <c r="I174">
        <v>2</v>
      </c>
      <c r="J174">
        <v>2</v>
      </c>
      <c r="N174">
        <v>6</v>
      </c>
      <c r="O174">
        <v>6</v>
      </c>
      <c r="P174">
        <v>2</v>
      </c>
      <c r="Q174">
        <v>3</v>
      </c>
      <c r="R174">
        <v>2</v>
      </c>
    </row>
    <row r="175" spans="1:18" customFormat="1" ht="14.25" customHeight="1" x14ac:dyDescent="0.35">
      <c r="A175">
        <v>793</v>
      </c>
      <c r="B175">
        <v>5</v>
      </c>
      <c r="C175">
        <v>1</v>
      </c>
      <c r="D175">
        <v>1</v>
      </c>
      <c r="E175">
        <v>1</v>
      </c>
      <c r="F175">
        <v>5</v>
      </c>
      <c r="G175">
        <v>1</v>
      </c>
      <c r="H175">
        <v>3</v>
      </c>
      <c r="I175">
        <v>1</v>
      </c>
      <c r="J175">
        <v>1</v>
      </c>
      <c r="N175">
        <v>6</v>
      </c>
      <c r="O175">
        <v>4</v>
      </c>
      <c r="P175">
        <v>1</v>
      </c>
      <c r="Q175">
        <v>2</v>
      </c>
      <c r="R175">
        <v>1</v>
      </c>
    </row>
    <row r="176" spans="1:18" customFormat="1" ht="14.25" customHeight="1" x14ac:dyDescent="0.35">
      <c r="A176">
        <v>805</v>
      </c>
      <c r="B176">
        <v>5</v>
      </c>
      <c r="C176">
        <v>1</v>
      </c>
      <c r="D176">
        <v>5</v>
      </c>
      <c r="E176">
        <v>4</v>
      </c>
      <c r="F176">
        <v>3</v>
      </c>
      <c r="G176">
        <v>5</v>
      </c>
      <c r="H176">
        <v>5</v>
      </c>
      <c r="I176">
        <v>2</v>
      </c>
      <c r="J176">
        <v>1</v>
      </c>
      <c r="N176">
        <v>6</v>
      </c>
      <c r="O176">
        <v>4</v>
      </c>
      <c r="P176">
        <v>1</v>
      </c>
      <c r="Q176">
        <v>2</v>
      </c>
      <c r="R176">
        <v>3</v>
      </c>
    </row>
    <row r="177" spans="1:18" customFormat="1" ht="14.25" customHeight="1" x14ac:dyDescent="0.35">
      <c r="A177">
        <v>808</v>
      </c>
      <c r="B177">
        <v>5</v>
      </c>
      <c r="C177">
        <v>1</v>
      </c>
      <c r="D177">
        <v>5</v>
      </c>
      <c r="E177">
        <v>1</v>
      </c>
      <c r="F177">
        <v>1</v>
      </c>
      <c r="G177">
        <v>5</v>
      </c>
      <c r="H177">
        <v>5</v>
      </c>
      <c r="I177">
        <v>2</v>
      </c>
      <c r="K177">
        <v>1</v>
      </c>
      <c r="L177">
        <v>3</v>
      </c>
      <c r="M177">
        <v>0</v>
      </c>
      <c r="N177">
        <v>3</v>
      </c>
      <c r="O177">
        <v>4</v>
      </c>
      <c r="P177">
        <v>1</v>
      </c>
      <c r="Q177">
        <v>1</v>
      </c>
      <c r="R177">
        <v>1</v>
      </c>
    </row>
    <row r="178" spans="1:18" customFormat="1" ht="14.25" customHeight="1" x14ac:dyDescent="0.35">
      <c r="A178">
        <v>815</v>
      </c>
      <c r="B178">
        <v>5</v>
      </c>
      <c r="C178">
        <v>1</v>
      </c>
      <c r="D178">
        <v>5</v>
      </c>
      <c r="E178">
        <v>4</v>
      </c>
      <c r="F178">
        <v>1</v>
      </c>
      <c r="G178">
        <v>5</v>
      </c>
      <c r="H178">
        <v>5</v>
      </c>
      <c r="I178">
        <v>1</v>
      </c>
      <c r="N178">
        <v>6</v>
      </c>
      <c r="O178">
        <v>6</v>
      </c>
      <c r="P178">
        <v>1</v>
      </c>
      <c r="Q178">
        <v>3</v>
      </c>
      <c r="R178">
        <v>1</v>
      </c>
    </row>
    <row r="179" spans="1:18" customFormat="1" ht="14.25" customHeight="1" x14ac:dyDescent="0.35">
      <c r="A179">
        <v>825</v>
      </c>
      <c r="B179">
        <v>3</v>
      </c>
      <c r="C179">
        <v>2</v>
      </c>
      <c r="D179">
        <v>4</v>
      </c>
      <c r="E179">
        <v>4</v>
      </c>
      <c r="F179">
        <v>3</v>
      </c>
      <c r="G179">
        <v>3</v>
      </c>
      <c r="H179">
        <v>3</v>
      </c>
      <c r="I179">
        <v>1</v>
      </c>
      <c r="K179">
        <v>1</v>
      </c>
      <c r="L179">
        <v>1</v>
      </c>
      <c r="M179">
        <v>0</v>
      </c>
      <c r="N179">
        <v>6</v>
      </c>
      <c r="O179">
        <v>5</v>
      </c>
      <c r="P179">
        <v>2</v>
      </c>
      <c r="Q179">
        <v>3</v>
      </c>
      <c r="R179">
        <v>1</v>
      </c>
    </row>
    <row r="180" spans="1:18" customFormat="1" ht="14.25" customHeight="1" x14ac:dyDescent="0.35">
      <c r="A180">
        <v>830</v>
      </c>
      <c r="B180">
        <v>4</v>
      </c>
      <c r="C180">
        <v>2</v>
      </c>
      <c r="D180">
        <v>4</v>
      </c>
      <c r="E180">
        <v>3</v>
      </c>
      <c r="F180">
        <v>3</v>
      </c>
      <c r="G180">
        <v>4</v>
      </c>
      <c r="H180">
        <v>4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4</v>
      </c>
      <c r="O180">
        <v>4</v>
      </c>
      <c r="P180">
        <v>1</v>
      </c>
      <c r="Q180">
        <v>2</v>
      </c>
      <c r="R180">
        <v>2</v>
      </c>
    </row>
    <row r="181" spans="1:18" customFormat="1" ht="14.25" customHeight="1" x14ac:dyDescent="0.35">
      <c r="A181">
        <v>837</v>
      </c>
      <c r="B181">
        <v>5</v>
      </c>
      <c r="C181">
        <v>4</v>
      </c>
      <c r="D181">
        <v>4</v>
      </c>
      <c r="E181">
        <v>4</v>
      </c>
      <c r="F181">
        <v>3</v>
      </c>
      <c r="G181">
        <v>3</v>
      </c>
      <c r="H181">
        <v>5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6</v>
      </c>
      <c r="O181">
        <v>4</v>
      </c>
      <c r="P181">
        <v>2</v>
      </c>
      <c r="Q181">
        <v>3</v>
      </c>
      <c r="R181">
        <v>2</v>
      </c>
    </row>
    <row r="182" spans="1:18" customFormat="1" ht="14.25" customHeight="1" x14ac:dyDescent="0.35">
      <c r="A182">
        <v>843</v>
      </c>
      <c r="B182">
        <v>2</v>
      </c>
      <c r="C182">
        <v>1</v>
      </c>
      <c r="D182">
        <v>4</v>
      </c>
      <c r="E182">
        <v>3</v>
      </c>
      <c r="F182">
        <v>3</v>
      </c>
      <c r="G182">
        <v>3</v>
      </c>
      <c r="H182">
        <v>3</v>
      </c>
      <c r="I182">
        <v>1</v>
      </c>
      <c r="J182">
        <v>1</v>
      </c>
      <c r="K182">
        <v>2</v>
      </c>
      <c r="L182">
        <v>2</v>
      </c>
      <c r="M182">
        <v>0</v>
      </c>
      <c r="N182">
        <v>6</v>
      </c>
      <c r="O182">
        <v>3</v>
      </c>
      <c r="P182">
        <v>1</v>
      </c>
      <c r="Q182">
        <v>1</v>
      </c>
      <c r="R182">
        <v>1</v>
      </c>
    </row>
    <row r="183" spans="1:18" customFormat="1" ht="14.25" customHeight="1" x14ac:dyDescent="0.35">
      <c r="A183">
        <v>847</v>
      </c>
      <c r="B183">
        <v>5</v>
      </c>
      <c r="C183">
        <v>4</v>
      </c>
      <c r="D183">
        <v>4</v>
      </c>
      <c r="E183">
        <v>2</v>
      </c>
      <c r="F183">
        <v>2</v>
      </c>
      <c r="G183">
        <v>4</v>
      </c>
      <c r="H183">
        <v>4</v>
      </c>
      <c r="I183">
        <v>2</v>
      </c>
      <c r="K183">
        <v>1</v>
      </c>
      <c r="L183">
        <v>2</v>
      </c>
      <c r="M183">
        <v>1</v>
      </c>
      <c r="N183">
        <v>6</v>
      </c>
      <c r="O183">
        <v>6</v>
      </c>
      <c r="P183">
        <v>1</v>
      </c>
      <c r="Q183">
        <v>3</v>
      </c>
      <c r="R183">
        <v>2</v>
      </c>
    </row>
    <row r="184" spans="1:18" customFormat="1" ht="14.25" customHeight="1" x14ac:dyDescent="0.35">
      <c r="A184">
        <v>852</v>
      </c>
      <c r="B184">
        <v>4</v>
      </c>
      <c r="C184">
        <v>2</v>
      </c>
      <c r="D184">
        <v>2</v>
      </c>
      <c r="E184">
        <v>3</v>
      </c>
      <c r="F184">
        <v>2</v>
      </c>
      <c r="G184">
        <v>4</v>
      </c>
      <c r="H184">
        <v>4</v>
      </c>
      <c r="I184">
        <v>2</v>
      </c>
      <c r="N184">
        <v>5</v>
      </c>
      <c r="O184">
        <v>4</v>
      </c>
      <c r="P184">
        <v>2</v>
      </c>
      <c r="Q184">
        <v>3</v>
      </c>
      <c r="R184">
        <v>4</v>
      </c>
    </row>
    <row r="185" spans="1:18" customFormat="1" ht="14.25" customHeight="1" x14ac:dyDescent="0.35">
      <c r="A185">
        <v>855</v>
      </c>
      <c r="B185">
        <v>4</v>
      </c>
      <c r="C185">
        <v>2</v>
      </c>
      <c r="D185">
        <v>4</v>
      </c>
      <c r="E185">
        <v>2</v>
      </c>
      <c r="F185">
        <v>1</v>
      </c>
      <c r="G185">
        <v>4</v>
      </c>
      <c r="H185">
        <v>4</v>
      </c>
      <c r="I185">
        <v>2</v>
      </c>
      <c r="J185">
        <v>2</v>
      </c>
      <c r="K185">
        <v>2</v>
      </c>
      <c r="L185">
        <v>2</v>
      </c>
      <c r="M185">
        <v>0</v>
      </c>
      <c r="N185">
        <v>6</v>
      </c>
      <c r="O185">
        <v>6</v>
      </c>
      <c r="P185">
        <v>1</v>
      </c>
      <c r="Q185">
        <v>2</v>
      </c>
      <c r="R185">
        <v>3</v>
      </c>
    </row>
    <row r="186" spans="1:18" customFormat="1" ht="14.25" customHeight="1" x14ac:dyDescent="0.35">
      <c r="A186">
        <v>860</v>
      </c>
      <c r="B186">
        <v>5</v>
      </c>
      <c r="C186">
        <v>1</v>
      </c>
      <c r="D186">
        <v>5</v>
      </c>
      <c r="E186">
        <v>2</v>
      </c>
      <c r="F186">
        <v>3</v>
      </c>
      <c r="G186">
        <v>5</v>
      </c>
      <c r="H186">
        <v>5</v>
      </c>
      <c r="I186">
        <v>3</v>
      </c>
      <c r="K186">
        <v>2</v>
      </c>
      <c r="N186">
        <v>6</v>
      </c>
      <c r="O186">
        <v>4</v>
      </c>
      <c r="P186">
        <v>3</v>
      </c>
      <c r="Q186">
        <v>3</v>
      </c>
      <c r="R186">
        <v>3</v>
      </c>
    </row>
    <row r="187" spans="1:18" customFormat="1" ht="14.25" customHeight="1" x14ac:dyDescent="0.35">
      <c r="A187">
        <v>876</v>
      </c>
      <c r="B187">
        <v>5</v>
      </c>
      <c r="C187">
        <v>4</v>
      </c>
      <c r="D187">
        <v>5</v>
      </c>
      <c r="E187">
        <v>2</v>
      </c>
      <c r="F187">
        <v>1</v>
      </c>
      <c r="G187">
        <v>5</v>
      </c>
      <c r="H187">
        <v>5</v>
      </c>
      <c r="I187">
        <v>2</v>
      </c>
      <c r="J187">
        <v>2</v>
      </c>
      <c r="K187">
        <v>2</v>
      </c>
      <c r="L187">
        <v>4</v>
      </c>
      <c r="M187">
        <v>0</v>
      </c>
      <c r="N187">
        <v>6</v>
      </c>
      <c r="O187">
        <v>5</v>
      </c>
      <c r="P187">
        <v>2</v>
      </c>
      <c r="Q187">
        <v>2</v>
      </c>
      <c r="R187">
        <v>2</v>
      </c>
    </row>
    <row r="188" spans="1:18" customFormat="1" ht="14.25" customHeight="1" x14ac:dyDescent="0.35">
      <c r="A188">
        <v>878</v>
      </c>
      <c r="B188">
        <v>5</v>
      </c>
      <c r="C188">
        <v>5</v>
      </c>
      <c r="D188">
        <v>5</v>
      </c>
      <c r="E188">
        <v>1</v>
      </c>
      <c r="F188">
        <v>1</v>
      </c>
      <c r="G188">
        <v>5</v>
      </c>
      <c r="H188">
        <v>5</v>
      </c>
      <c r="I188">
        <v>2</v>
      </c>
      <c r="J188">
        <v>2</v>
      </c>
      <c r="K188">
        <v>2</v>
      </c>
      <c r="L188">
        <v>3</v>
      </c>
      <c r="M188">
        <v>4</v>
      </c>
      <c r="N188">
        <v>6</v>
      </c>
      <c r="O188">
        <v>6</v>
      </c>
      <c r="P188">
        <v>1</v>
      </c>
      <c r="Q188">
        <v>2</v>
      </c>
      <c r="R188">
        <v>2</v>
      </c>
    </row>
    <row r="189" spans="1:18" customFormat="1" ht="14.25" customHeight="1" x14ac:dyDescent="0.35">
      <c r="A189">
        <v>882</v>
      </c>
      <c r="B189">
        <v>4</v>
      </c>
      <c r="C189">
        <v>1</v>
      </c>
      <c r="D189">
        <v>5</v>
      </c>
      <c r="E189">
        <v>1</v>
      </c>
      <c r="F189">
        <v>1</v>
      </c>
      <c r="G189">
        <v>3</v>
      </c>
      <c r="H189">
        <v>4</v>
      </c>
      <c r="I189">
        <v>2</v>
      </c>
      <c r="J189">
        <v>1</v>
      </c>
      <c r="K189">
        <v>1</v>
      </c>
      <c r="L189">
        <v>2</v>
      </c>
      <c r="M189">
        <v>0</v>
      </c>
      <c r="N189">
        <v>6</v>
      </c>
      <c r="O189">
        <v>5</v>
      </c>
      <c r="P189">
        <v>2</v>
      </c>
      <c r="Q189">
        <v>2</v>
      </c>
      <c r="R189">
        <v>2</v>
      </c>
    </row>
    <row r="190" spans="1:18" customFormat="1" ht="14.25" customHeight="1" x14ac:dyDescent="0.35">
      <c r="A190">
        <v>886</v>
      </c>
      <c r="B190">
        <v>3</v>
      </c>
      <c r="C190">
        <v>3</v>
      </c>
      <c r="D190">
        <v>4</v>
      </c>
      <c r="E190">
        <v>3</v>
      </c>
      <c r="F190">
        <v>2</v>
      </c>
      <c r="G190">
        <v>3</v>
      </c>
      <c r="H190">
        <v>3</v>
      </c>
      <c r="I190">
        <v>1</v>
      </c>
      <c r="J190">
        <v>1</v>
      </c>
      <c r="K190">
        <v>2</v>
      </c>
      <c r="L190">
        <v>2</v>
      </c>
      <c r="M190">
        <v>0</v>
      </c>
      <c r="N190">
        <v>5</v>
      </c>
      <c r="O190">
        <v>3</v>
      </c>
      <c r="P190">
        <v>2</v>
      </c>
      <c r="Q190">
        <v>3</v>
      </c>
      <c r="R190">
        <v>3</v>
      </c>
    </row>
    <row r="191" spans="1:18" customFormat="1" ht="14.25" customHeight="1" x14ac:dyDescent="0.35">
      <c r="A191">
        <v>891</v>
      </c>
      <c r="B191">
        <v>4</v>
      </c>
      <c r="C191">
        <v>1</v>
      </c>
      <c r="D191">
        <v>5</v>
      </c>
      <c r="E191">
        <v>2</v>
      </c>
      <c r="F191">
        <v>2</v>
      </c>
      <c r="G191">
        <v>5</v>
      </c>
      <c r="H191">
        <v>5</v>
      </c>
      <c r="I191">
        <v>3</v>
      </c>
      <c r="J191">
        <v>1</v>
      </c>
      <c r="K191">
        <v>4</v>
      </c>
      <c r="L191">
        <v>4</v>
      </c>
      <c r="M191">
        <v>30</v>
      </c>
      <c r="N191">
        <v>3</v>
      </c>
      <c r="O191">
        <v>3</v>
      </c>
      <c r="P191">
        <v>2</v>
      </c>
      <c r="Q191">
        <v>2</v>
      </c>
      <c r="R191">
        <v>3</v>
      </c>
    </row>
    <row r="192" spans="1:18" customFormat="1" ht="14.25" customHeight="1" x14ac:dyDescent="0.35">
      <c r="A192">
        <v>894</v>
      </c>
      <c r="B192">
        <v>5</v>
      </c>
      <c r="C192">
        <v>1</v>
      </c>
      <c r="D192">
        <v>5</v>
      </c>
      <c r="E192">
        <v>1</v>
      </c>
      <c r="F192">
        <v>1</v>
      </c>
      <c r="G192">
        <v>5</v>
      </c>
      <c r="H192">
        <v>5</v>
      </c>
      <c r="I192">
        <v>1</v>
      </c>
      <c r="J192">
        <v>1</v>
      </c>
      <c r="K192">
        <v>1</v>
      </c>
      <c r="L192">
        <v>2</v>
      </c>
      <c r="M192">
        <v>0</v>
      </c>
      <c r="N192">
        <v>6</v>
      </c>
      <c r="O192">
        <v>4</v>
      </c>
      <c r="P192">
        <v>1</v>
      </c>
      <c r="Q192">
        <v>4</v>
      </c>
      <c r="R192">
        <v>1</v>
      </c>
    </row>
    <row r="193" spans="1:18" customFormat="1" ht="14.25" customHeight="1" x14ac:dyDescent="0.35">
      <c r="A193">
        <v>898</v>
      </c>
      <c r="B193">
        <v>4</v>
      </c>
      <c r="C193">
        <v>2</v>
      </c>
      <c r="D193">
        <v>4</v>
      </c>
      <c r="E193">
        <v>3</v>
      </c>
      <c r="F193">
        <v>2</v>
      </c>
      <c r="G193">
        <v>4</v>
      </c>
      <c r="H193">
        <v>4</v>
      </c>
      <c r="I193">
        <v>1</v>
      </c>
      <c r="K193">
        <v>1</v>
      </c>
      <c r="L193">
        <v>3</v>
      </c>
      <c r="M193">
        <v>0</v>
      </c>
      <c r="N193">
        <v>6</v>
      </c>
      <c r="O193">
        <v>5</v>
      </c>
      <c r="P193">
        <v>2</v>
      </c>
      <c r="Q193">
        <v>4</v>
      </c>
      <c r="R193">
        <v>3</v>
      </c>
    </row>
    <row r="194" spans="1:18" customFormat="1" ht="14.25" customHeight="1" x14ac:dyDescent="0.35">
      <c r="A194">
        <v>906</v>
      </c>
      <c r="B194">
        <v>5</v>
      </c>
      <c r="C194">
        <v>3</v>
      </c>
      <c r="D194">
        <v>5</v>
      </c>
      <c r="E194">
        <v>3</v>
      </c>
      <c r="F194">
        <v>2</v>
      </c>
      <c r="G194">
        <v>2</v>
      </c>
      <c r="H194">
        <v>5</v>
      </c>
      <c r="I194">
        <v>3</v>
      </c>
      <c r="K194">
        <v>2</v>
      </c>
      <c r="L194">
        <v>5</v>
      </c>
      <c r="M194">
        <v>30</v>
      </c>
      <c r="N194">
        <v>4</v>
      </c>
      <c r="O194">
        <v>6</v>
      </c>
      <c r="P194">
        <v>3</v>
      </c>
      <c r="Q194">
        <v>1</v>
      </c>
      <c r="R194">
        <v>1</v>
      </c>
    </row>
    <row r="195" spans="1:18" customFormat="1" ht="14.25" customHeight="1" x14ac:dyDescent="0.35">
      <c r="A195">
        <v>919</v>
      </c>
      <c r="B195">
        <v>3</v>
      </c>
      <c r="C195">
        <v>3</v>
      </c>
      <c r="D195">
        <v>2</v>
      </c>
      <c r="E195">
        <v>5</v>
      </c>
      <c r="F195">
        <v>4</v>
      </c>
      <c r="G195">
        <v>1</v>
      </c>
      <c r="H195">
        <v>4</v>
      </c>
      <c r="I195">
        <v>1</v>
      </c>
      <c r="K195">
        <v>1</v>
      </c>
      <c r="L195">
        <v>1</v>
      </c>
      <c r="M195">
        <v>0</v>
      </c>
      <c r="N195">
        <v>4</v>
      </c>
      <c r="O195">
        <v>4</v>
      </c>
      <c r="P195">
        <v>1</v>
      </c>
      <c r="Q195">
        <v>3</v>
      </c>
      <c r="R195">
        <v>3</v>
      </c>
    </row>
    <row r="196" spans="1:18" customFormat="1" ht="14.25" customHeight="1" x14ac:dyDescent="0.35">
      <c r="A196">
        <v>929</v>
      </c>
      <c r="B196">
        <v>5</v>
      </c>
      <c r="C196">
        <v>5</v>
      </c>
      <c r="D196">
        <v>5</v>
      </c>
      <c r="E196">
        <v>1</v>
      </c>
      <c r="F196">
        <v>1</v>
      </c>
      <c r="G196">
        <v>5</v>
      </c>
      <c r="H196">
        <v>5</v>
      </c>
      <c r="I196">
        <v>3</v>
      </c>
      <c r="J196">
        <v>2</v>
      </c>
      <c r="K196">
        <v>3</v>
      </c>
      <c r="N196">
        <v>6</v>
      </c>
      <c r="O196">
        <v>3</v>
      </c>
      <c r="P196">
        <v>2</v>
      </c>
      <c r="Q196">
        <v>4</v>
      </c>
      <c r="R196">
        <v>2</v>
      </c>
    </row>
    <row r="197" spans="1:18" customFormat="1" ht="14.25" customHeight="1" x14ac:dyDescent="0.35">
      <c r="A197">
        <v>941</v>
      </c>
      <c r="B197">
        <v>4</v>
      </c>
      <c r="C197">
        <v>3</v>
      </c>
      <c r="D197">
        <v>4</v>
      </c>
      <c r="E197">
        <v>4</v>
      </c>
      <c r="F197">
        <v>2</v>
      </c>
      <c r="G197">
        <v>3</v>
      </c>
      <c r="H197">
        <v>2</v>
      </c>
      <c r="I197">
        <v>2</v>
      </c>
      <c r="K197">
        <v>3</v>
      </c>
      <c r="N197">
        <v>5</v>
      </c>
      <c r="O197">
        <v>4</v>
      </c>
      <c r="P197">
        <v>2</v>
      </c>
      <c r="Q197">
        <v>2</v>
      </c>
      <c r="R197">
        <v>2</v>
      </c>
    </row>
    <row r="198" spans="1:18" customFormat="1" ht="14.25" customHeight="1" x14ac:dyDescent="0.35">
      <c r="A198">
        <v>942</v>
      </c>
      <c r="B198">
        <v>3</v>
      </c>
      <c r="C198">
        <v>3</v>
      </c>
      <c r="D198">
        <v>4</v>
      </c>
      <c r="E198">
        <v>3</v>
      </c>
      <c r="F198">
        <v>3</v>
      </c>
      <c r="G198">
        <v>4</v>
      </c>
      <c r="H198">
        <v>5</v>
      </c>
      <c r="I198">
        <v>2</v>
      </c>
      <c r="K198">
        <v>1</v>
      </c>
      <c r="N198">
        <v>6</v>
      </c>
      <c r="O198">
        <v>5</v>
      </c>
      <c r="P198">
        <v>4</v>
      </c>
      <c r="R198">
        <v>5</v>
      </c>
    </row>
    <row r="199" spans="1:18" customFormat="1" ht="14.25" customHeight="1" x14ac:dyDescent="0.35">
      <c r="A199">
        <v>947</v>
      </c>
      <c r="B199">
        <v>5</v>
      </c>
      <c r="C199">
        <v>1</v>
      </c>
      <c r="D199">
        <v>5</v>
      </c>
      <c r="E199">
        <v>1</v>
      </c>
      <c r="F199">
        <v>1</v>
      </c>
      <c r="G199">
        <v>5</v>
      </c>
      <c r="H199">
        <v>5</v>
      </c>
      <c r="I199">
        <v>2</v>
      </c>
      <c r="K199">
        <v>1</v>
      </c>
      <c r="L199">
        <v>2</v>
      </c>
      <c r="M199">
        <v>0</v>
      </c>
      <c r="N199">
        <v>6</v>
      </c>
      <c r="O199">
        <v>6</v>
      </c>
      <c r="P199">
        <v>1</v>
      </c>
      <c r="Q199">
        <v>5</v>
      </c>
      <c r="R199">
        <v>1</v>
      </c>
    </row>
    <row r="200" spans="1:18" customFormat="1" ht="14.25" customHeight="1" x14ac:dyDescent="0.35">
      <c r="A200">
        <v>953</v>
      </c>
      <c r="B200">
        <v>5</v>
      </c>
      <c r="C200">
        <v>1</v>
      </c>
      <c r="D200">
        <v>5</v>
      </c>
      <c r="E200">
        <v>1</v>
      </c>
      <c r="F200">
        <v>1</v>
      </c>
      <c r="G200">
        <v>5</v>
      </c>
      <c r="H200">
        <v>5</v>
      </c>
      <c r="I200">
        <v>2</v>
      </c>
      <c r="K200">
        <v>1</v>
      </c>
      <c r="L200">
        <v>2</v>
      </c>
      <c r="M200">
        <v>0</v>
      </c>
      <c r="N200">
        <v>6</v>
      </c>
      <c r="O200">
        <v>6</v>
      </c>
      <c r="P200">
        <v>1</v>
      </c>
      <c r="Q200">
        <v>2</v>
      </c>
      <c r="R200">
        <v>1</v>
      </c>
    </row>
    <row r="201" spans="1:18" customFormat="1" ht="14.25" customHeight="1" x14ac:dyDescent="0.35">
      <c r="A201">
        <v>960</v>
      </c>
      <c r="B201">
        <v>3</v>
      </c>
      <c r="C201">
        <v>1</v>
      </c>
      <c r="D201">
        <v>2</v>
      </c>
      <c r="E201">
        <v>2</v>
      </c>
      <c r="F201">
        <v>2</v>
      </c>
      <c r="G201">
        <v>4</v>
      </c>
      <c r="H201">
        <v>4</v>
      </c>
      <c r="I201">
        <v>2</v>
      </c>
      <c r="J201">
        <v>3</v>
      </c>
      <c r="K201">
        <v>2</v>
      </c>
      <c r="L201">
        <v>3</v>
      </c>
      <c r="M201">
        <v>0</v>
      </c>
      <c r="N201">
        <v>6</v>
      </c>
      <c r="O201">
        <v>6</v>
      </c>
      <c r="P201">
        <v>2</v>
      </c>
      <c r="Q201">
        <v>5</v>
      </c>
      <c r="R201">
        <v>4</v>
      </c>
    </row>
    <row r="202" spans="1:18" customFormat="1" ht="14.25" customHeight="1" x14ac:dyDescent="0.35">
      <c r="A202">
        <v>962</v>
      </c>
      <c r="B202">
        <v>4</v>
      </c>
      <c r="C202">
        <v>2</v>
      </c>
      <c r="D202">
        <v>5</v>
      </c>
      <c r="E202">
        <v>2</v>
      </c>
      <c r="F202">
        <v>2</v>
      </c>
      <c r="G202">
        <v>4</v>
      </c>
      <c r="H202">
        <v>4</v>
      </c>
      <c r="I202">
        <v>2</v>
      </c>
      <c r="K202">
        <v>3</v>
      </c>
      <c r="L202">
        <v>3</v>
      </c>
      <c r="M202">
        <v>0</v>
      </c>
      <c r="N202">
        <v>6</v>
      </c>
      <c r="O202">
        <v>1</v>
      </c>
      <c r="P202">
        <v>2</v>
      </c>
      <c r="Q202">
        <v>2</v>
      </c>
      <c r="R202">
        <v>2</v>
      </c>
    </row>
    <row r="203" spans="1:18" customFormat="1" ht="14.25" customHeight="1" x14ac:dyDescent="0.35">
      <c r="A203">
        <v>964</v>
      </c>
      <c r="B203">
        <v>4</v>
      </c>
      <c r="C203">
        <v>3</v>
      </c>
      <c r="D203">
        <v>4</v>
      </c>
      <c r="E203">
        <v>3</v>
      </c>
      <c r="F203">
        <v>4</v>
      </c>
      <c r="G203">
        <v>3</v>
      </c>
      <c r="H203">
        <v>4</v>
      </c>
      <c r="I203">
        <v>2</v>
      </c>
      <c r="J203">
        <v>2</v>
      </c>
      <c r="N203">
        <v>6</v>
      </c>
      <c r="O203">
        <v>5</v>
      </c>
      <c r="P203">
        <v>2</v>
      </c>
      <c r="Q203">
        <v>2</v>
      </c>
      <c r="R203">
        <v>3</v>
      </c>
    </row>
    <row r="204" spans="1:18" customFormat="1" ht="14.25" customHeight="1" x14ac:dyDescent="0.35">
      <c r="A204">
        <v>971</v>
      </c>
      <c r="B204">
        <v>2</v>
      </c>
      <c r="C204">
        <v>4</v>
      </c>
      <c r="D204">
        <v>4</v>
      </c>
      <c r="E204">
        <v>3</v>
      </c>
      <c r="F204">
        <v>2</v>
      </c>
      <c r="G204">
        <v>2</v>
      </c>
      <c r="H204">
        <v>2</v>
      </c>
      <c r="I204">
        <v>2</v>
      </c>
      <c r="J204">
        <v>1</v>
      </c>
      <c r="K204">
        <v>1</v>
      </c>
      <c r="L204">
        <v>3</v>
      </c>
      <c r="M204">
        <v>7</v>
      </c>
      <c r="N204">
        <v>6</v>
      </c>
      <c r="O204">
        <v>6</v>
      </c>
      <c r="P204">
        <v>3</v>
      </c>
      <c r="Q204">
        <v>4</v>
      </c>
      <c r="R204">
        <v>3</v>
      </c>
    </row>
    <row r="205" spans="1:18" customFormat="1" ht="14.25" customHeight="1" x14ac:dyDescent="0.35">
      <c r="A205">
        <v>976</v>
      </c>
      <c r="B205">
        <v>4</v>
      </c>
      <c r="C205">
        <v>5</v>
      </c>
      <c r="D205">
        <v>3</v>
      </c>
      <c r="E205">
        <v>5</v>
      </c>
      <c r="F205">
        <v>3</v>
      </c>
      <c r="G205">
        <v>1</v>
      </c>
      <c r="H205">
        <v>1</v>
      </c>
      <c r="I205">
        <v>3</v>
      </c>
      <c r="K205">
        <v>3</v>
      </c>
      <c r="N205">
        <v>6</v>
      </c>
      <c r="O205">
        <v>5</v>
      </c>
      <c r="P205">
        <v>3</v>
      </c>
      <c r="Q205">
        <v>2</v>
      </c>
      <c r="R205">
        <v>4</v>
      </c>
    </row>
    <row r="206" spans="1:18" customFormat="1" ht="14.25" customHeight="1" x14ac:dyDescent="0.35">
      <c r="A206">
        <v>980</v>
      </c>
      <c r="B206">
        <v>4</v>
      </c>
      <c r="C206">
        <v>2</v>
      </c>
      <c r="D206">
        <v>4</v>
      </c>
      <c r="E206">
        <v>1</v>
      </c>
      <c r="F206">
        <v>1</v>
      </c>
      <c r="G206">
        <v>5</v>
      </c>
      <c r="H206">
        <v>4</v>
      </c>
      <c r="I206">
        <v>1</v>
      </c>
      <c r="J206">
        <v>1</v>
      </c>
      <c r="N206">
        <v>6</v>
      </c>
      <c r="O206">
        <v>4</v>
      </c>
      <c r="P206">
        <v>2</v>
      </c>
      <c r="Q206">
        <v>2</v>
      </c>
      <c r="R206">
        <v>2</v>
      </c>
    </row>
    <row r="207" spans="1:18" customFormat="1" ht="14.25" customHeight="1" x14ac:dyDescent="0.35">
      <c r="A207">
        <v>989</v>
      </c>
      <c r="B207">
        <v>4</v>
      </c>
      <c r="C207">
        <v>1</v>
      </c>
      <c r="D207">
        <v>3</v>
      </c>
      <c r="E207">
        <v>2</v>
      </c>
      <c r="F207">
        <v>2</v>
      </c>
      <c r="G207">
        <v>5</v>
      </c>
      <c r="H207">
        <v>5</v>
      </c>
      <c r="I207">
        <v>2</v>
      </c>
      <c r="N207">
        <v>5</v>
      </c>
      <c r="O207">
        <v>5</v>
      </c>
      <c r="P207">
        <v>2</v>
      </c>
      <c r="Q207">
        <v>2</v>
      </c>
      <c r="R207">
        <v>2</v>
      </c>
    </row>
    <row r="208" spans="1:18" customFormat="1" ht="14.25" customHeight="1" x14ac:dyDescent="0.35">
      <c r="A208">
        <v>994</v>
      </c>
      <c r="B208">
        <v>4</v>
      </c>
      <c r="C208">
        <v>1</v>
      </c>
      <c r="D208">
        <v>5</v>
      </c>
      <c r="E208">
        <v>1</v>
      </c>
      <c r="F208">
        <v>1</v>
      </c>
      <c r="G208">
        <v>5</v>
      </c>
      <c r="H208">
        <v>2</v>
      </c>
      <c r="I208">
        <v>2</v>
      </c>
      <c r="J208">
        <v>2</v>
      </c>
      <c r="K208">
        <v>1</v>
      </c>
      <c r="L208">
        <v>3</v>
      </c>
      <c r="M208">
        <v>0</v>
      </c>
      <c r="N208">
        <v>4</v>
      </c>
      <c r="O208">
        <v>4</v>
      </c>
      <c r="P208">
        <v>1</v>
      </c>
      <c r="Q208">
        <v>2</v>
      </c>
      <c r="R208">
        <v>2</v>
      </c>
    </row>
    <row r="209" spans="1:18" customFormat="1" ht="14.25" customHeight="1" x14ac:dyDescent="0.35">
      <c r="A209">
        <v>996</v>
      </c>
      <c r="B209">
        <v>4</v>
      </c>
      <c r="C209">
        <v>1</v>
      </c>
      <c r="D209">
        <v>4</v>
      </c>
      <c r="E209">
        <v>2</v>
      </c>
      <c r="F209">
        <v>2</v>
      </c>
      <c r="G209">
        <v>5</v>
      </c>
      <c r="H209">
        <v>5</v>
      </c>
      <c r="I209">
        <v>2</v>
      </c>
      <c r="J209">
        <v>2</v>
      </c>
      <c r="N209">
        <v>6</v>
      </c>
      <c r="O209">
        <v>6</v>
      </c>
      <c r="P209">
        <v>2</v>
      </c>
      <c r="Q209">
        <v>3</v>
      </c>
      <c r="R209">
        <v>2</v>
      </c>
    </row>
    <row r="210" spans="1:18" customFormat="1" ht="14.25" customHeight="1" x14ac:dyDescent="0.35">
      <c r="A210">
        <v>1004</v>
      </c>
      <c r="B210">
        <v>5</v>
      </c>
      <c r="C210">
        <v>3</v>
      </c>
      <c r="D210">
        <v>5</v>
      </c>
      <c r="E210">
        <v>3</v>
      </c>
      <c r="F210">
        <v>3</v>
      </c>
      <c r="G210">
        <v>5</v>
      </c>
      <c r="H210">
        <v>3</v>
      </c>
      <c r="I210">
        <v>2</v>
      </c>
      <c r="K210">
        <v>1</v>
      </c>
      <c r="N210">
        <v>6</v>
      </c>
      <c r="O210">
        <v>6</v>
      </c>
      <c r="P210">
        <v>2</v>
      </c>
      <c r="Q210">
        <v>3</v>
      </c>
      <c r="R210">
        <v>2</v>
      </c>
    </row>
    <row r="211" spans="1:18" customFormat="1" ht="14.25" customHeight="1" x14ac:dyDescent="0.35">
      <c r="A211">
        <v>1014</v>
      </c>
      <c r="B211">
        <v>2</v>
      </c>
      <c r="C211">
        <v>2</v>
      </c>
      <c r="D211">
        <v>2</v>
      </c>
      <c r="E211">
        <v>5</v>
      </c>
      <c r="F211">
        <v>2</v>
      </c>
      <c r="G211">
        <v>3</v>
      </c>
      <c r="H211">
        <v>1</v>
      </c>
      <c r="I211">
        <v>2</v>
      </c>
      <c r="J211">
        <v>2</v>
      </c>
      <c r="K211">
        <v>1</v>
      </c>
      <c r="L211">
        <v>2</v>
      </c>
      <c r="M211">
        <v>0</v>
      </c>
      <c r="N211">
        <v>6</v>
      </c>
      <c r="O211">
        <v>6</v>
      </c>
      <c r="P211">
        <v>5</v>
      </c>
      <c r="Q211">
        <v>1</v>
      </c>
      <c r="R211">
        <v>5</v>
      </c>
    </row>
    <row r="212" spans="1:18" customFormat="1" ht="14.25" customHeight="1" x14ac:dyDescent="0.35">
      <c r="A212">
        <v>1019</v>
      </c>
      <c r="B212">
        <v>5</v>
      </c>
      <c r="C212">
        <v>1</v>
      </c>
      <c r="D212">
        <v>5</v>
      </c>
      <c r="E212">
        <v>1</v>
      </c>
      <c r="F212">
        <v>1</v>
      </c>
      <c r="G212">
        <v>5</v>
      </c>
      <c r="H212">
        <v>5</v>
      </c>
      <c r="I212">
        <v>2</v>
      </c>
      <c r="J212">
        <v>2</v>
      </c>
      <c r="N212">
        <v>6</v>
      </c>
      <c r="O212">
        <v>4</v>
      </c>
      <c r="P212">
        <v>1</v>
      </c>
      <c r="Q212">
        <v>3</v>
      </c>
      <c r="R212">
        <v>2</v>
      </c>
    </row>
    <row r="213" spans="1:18" customFormat="1" ht="14.25" customHeight="1" x14ac:dyDescent="0.35">
      <c r="A213">
        <v>1023</v>
      </c>
      <c r="B213">
        <v>5</v>
      </c>
      <c r="C213">
        <v>4</v>
      </c>
      <c r="D213">
        <v>4</v>
      </c>
      <c r="E213">
        <v>2</v>
      </c>
      <c r="F213">
        <v>1</v>
      </c>
      <c r="G213">
        <v>5</v>
      </c>
      <c r="H213">
        <v>3</v>
      </c>
      <c r="I213">
        <v>2</v>
      </c>
      <c r="K213">
        <v>2</v>
      </c>
      <c r="N213">
        <v>5</v>
      </c>
      <c r="O213">
        <v>5</v>
      </c>
      <c r="P213">
        <v>1</v>
      </c>
      <c r="Q213">
        <v>3</v>
      </c>
      <c r="R213">
        <v>2</v>
      </c>
    </row>
    <row r="214" spans="1:18" customFormat="1" ht="14.25" customHeight="1" x14ac:dyDescent="0.35">
      <c r="A214">
        <v>1030</v>
      </c>
      <c r="B214">
        <v>4</v>
      </c>
      <c r="C214">
        <v>1</v>
      </c>
      <c r="D214">
        <v>5</v>
      </c>
      <c r="E214">
        <v>1</v>
      </c>
      <c r="F214">
        <v>3</v>
      </c>
      <c r="G214">
        <v>5</v>
      </c>
      <c r="H214">
        <v>5</v>
      </c>
      <c r="I214">
        <v>1</v>
      </c>
      <c r="K214">
        <v>1</v>
      </c>
      <c r="N214">
        <v>6</v>
      </c>
      <c r="O214">
        <v>6</v>
      </c>
      <c r="P214">
        <v>3</v>
      </c>
      <c r="Q214">
        <v>5</v>
      </c>
      <c r="R214">
        <v>3</v>
      </c>
    </row>
    <row r="215" spans="1:18" customFormat="1" ht="14.25" customHeight="1" x14ac:dyDescent="0.35">
      <c r="A215">
        <v>1033</v>
      </c>
      <c r="B215">
        <v>1</v>
      </c>
      <c r="C215">
        <v>1</v>
      </c>
      <c r="D215">
        <v>5</v>
      </c>
      <c r="E215">
        <v>1</v>
      </c>
      <c r="F215">
        <v>4</v>
      </c>
      <c r="G215">
        <v>5</v>
      </c>
      <c r="H215">
        <v>5</v>
      </c>
      <c r="I215">
        <v>1</v>
      </c>
      <c r="J215">
        <v>1</v>
      </c>
      <c r="K215">
        <v>1</v>
      </c>
      <c r="L215">
        <v>3</v>
      </c>
      <c r="M215">
        <v>0</v>
      </c>
      <c r="N215">
        <v>3</v>
      </c>
      <c r="O215">
        <v>4</v>
      </c>
      <c r="P215">
        <v>1</v>
      </c>
      <c r="Q215">
        <v>4</v>
      </c>
      <c r="R215">
        <v>2</v>
      </c>
    </row>
    <row r="216" spans="1:18" customFormat="1" ht="14.25" customHeight="1" x14ac:dyDescent="0.35">
      <c r="A216">
        <v>1038</v>
      </c>
      <c r="B216">
        <v>5</v>
      </c>
      <c r="C216">
        <v>1</v>
      </c>
      <c r="D216">
        <v>5</v>
      </c>
      <c r="E216">
        <v>1</v>
      </c>
      <c r="F216">
        <v>1</v>
      </c>
      <c r="G216">
        <v>5</v>
      </c>
      <c r="H216">
        <v>5</v>
      </c>
      <c r="I216">
        <v>2</v>
      </c>
      <c r="N216">
        <v>6</v>
      </c>
      <c r="O216">
        <v>6</v>
      </c>
      <c r="P216">
        <v>2</v>
      </c>
      <c r="Q216">
        <v>2</v>
      </c>
      <c r="R216">
        <v>2</v>
      </c>
    </row>
    <row r="217" spans="1:18" customFormat="1" ht="14.25" customHeight="1" x14ac:dyDescent="0.35">
      <c r="A217">
        <v>1049</v>
      </c>
      <c r="B217">
        <v>4</v>
      </c>
      <c r="C217">
        <v>2</v>
      </c>
      <c r="D217">
        <v>4</v>
      </c>
      <c r="E217">
        <v>1</v>
      </c>
      <c r="F217">
        <v>1</v>
      </c>
      <c r="G217">
        <v>5</v>
      </c>
      <c r="H217">
        <v>5</v>
      </c>
      <c r="I217">
        <v>1</v>
      </c>
      <c r="J217">
        <v>1</v>
      </c>
      <c r="N217">
        <v>6</v>
      </c>
      <c r="O217">
        <v>2</v>
      </c>
      <c r="P217">
        <v>1</v>
      </c>
      <c r="Q217">
        <v>4</v>
      </c>
      <c r="R217">
        <v>1</v>
      </c>
    </row>
    <row r="218" spans="1:18" customFormat="1" ht="14.25" customHeight="1" x14ac:dyDescent="0.35">
      <c r="A218">
        <v>1064</v>
      </c>
      <c r="B218">
        <v>2</v>
      </c>
      <c r="C218">
        <v>2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2</v>
      </c>
      <c r="K218">
        <v>2</v>
      </c>
      <c r="L218">
        <v>1</v>
      </c>
      <c r="M218">
        <v>0</v>
      </c>
      <c r="N218">
        <v>6</v>
      </c>
      <c r="O218">
        <v>6</v>
      </c>
      <c r="P218">
        <v>2</v>
      </c>
      <c r="Q218">
        <v>1</v>
      </c>
      <c r="R218">
        <v>2</v>
      </c>
    </row>
    <row r="219" spans="1:18" customFormat="1" ht="14.25" customHeight="1" x14ac:dyDescent="0.35">
      <c r="A219">
        <v>1065</v>
      </c>
      <c r="B219">
        <v>4</v>
      </c>
      <c r="C219">
        <v>1</v>
      </c>
      <c r="D219">
        <v>4</v>
      </c>
      <c r="E219">
        <v>1</v>
      </c>
      <c r="F219">
        <v>1</v>
      </c>
      <c r="G219">
        <v>5</v>
      </c>
      <c r="H219">
        <v>5</v>
      </c>
      <c r="I219">
        <v>1</v>
      </c>
      <c r="K219">
        <v>3</v>
      </c>
      <c r="L219">
        <v>1</v>
      </c>
      <c r="M219">
        <v>0</v>
      </c>
      <c r="N219">
        <v>5</v>
      </c>
      <c r="O219">
        <v>5</v>
      </c>
      <c r="P219">
        <v>2</v>
      </c>
      <c r="Q219">
        <v>2</v>
      </c>
      <c r="R219">
        <v>3</v>
      </c>
    </row>
    <row r="220" spans="1:18" customFormat="1" ht="14.25" customHeight="1" x14ac:dyDescent="0.35">
      <c r="A220">
        <v>1070</v>
      </c>
      <c r="B220">
        <v>5</v>
      </c>
      <c r="C220">
        <v>1</v>
      </c>
      <c r="D220">
        <v>5</v>
      </c>
      <c r="E220">
        <v>1</v>
      </c>
      <c r="F220">
        <v>1</v>
      </c>
      <c r="G220">
        <v>5</v>
      </c>
      <c r="H220">
        <v>5</v>
      </c>
      <c r="I220">
        <v>1</v>
      </c>
      <c r="K220">
        <v>2</v>
      </c>
      <c r="L220">
        <v>2</v>
      </c>
      <c r="M220">
        <v>0</v>
      </c>
      <c r="N220">
        <v>6</v>
      </c>
      <c r="O220">
        <v>4</v>
      </c>
      <c r="P220">
        <v>2</v>
      </c>
      <c r="Q220">
        <v>2</v>
      </c>
      <c r="R220">
        <v>2</v>
      </c>
    </row>
    <row r="221" spans="1:18" customFormat="1" ht="14.25" customHeight="1" x14ac:dyDescent="0.35">
      <c r="A221">
        <v>1072</v>
      </c>
      <c r="B221">
        <v>3</v>
      </c>
      <c r="C221">
        <v>3</v>
      </c>
      <c r="D221">
        <v>3</v>
      </c>
      <c r="E221">
        <v>3</v>
      </c>
      <c r="F221">
        <v>4</v>
      </c>
      <c r="G221">
        <v>3</v>
      </c>
      <c r="H221">
        <v>3</v>
      </c>
      <c r="I221">
        <v>1</v>
      </c>
      <c r="J221">
        <v>1</v>
      </c>
      <c r="K221">
        <v>1</v>
      </c>
      <c r="L221">
        <v>4</v>
      </c>
      <c r="M221">
        <v>0</v>
      </c>
      <c r="N221">
        <v>6</v>
      </c>
      <c r="O221">
        <v>5</v>
      </c>
      <c r="P221">
        <v>2</v>
      </c>
      <c r="Q221">
        <v>2</v>
      </c>
      <c r="R221">
        <v>2</v>
      </c>
    </row>
    <row r="222" spans="1:18" customFormat="1" ht="14.25" customHeight="1" x14ac:dyDescent="0.35">
      <c r="A222">
        <v>1075</v>
      </c>
      <c r="B222">
        <v>5</v>
      </c>
      <c r="C222">
        <v>1</v>
      </c>
      <c r="D222">
        <v>5</v>
      </c>
      <c r="E222">
        <v>1</v>
      </c>
      <c r="F222">
        <v>1</v>
      </c>
      <c r="G222">
        <v>3</v>
      </c>
      <c r="H222">
        <v>5</v>
      </c>
      <c r="I222">
        <v>1</v>
      </c>
      <c r="J222">
        <v>1</v>
      </c>
      <c r="K222">
        <v>1</v>
      </c>
      <c r="N222">
        <v>6</v>
      </c>
      <c r="O222">
        <v>3</v>
      </c>
      <c r="P222">
        <v>1</v>
      </c>
      <c r="Q222">
        <v>5</v>
      </c>
      <c r="R222">
        <v>1</v>
      </c>
    </row>
    <row r="223" spans="1:18" customFormat="1" ht="14.25" customHeight="1" x14ac:dyDescent="0.35">
      <c r="A223">
        <v>1078</v>
      </c>
      <c r="B223">
        <v>5</v>
      </c>
      <c r="C223">
        <v>2</v>
      </c>
      <c r="D223">
        <v>5</v>
      </c>
      <c r="E223">
        <v>2</v>
      </c>
      <c r="F223">
        <v>2</v>
      </c>
      <c r="G223">
        <v>5</v>
      </c>
      <c r="H223">
        <v>5</v>
      </c>
      <c r="I223">
        <v>2</v>
      </c>
      <c r="N223">
        <v>6</v>
      </c>
      <c r="O223">
        <v>4</v>
      </c>
      <c r="P223">
        <v>2</v>
      </c>
      <c r="Q223">
        <v>2</v>
      </c>
      <c r="R223">
        <v>2</v>
      </c>
    </row>
    <row r="224" spans="1:18" customFormat="1" ht="14.25" customHeight="1" x14ac:dyDescent="0.35">
      <c r="A224">
        <v>1083</v>
      </c>
      <c r="B224">
        <v>5</v>
      </c>
      <c r="C224">
        <v>4</v>
      </c>
      <c r="D224">
        <v>4</v>
      </c>
      <c r="E224">
        <v>4</v>
      </c>
      <c r="F224">
        <v>5</v>
      </c>
      <c r="G224">
        <v>4</v>
      </c>
      <c r="H224">
        <v>4</v>
      </c>
      <c r="I224">
        <v>1</v>
      </c>
      <c r="N224">
        <v>6</v>
      </c>
      <c r="O224">
        <v>6</v>
      </c>
      <c r="P224">
        <v>1</v>
      </c>
      <c r="Q224">
        <v>1</v>
      </c>
      <c r="R224">
        <v>2</v>
      </c>
    </row>
    <row r="225" spans="1:18" customFormat="1" ht="14.25" customHeight="1" x14ac:dyDescent="0.35">
      <c r="A225">
        <v>1088</v>
      </c>
      <c r="B225">
        <v>3</v>
      </c>
      <c r="C225">
        <v>4</v>
      </c>
      <c r="D225">
        <v>4</v>
      </c>
      <c r="E225">
        <v>3</v>
      </c>
      <c r="F225">
        <v>1</v>
      </c>
      <c r="G225">
        <v>4</v>
      </c>
      <c r="H225">
        <v>4</v>
      </c>
      <c r="I225">
        <v>2</v>
      </c>
      <c r="J225">
        <v>2</v>
      </c>
      <c r="N225">
        <v>6</v>
      </c>
      <c r="O225">
        <v>4</v>
      </c>
      <c r="P225">
        <v>3</v>
      </c>
      <c r="Q225">
        <v>2</v>
      </c>
      <c r="R225">
        <v>3</v>
      </c>
    </row>
    <row r="226" spans="1:18" customFormat="1" ht="14.25" customHeight="1" x14ac:dyDescent="0.35">
      <c r="A226">
        <v>1094</v>
      </c>
      <c r="B226">
        <v>4</v>
      </c>
      <c r="C226">
        <v>5</v>
      </c>
      <c r="D226">
        <v>4</v>
      </c>
      <c r="E226">
        <v>4</v>
      </c>
      <c r="F226">
        <v>4</v>
      </c>
      <c r="G226">
        <v>5</v>
      </c>
      <c r="H226">
        <v>4</v>
      </c>
      <c r="I226">
        <v>1</v>
      </c>
      <c r="J226">
        <v>1</v>
      </c>
      <c r="K226">
        <v>2</v>
      </c>
      <c r="L226">
        <v>1</v>
      </c>
      <c r="M226">
        <v>0</v>
      </c>
      <c r="N226">
        <v>6</v>
      </c>
      <c r="O226">
        <v>4</v>
      </c>
      <c r="P226">
        <v>4</v>
      </c>
      <c r="Q226">
        <v>1</v>
      </c>
      <c r="R226">
        <v>1</v>
      </c>
    </row>
    <row r="227" spans="1:18" customFormat="1" ht="14.25" customHeight="1" x14ac:dyDescent="0.35">
      <c r="A227">
        <v>1102</v>
      </c>
      <c r="B227">
        <v>5</v>
      </c>
      <c r="C227">
        <v>1</v>
      </c>
      <c r="D227">
        <v>3</v>
      </c>
      <c r="E227">
        <v>5</v>
      </c>
      <c r="F227">
        <v>5</v>
      </c>
      <c r="G227">
        <v>5</v>
      </c>
      <c r="H227">
        <v>5</v>
      </c>
      <c r="I227">
        <v>2</v>
      </c>
      <c r="N227">
        <v>6</v>
      </c>
      <c r="O227">
        <v>6</v>
      </c>
      <c r="P227">
        <v>1</v>
      </c>
      <c r="Q227">
        <v>3</v>
      </c>
      <c r="R227">
        <v>2</v>
      </c>
    </row>
    <row r="228" spans="1:18" customFormat="1" ht="14.25" customHeight="1" x14ac:dyDescent="0.35">
      <c r="A228">
        <v>1111</v>
      </c>
      <c r="B228">
        <v>5</v>
      </c>
      <c r="C228">
        <v>1</v>
      </c>
      <c r="D228">
        <v>5</v>
      </c>
      <c r="E228">
        <v>1</v>
      </c>
      <c r="F228">
        <v>1</v>
      </c>
      <c r="G228">
        <v>4</v>
      </c>
      <c r="H228">
        <v>4</v>
      </c>
      <c r="I228">
        <v>2</v>
      </c>
      <c r="K228">
        <v>2</v>
      </c>
      <c r="L228">
        <v>4</v>
      </c>
      <c r="M228">
        <v>0</v>
      </c>
      <c r="N228">
        <v>6</v>
      </c>
      <c r="O228">
        <v>3</v>
      </c>
      <c r="P228">
        <v>1</v>
      </c>
      <c r="Q228">
        <v>5</v>
      </c>
      <c r="R228">
        <v>2</v>
      </c>
    </row>
    <row r="229" spans="1:18" customFormat="1" ht="14.25" customHeight="1" x14ac:dyDescent="0.35">
      <c r="A229">
        <v>1115</v>
      </c>
      <c r="B229">
        <v>5</v>
      </c>
      <c r="C229">
        <v>5</v>
      </c>
      <c r="D229">
        <v>5</v>
      </c>
      <c r="E229">
        <v>2</v>
      </c>
      <c r="F229">
        <v>1</v>
      </c>
      <c r="G229">
        <v>5</v>
      </c>
      <c r="H229">
        <v>5</v>
      </c>
      <c r="I229">
        <v>3</v>
      </c>
      <c r="N229">
        <v>6</v>
      </c>
      <c r="O229">
        <v>4</v>
      </c>
      <c r="P229">
        <v>2</v>
      </c>
      <c r="Q229">
        <v>1</v>
      </c>
      <c r="R229">
        <v>2</v>
      </c>
    </row>
    <row r="230" spans="1:18" customFormat="1" ht="14.25" customHeight="1" x14ac:dyDescent="0.35">
      <c r="A230">
        <v>1116</v>
      </c>
      <c r="B230">
        <v>5</v>
      </c>
      <c r="C230">
        <v>4</v>
      </c>
      <c r="D230">
        <v>5</v>
      </c>
      <c r="E230">
        <v>1</v>
      </c>
      <c r="F230">
        <v>2</v>
      </c>
      <c r="G230">
        <v>5</v>
      </c>
      <c r="H230">
        <v>5</v>
      </c>
      <c r="I230">
        <v>2</v>
      </c>
      <c r="K230">
        <v>4</v>
      </c>
      <c r="N230">
        <v>6</v>
      </c>
      <c r="O230">
        <v>4</v>
      </c>
      <c r="P230">
        <v>1</v>
      </c>
      <c r="Q230">
        <v>1</v>
      </c>
      <c r="R230">
        <v>1</v>
      </c>
    </row>
    <row r="231" spans="1:18" customFormat="1" ht="14.25" customHeight="1" x14ac:dyDescent="0.35">
      <c r="A231">
        <v>1120</v>
      </c>
      <c r="B231">
        <v>5</v>
      </c>
      <c r="C231">
        <v>1</v>
      </c>
      <c r="D231">
        <v>5</v>
      </c>
      <c r="E231">
        <v>1</v>
      </c>
      <c r="F231">
        <v>1</v>
      </c>
      <c r="G231">
        <v>5</v>
      </c>
      <c r="H231">
        <v>5</v>
      </c>
      <c r="I231">
        <v>1</v>
      </c>
      <c r="K231">
        <v>1</v>
      </c>
      <c r="L231">
        <v>1</v>
      </c>
      <c r="M231">
        <v>0</v>
      </c>
      <c r="N231">
        <v>6</v>
      </c>
      <c r="O231">
        <v>1</v>
      </c>
      <c r="P231">
        <v>1</v>
      </c>
      <c r="Q231">
        <v>5</v>
      </c>
      <c r="R231">
        <v>1</v>
      </c>
    </row>
    <row r="232" spans="1:18" customFormat="1" ht="14.25" customHeight="1" x14ac:dyDescent="0.35">
      <c r="A232">
        <v>1126</v>
      </c>
      <c r="B232">
        <v>4</v>
      </c>
      <c r="C232">
        <v>1</v>
      </c>
      <c r="D232">
        <v>1</v>
      </c>
      <c r="E232">
        <v>3</v>
      </c>
      <c r="F232">
        <v>1</v>
      </c>
      <c r="G232">
        <v>5</v>
      </c>
      <c r="H232">
        <v>1</v>
      </c>
      <c r="I232">
        <v>2</v>
      </c>
      <c r="K232">
        <v>1</v>
      </c>
      <c r="L232">
        <v>1</v>
      </c>
      <c r="M232">
        <v>0</v>
      </c>
      <c r="N232">
        <v>6</v>
      </c>
      <c r="O232">
        <v>4</v>
      </c>
      <c r="P232">
        <v>2</v>
      </c>
      <c r="Q232">
        <v>1</v>
      </c>
      <c r="R232">
        <v>3</v>
      </c>
    </row>
    <row r="233" spans="1:18" customFormat="1" ht="14.25" customHeight="1" x14ac:dyDescent="0.35">
      <c r="A233">
        <v>1129</v>
      </c>
      <c r="B233">
        <v>4</v>
      </c>
      <c r="C233">
        <v>3</v>
      </c>
      <c r="D233">
        <v>5</v>
      </c>
      <c r="E233">
        <v>1</v>
      </c>
      <c r="F233">
        <v>2</v>
      </c>
      <c r="G233">
        <v>3</v>
      </c>
      <c r="H233">
        <v>4</v>
      </c>
      <c r="I233">
        <v>1</v>
      </c>
      <c r="N233">
        <v>6</v>
      </c>
      <c r="O233">
        <v>6</v>
      </c>
      <c r="P233">
        <v>1</v>
      </c>
      <c r="Q233">
        <v>4</v>
      </c>
      <c r="R233">
        <v>2</v>
      </c>
    </row>
    <row r="234" spans="1:18" customFormat="1" ht="14.25" customHeight="1" x14ac:dyDescent="0.35">
      <c r="A234">
        <v>1136</v>
      </c>
      <c r="B234">
        <v>3</v>
      </c>
      <c r="C234">
        <v>3</v>
      </c>
      <c r="D234">
        <v>1</v>
      </c>
      <c r="E234">
        <v>1</v>
      </c>
      <c r="F234">
        <v>3</v>
      </c>
      <c r="G234">
        <v>1</v>
      </c>
      <c r="H234">
        <v>2</v>
      </c>
      <c r="I234">
        <v>2</v>
      </c>
      <c r="J234">
        <v>2</v>
      </c>
      <c r="N234">
        <v>6</v>
      </c>
      <c r="O234">
        <v>6</v>
      </c>
      <c r="P234">
        <v>1</v>
      </c>
      <c r="Q234">
        <v>1</v>
      </c>
      <c r="R234">
        <v>4</v>
      </c>
    </row>
    <row r="235" spans="1:18" customFormat="1" ht="14.25" customHeight="1" x14ac:dyDescent="0.35">
      <c r="A235">
        <v>1141</v>
      </c>
      <c r="B235">
        <v>1</v>
      </c>
      <c r="C235">
        <v>4</v>
      </c>
      <c r="D235">
        <v>2</v>
      </c>
      <c r="E235">
        <v>4</v>
      </c>
      <c r="F235">
        <v>4</v>
      </c>
      <c r="G235">
        <v>4</v>
      </c>
      <c r="H235">
        <v>2</v>
      </c>
      <c r="I235">
        <v>2</v>
      </c>
      <c r="K235">
        <v>1</v>
      </c>
      <c r="L235">
        <v>3</v>
      </c>
      <c r="M235">
        <v>0</v>
      </c>
      <c r="N235">
        <v>6</v>
      </c>
      <c r="O235">
        <v>6</v>
      </c>
      <c r="P235">
        <v>3</v>
      </c>
      <c r="Q235">
        <v>1</v>
      </c>
      <c r="R235">
        <v>5</v>
      </c>
    </row>
    <row r="236" spans="1:18" customFormat="1" ht="14.25" customHeight="1" x14ac:dyDescent="0.35">
      <c r="A236">
        <v>1148</v>
      </c>
      <c r="B236">
        <v>5</v>
      </c>
      <c r="C236">
        <v>5</v>
      </c>
      <c r="D236">
        <v>4</v>
      </c>
      <c r="E236">
        <v>1</v>
      </c>
      <c r="F236">
        <v>2</v>
      </c>
      <c r="G236">
        <v>3</v>
      </c>
      <c r="H236">
        <v>3</v>
      </c>
      <c r="I236">
        <v>1</v>
      </c>
      <c r="K236">
        <v>2</v>
      </c>
      <c r="L236">
        <v>2</v>
      </c>
      <c r="M236">
        <v>0</v>
      </c>
      <c r="N236">
        <v>5</v>
      </c>
      <c r="O236">
        <v>4</v>
      </c>
      <c r="P236">
        <v>1</v>
      </c>
      <c r="Q236">
        <v>2</v>
      </c>
      <c r="R236">
        <v>2</v>
      </c>
    </row>
    <row r="237" spans="1:18" customFormat="1" ht="14.25" customHeight="1" x14ac:dyDescent="0.35">
      <c r="A237">
        <v>1151</v>
      </c>
      <c r="B237">
        <v>4</v>
      </c>
      <c r="C237">
        <v>3</v>
      </c>
      <c r="D237">
        <v>4</v>
      </c>
      <c r="E237">
        <v>4</v>
      </c>
      <c r="F237">
        <v>4</v>
      </c>
      <c r="G237">
        <v>4</v>
      </c>
      <c r="H237">
        <v>4</v>
      </c>
      <c r="I237">
        <v>2</v>
      </c>
      <c r="K237">
        <v>1</v>
      </c>
      <c r="L237">
        <v>1</v>
      </c>
      <c r="M237">
        <v>0</v>
      </c>
      <c r="N237">
        <v>6</v>
      </c>
      <c r="O237">
        <v>6</v>
      </c>
      <c r="P237">
        <v>3</v>
      </c>
      <c r="Q237">
        <v>3</v>
      </c>
      <c r="R237">
        <v>3</v>
      </c>
    </row>
    <row r="238" spans="1:18" customFormat="1" ht="14.25" customHeight="1" x14ac:dyDescent="0.35">
      <c r="A238">
        <v>1154</v>
      </c>
      <c r="B238">
        <v>4</v>
      </c>
      <c r="C238">
        <v>4</v>
      </c>
      <c r="D238">
        <v>4</v>
      </c>
      <c r="E238">
        <v>3</v>
      </c>
      <c r="F238">
        <v>4</v>
      </c>
      <c r="G238">
        <v>3</v>
      </c>
      <c r="H238">
        <v>4</v>
      </c>
      <c r="I238">
        <v>1</v>
      </c>
      <c r="J238">
        <v>1</v>
      </c>
      <c r="K238">
        <v>1</v>
      </c>
      <c r="N238">
        <v>6</v>
      </c>
      <c r="O238">
        <v>6</v>
      </c>
      <c r="P238">
        <v>2</v>
      </c>
      <c r="Q238">
        <v>2</v>
      </c>
      <c r="R238">
        <v>3</v>
      </c>
    </row>
    <row r="239" spans="1:18" customFormat="1" ht="14.25" customHeight="1" x14ac:dyDescent="0.35">
      <c r="A239">
        <v>1161</v>
      </c>
      <c r="B239">
        <v>4</v>
      </c>
      <c r="C239">
        <v>3</v>
      </c>
      <c r="D239">
        <v>4</v>
      </c>
      <c r="E239">
        <v>2</v>
      </c>
      <c r="F239">
        <v>2</v>
      </c>
      <c r="G239">
        <v>3</v>
      </c>
      <c r="H239">
        <v>4</v>
      </c>
      <c r="I239">
        <v>2</v>
      </c>
      <c r="N239">
        <v>6</v>
      </c>
      <c r="O239">
        <v>3</v>
      </c>
      <c r="P239">
        <v>2</v>
      </c>
      <c r="Q239">
        <v>3</v>
      </c>
      <c r="R239">
        <v>3</v>
      </c>
    </row>
    <row r="240" spans="1:18" customFormat="1" ht="14.25" customHeight="1" x14ac:dyDescent="0.35">
      <c r="A240">
        <v>1166</v>
      </c>
      <c r="B240">
        <v>5</v>
      </c>
      <c r="C240">
        <v>3</v>
      </c>
      <c r="D240">
        <v>5</v>
      </c>
      <c r="E240">
        <v>1</v>
      </c>
      <c r="F240">
        <v>1</v>
      </c>
      <c r="G240">
        <v>5</v>
      </c>
      <c r="H240">
        <v>5</v>
      </c>
      <c r="I240">
        <v>2</v>
      </c>
      <c r="K240">
        <v>2</v>
      </c>
      <c r="L240">
        <v>4</v>
      </c>
      <c r="M240">
        <v>3</v>
      </c>
      <c r="N240">
        <v>6</v>
      </c>
      <c r="O240">
        <v>6</v>
      </c>
      <c r="P240">
        <v>1</v>
      </c>
      <c r="Q240">
        <v>2</v>
      </c>
      <c r="R240">
        <v>2</v>
      </c>
    </row>
    <row r="241" spans="1:18" customFormat="1" ht="14.25" customHeight="1" x14ac:dyDescent="0.35">
      <c r="A241">
        <v>1176</v>
      </c>
      <c r="B241">
        <v>3</v>
      </c>
      <c r="C241">
        <v>2</v>
      </c>
      <c r="D241">
        <v>5</v>
      </c>
      <c r="E241">
        <v>2</v>
      </c>
      <c r="F241">
        <v>1</v>
      </c>
      <c r="G241">
        <v>5</v>
      </c>
      <c r="H241">
        <v>3</v>
      </c>
      <c r="I241">
        <v>1</v>
      </c>
      <c r="J241">
        <v>1</v>
      </c>
      <c r="K241">
        <v>1</v>
      </c>
      <c r="L241">
        <v>2</v>
      </c>
      <c r="M241">
        <v>0</v>
      </c>
      <c r="N241">
        <v>6</v>
      </c>
      <c r="O241">
        <v>6</v>
      </c>
      <c r="P241">
        <v>1</v>
      </c>
      <c r="Q241">
        <v>2</v>
      </c>
      <c r="R241">
        <v>2</v>
      </c>
    </row>
    <row r="242" spans="1:18" customFormat="1" ht="14.25" customHeight="1" x14ac:dyDescent="0.35">
      <c r="A242">
        <v>1183</v>
      </c>
      <c r="B242">
        <v>5</v>
      </c>
      <c r="C242">
        <v>1</v>
      </c>
      <c r="D242">
        <v>4</v>
      </c>
      <c r="E242">
        <v>2</v>
      </c>
      <c r="F242">
        <v>2</v>
      </c>
      <c r="G242">
        <v>5</v>
      </c>
      <c r="H242">
        <v>5</v>
      </c>
      <c r="I242">
        <v>3</v>
      </c>
      <c r="K242">
        <v>1</v>
      </c>
      <c r="L242">
        <v>4</v>
      </c>
      <c r="M242">
        <v>2</v>
      </c>
      <c r="N242">
        <v>6</v>
      </c>
      <c r="O242">
        <v>6</v>
      </c>
      <c r="P242">
        <v>1</v>
      </c>
      <c r="Q242">
        <v>2</v>
      </c>
      <c r="R242">
        <v>1</v>
      </c>
    </row>
    <row r="243" spans="1:18" customFormat="1" ht="14.25" customHeight="1" x14ac:dyDescent="0.35">
      <c r="A243">
        <v>1187</v>
      </c>
      <c r="B243">
        <v>3</v>
      </c>
      <c r="C243">
        <v>4</v>
      </c>
      <c r="D243">
        <v>5</v>
      </c>
      <c r="E243">
        <v>1</v>
      </c>
      <c r="F243">
        <v>1</v>
      </c>
      <c r="G243">
        <v>5</v>
      </c>
      <c r="H243">
        <v>4</v>
      </c>
      <c r="I243">
        <v>1</v>
      </c>
      <c r="K243">
        <v>1</v>
      </c>
      <c r="L243">
        <v>1</v>
      </c>
      <c r="M243">
        <v>0</v>
      </c>
      <c r="N243">
        <v>6</v>
      </c>
      <c r="O243">
        <v>6</v>
      </c>
      <c r="P243">
        <v>1</v>
      </c>
      <c r="Q243">
        <v>5</v>
      </c>
      <c r="R243">
        <v>1</v>
      </c>
    </row>
    <row r="244" spans="1:18" customFormat="1" ht="14.25" customHeight="1" x14ac:dyDescent="0.35">
      <c r="A244">
        <v>1190</v>
      </c>
      <c r="B244">
        <v>5</v>
      </c>
      <c r="C244">
        <v>1</v>
      </c>
      <c r="D244">
        <v>3</v>
      </c>
      <c r="E244">
        <v>3</v>
      </c>
      <c r="F244">
        <v>1</v>
      </c>
      <c r="G244">
        <v>3</v>
      </c>
      <c r="H244">
        <v>4</v>
      </c>
      <c r="I244">
        <v>1</v>
      </c>
      <c r="K244">
        <v>1</v>
      </c>
      <c r="L244">
        <v>1</v>
      </c>
      <c r="M244">
        <v>0</v>
      </c>
      <c r="N244">
        <v>6</v>
      </c>
      <c r="O244">
        <v>6</v>
      </c>
      <c r="P244">
        <v>2</v>
      </c>
      <c r="Q244">
        <v>2</v>
      </c>
      <c r="R244">
        <v>3</v>
      </c>
    </row>
    <row r="245" spans="1:18" customFormat="1" ht="14.25" customHeight="1" x14ac:dyDescent="0.35">
      <c r="A245">
        <v>1197</v>
      </c>
      <c r="B245">
        <v>5</v>
      </c>
      <c r="C245">
        <v>4</v>
      </c>
      <c r="D245">
        <v>2</v>
      </c>
      <c r="E245">
        <v>2</v>
      </c>
      <c r="F245">
        <v>3</v>
      </c>
      <c r="G245">
        <v>2</v>
      </c>
      <c r="H245">
        <v>3</v>
      </c>
      <c r="I245">
        <v>1</v>
      </c>
      <c r="K245">
        <v>2</v>
      </c>
      <c r="L245">
        <v>3</v>
      </c>
      <c r="M245">
        <v>0</v>
      </c>
      <c r="N245">
        <v>6</v>
      </c>
      <c r="O245">
        <v>4</v>
      </c>
      <c r="P245">
        <v>2</v>
      </c>
      <c r="Q245">
        <v>2</v>
      </c>
      <c r="R245">
        <v>1</v>
      </c>
    </row>
    <row r="246" spans="1:18" customFormat="1" ht="14.25" customHeight="1" x14ac:dyDescent="0.35">
      <c r="A246">
        <v>1202</v>
      </c>
      <c r="B246">
        <v>3</v>
      </c>
      <c r="C246">
        <v>2</v>
      </c>
      <c r="D246">
        <v>4</v>
      </c>
      <c r="E246">
        <v>1</v>
      </c>
      <c r="F246">
        <v>3</v>
      </c>
      <c r="G246">
        <v>5</v>
      </c>
      <c r="H246">
        <v>5</v>
      </c>
      <c r="I246">
        <v>1</v>
      </c>
      <c r="K246">
        <v>1</v>
      </c>
      <c r="L246">
        <v>4</v>
      </c>
      <c r="M246">
        <v>0</v>
      </c>
      <c r="N246">
        <v>4</v>
      </c>
      <c r="O246">
        <v>5</v>
      </c>
      <c r="P246">
        <v>2</v>
      </c>
      <c r="Q246">
        <v>2</v>
      </c>
      <c r="R246">
        <v>2</v>
      </c>
    </row>
    <row r="247" spans="1:18" customFormat="1" ht="14.25" customHeight="1" x14ac:dyDescent="0.35">
      <c r="A247">
        <v>1206</v>
      </c>
      <c r="B247">
        <v>5</v>
      </c>
      <c r="C247">
        <v>1</v>
      </c>
      <c r="D247">
        <v>5</v>
      </c>
      <c r="E247">
        <v>3</v>
      </c>
      <c r="F247">
        <v>4</v>
      </c>
      <c r="G247">
        <v>5</v>
      </c>
      <c r="H247">
        <v>5</v>
      </c>
      <c r="I247">
        <v>1</v>
      </c>
      <c r="K247">
        <v>1</v>
      </c>
      <c r="N247">
        <v>6</v>
      </c>
      <c r="O247">
        <v>5</v>
      </c>
      <c r="P247">
        <v>2</v>
      </c>
      <c r="Q247">
        <v>2</v>
      </c>
      <c r="R247">
        <v>2</v>
      </c>
    </row>
    <row r="248" spans="1:18" customFormat="1" ht="14.25" customHeight="1" x14ac:dyDescent="0.35">
      <c r="A248">
        <v>1213</v>
      </c>
      <c r="B248">
        <v>5</v>
      </c>
      <c r="C248">
        <v>1</v>
      </c>
      <c r="D248">
        <v>5</v>
      </c>
      <c r="E248">
        <v>4</v>
      </c>
      <c r="F248">
        <v>1</v>
      </c>
      <c r="G248">
        <v>3</v>
      </c>
      <c r="H248">
        <v>4</v>
      </c>
      <c r="I248">
        <v>1</v>
      </c>
      <c r="J248">
        <v>1</v>
      </c>
      <c r="K248">
        <v>2</v>
      </c>
      <c r="L248">
        <v>2</v>
      </c>
      <c r="M248">
        <v>0</v>
      </c>
      <c r="N248">
        <v>6</v>
      </c>
      <c r="O248">
        <v>4</v>
      </c>
      <c r="P248">
        <v>2</v>
      </c>
      <c r="Q248">
        <v>4</v>
      </c>
      <c r="R248">
        <v>2</v>
      </c>
    </row>
    <row r="249" spans="1:18" customFormat="1" ht="14.25" customHeight="1" x14ac:dyDescent="0.35">
      <c r="A249">
        <v>1216</v>
      </c>
      <c r="B249">
        <v>5</v>
      </c>
      <c r="C249">
        <v>4</v>
      </c>
      <c r="D249">
        <v>4</v>
      </c>
      <c r="E249">
        <v>3</v>
      </c>
      <c r="F249">
        <v>1</v>
      </c>
      <c r="G249">
        <v>4</v>
      </c>
      <c r="H249">
        <v>5</v>
      </c>
      <c r="I249">
        <v>1</v>
      </c>
      <c r="N249">
        <v>6</v>
      </c>
      <c r="O249">
        <v>4</v>
      </c>
      <c r="P249">
        <v>1</v>
      </c>
      <c r="Q249">
        <v>3</v>
      </c>
      <c r="R249">
        <v>1</v>
      </c>
    </row>
    <row r="250" spans="1:18" customFormat="1" ht="14.25" customHeight="1" x14ac:dyDescent="0.35">
      <c r="A250">
        <v>1220</v>
      </c>
      <c r="B250">
        <v>4</v>
      </c>
      <c r="C250">
        <v>2</v>
      </c>
      <c r="D250">
        <v>4</v>
      </c>
      <c r="E250">
        <v>3</v>
      </c>
      <c r="F250">
        <v>4</v>
      </c>
      <c r="G250">
        <v>4</v>
      </c>
      <c r="H250">
        <v>4</v>
      </c>
      <c r="I250">
        <v>2</v>
      </c>
      <c r="J250">
        <v>2</v>
      </c>
      <c r="K250">
        <v>1</v>
      </c>
      <c r="L250">
        <v>3</v>
      </c>
      <c r="N250">
        <v>6</v>
      </c>
      <c r="O250">
        <v>4</v>
      </c>
      <c r="P250">
        <v>2</v>
      </c>
      <c r="Q250">
        <v>2</v>
      </c>
      <c r="R250">
        <v>4</v>
      </c>
    </row>
    <row r="251" spans="1:18" customFormat="1" ht="14.25" customHeight="1" x14ac:dyDescent="0.35">
      <c r="A251">
        <v>1222</v>
      </c>
      <c r="B251">
        <v>5</v>
      </c>
      <c r="C251">
        <v>5</v>
      </c>
      <c r="D251">
        <v>5</v>
      </c>
      <c r="E251">
        <v>2</v>
      </c>
      <c r="F251">
        <v>1</v>
      </c>
      <c r="G251">
        <v>5</v>
      </c>
      <c r="H251">
        <v>5</v>
      </c>
      <c r="I251">
        <v>1</v>
      </c>
      <c r="K251">
        <v>2</v>
      </c>
      <c r="L251">
        <v>3</v>
      </c>
      <c r="M251">
        <v>1</v>
      </c>
      <c r="N251">
        <v>6</v>
      </c>
      <c r="O251">
        <v>6</v>
      </c>
      <c r="P251">
        <v>1</v>
      </c>
      <c r="Q251">
        <v>4</v>
      </c>
      <c r="R251">
        <v>2</v>
      </c>
    </row>
    <row r="252" spans="1:18" customFormat="1" ht="14.25" customHeight="1" x14ac:dyDescent="0.35">
      <c r="A252">
        <v>1229</v>
      </c>
      <c r="B252">
        <v>5</v>
      </c>
      <c r="C252">
        <v>3</v>
      </c>
      <c r="D252">
        <v>5</v>
      </c>
      <c r="E252">
        <v>2</v>
      </c>
      <c r="F252">
        <v>3</v>
      </c>
      <c r="G252">
        <v>5</v>
      </c>
      <c r="H252">
        <v>5</v>
      </c>
      <c r="I252">
        <v>3</v>
      </c>
      <c r="N252">
        <v>6</v>
      </c>
      <c r="O252">
        <v>2</v>
      </c>
      <c r="P252">
        <v>1</v>
      </c>
      <c r="Q252">
        <v>2</v>
      </c>
      <c r="R252">
        <v>1</v>
      </c>
    </row>
    <row r="253" spans="1:18" customFormat="1" ht="14.25" customHeight="1" x14ac:dyDescent="0.35">
      <c r="A253">
        <v>1230</v>
      </c>
      <c r="B253">
        <v>5</v>
      </c>
      <c r="C253">
        <v>4</v>
      </c>
      <c r="D253">
        <v>5</v>
      </c>
      <c r="E253">
        <v>1</v>
      </c>
      <c r="F253">
        <v>1</v>
      </c>
      <c r="G253">
        <v>5</v>
      </c>
      <c r="H253">
        <v>5</v>
      </c>
      <c r="I253">
        <v>2</v>
      </c>
      <c r="J253">
        <v>2</v>
      </c>
      <c r="K253">
        <v>3</v>
      </c>
      <c r="L253">
        <v>1</v>
      </c>
      <c r="M253">
        <v>4</v>
      </c>
      <c r="N253">
        <v>6</v>
      </c>
      <c r="O253">
        <v>3</v>
      </c>
      <c r="P253">
        <v>2</v>
      </c>
      <c r="Q253">
        <v>4</v>
      </c>
      <c r="R253">
        <v>2</v>
      </c>
    </row>
    <row r="254" spans="1:18" customFormat="1" ht="14.25" customHeight="1" x14ac:dyDescent="0.35">
      <c r="A254">
        <v>1240</v>
      </c>
      <c r="B254">
        <v>4</v>
      </c>
      <c r="C254">
        <v>3</v>
      </c>
      <c r="D254">
        <v>4</v>
      </c>
      <c r="E254">
        <v>3</v>
      </c>
      <c r="G254">
        <v>4</v>
      </c>
      <c r="H254">
        <v>3</v>
      </c>
      <c r="I254">
        <v>2</v>
      </c>
      <c r="K254">
        <v>2</v>
      </c>
      <c r="L254">
        <v>3</v>
      </c>
      <c r="M254">
        <v>0</v>
      </c>
      <c r="N254">
        <v>5</v>
      </c>
      <c r="O254">
        <v>5</v>
      </c>
      <c r="P254">
        <v>2</v>
      </c>
      <c r="Q254">
        <v>2</v>
      </c>
      <c r="R254">
        <v>2</v>
      </c>
    </row>
    <row r="255" spans="1:18" customFormat="1" ht="14.25" customHeight="1" x14ac:dyDescent="0.35">
      <c r="A255">
        <v>1247</v>
      </c>
      <c r="B255">
        <v>1</v>
      </c>
      <c r="C255">
        <v>5</v>
      </c>
      <c r="D255">
        <v>1</v>
      </c>
      <c r="E255">
        <v>5</v>
      </c>
      <c r="F255">
        <v>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5</v>
      </c>
      <c r="N255">
        <v>6</v>
      </c>
      <c r="O255">
        <v>3</v>
      </c>
      <c r="P255">
        <v>1</v>
      </c>
      <c r="Q255">
        <v>4</v>
      </c>
      <c r="R255">
        <v>1</v>
      </c>
    </row>
    <row r="256" spans="1:18" customFormat="1" ht="14.25" customHeight="1" x14ac:dyDescent="0.35">
      <c r="A256">
        <v>1257</v>
      </c>
      <c r="B256">
        <v>5</v>
      </c>
      <c r="C256">
        <v>1</v>
      </c>
      <c r="D256">
        <v>5</v>
      </c>
      <c r="E256">
        <v>2</v>
      </c>
      <c r="F256">
        <v>1</v>
      </c>
      <c r="G256">
        <v>5</v>
      </c>
      <c r="H256">
        <v>5</v>
      </c>
      <c r="I256">
        <v>2</v>
      </c>
      <c r="J256">
        <v>1</v>
      </c>
      <c r="K256">
        <v>3</v>
      </c>
      <c r="L256">
        <v>4</v>
      </c>
      <c r="M256">
        <v>5</v>
      </c>
      <c r="N256">
        <v>6</v>
      </c>
      <c r="O256">
        <v>3</v>
      </c>
      <c r="P256">
        <v>2</v>
      </c>
      <c r="Q256">
        <v>4</v>
      </c>
      <c r="R256">
        <v>2</v>
      </c>
    </row>
    <row r="257" spans="1:18" customFormat="1" ht="14.25" customHeight="1" x14ac:dyDescent="0.35">
      <c r="A257">
        <v>1260</v>
      </c>
      <c r="B257">
        <v>5</v>
      </c>
      <c r="C257">
        <v>5</v>
      </c>
      <c r="D257">
        <v>5</v>
      </c>
      <c r="E257">
        <v>1</v>
      </c>
      <c r="F257">
        <v>5</v>
      </c>
      <c r="G257">
        <v>5</v>
      </c>
      <c r="H257">
        <v>5</v>
      </c>
      <c r="I257">
        <v>2</v>
      </c>
      <c r="K257">
        <v>2</v>
      </c>
      <c r="N257">
        <v>6</v>
      </c>
      <c r="O257">
        <v>5</v>
      </c>
      <c r="P257">
        <v>2</v>
      </c>
      <c r="Q257">
        <v>4</v>
      </c>
      <c r="R257">
        <v>2</v>
      </c>
    </row>
    <row r="258" spans="1:18" customFormat="1" ht="14.25" customHeight="1" x14ac:dyDescent="0.35">
      <c r="A258">
        <v>1266</v>
      </c>
      <c r="B258">
        <v>5</v>
      </c>
      <c r="C258">
        <v>1</v>
      </c>
      <c r="D258">
        <v>5</v>
      </c>
      <c r="E258">
        <v>4</v>
      </c>
      <c r="F258">
        <v>1</v>
      </c>
      <c r="G258">
        <v>5</v>
      </c>
      <c r="H258">
        <v>5</v>
      </c>
      <c r="I258">
        <v>2</v>
      </c>
      <c r="N258">
        <v>6</v>
      </c>
      <c r="O258">
        <v>5</v>
      </c>
      <c r="P258">
        <v>2</v>
      </c>
      <c r="Q258">
        <v>1</v>
      </c>
      <c r="R258">
        <v>2</v>
      </c>
    </row>
    <row r="259" spans="1:18" customFormat="1" ht="14.25" customHeight="1" x14ac:dyDescent="0.35">
      <c r="A259">
        <v>1271</v>
      </c>
      <c r="B259">
        <v>1</v>
      </c>
      <c r="C259">
        <v>1</v>
      </c>
      <c r="D259">
        <v>5</v>
      </c>
      <c r="E259">
        <v>1</v>
      </c>
      <c r="F259">
        <v>4</v>
      </c>
      <c r="G259">
        <v>5</v>
      </c>
      <c r="H259">
        <v>4</v>
      </c>
      <c r="I259">
        <v>2</v>
      </c>
      <c r="K259">
        <v>1</v>
      </c>
      <c r="N259">
        <v>6</v>
      </c>
      <c r="O259">
        <v>6</v>
      </c>
      <c r="P259">
        <v>2</v>
      </c>
      <c r="Q259">
        <v>1</v>
      </c>
      <c r="R259">
        <v>3</v>
      </c>
    </row>
    <row r="260" spans="1:18" customFormat="1" ht="14.25" customHeight="1" x14ac:dyDescent="0.35">
      <c r="A260">
        <v>1276</v>
      </c>
      <c r="B260">
        <v>5</v>
      </c>
      <c r="C260">
        <v>1</v>
      </c>
      <c r="D260">
        <v>4</v>
      </c>
      <c r="E260">
        <v>2</v>
      </c>
      <c r="F260">
        <v>1</v>
      </c>
      <c r="G260">
        <v>5</v>
      </c>
      <c r="H260">
        <v>5</v>
      </c>
      <c r="I260">
        <v>2</v>
      </c>
      <c r="K260">
        <v>2</v>
      </c>
      <c r="L260">
        <v>4</v>
      </c>
      <c r="M260">
        <v>15</v>
      </c>
      <c r="N260">
        <v>6</v>
      </c>
      <c r="O260">
        <v>4</v>
      </c>
      <c r="P260">
        <v>1</v>
      </c>
      <c r="Q260">
        <v>2</v>
      </c>
      <c r="R260">
        <v>2</v>
      </c>
    </row>
    <row r="261" spans="1:18" customFormat="1" ht="14.25" customHeight="1" x14ac:dyDescent="0.35">
      <c r="A261">
        <v>1280</v>
      </c>
      <c r="B261">
        <v>3</v>
      </c>
      <c r="C261">
        <v>1</v>
      </c>
      <c r="D261">
        <v>5</v>
      </c>
      <c r="E261">
        <v>1</v>
      </c>
      <c r="F261">
        <v>1</v>
      </c>
      <c r="G261">
        <v>5</v>
      </c>
      <c r="H261">
        <v>5</v>
      </c>
      <c r="I261">
        <v>2</v>
      </c>
      <c r="K261">
        <v>1</v>
      </c>
      <c r="L261">
        <v>3</v>
      </c>
      <c r="M261">
        <v>0</v>
      </c>
      <c r="N261">
        <v>6</v>
      </c>
      <c r="O261">
        <v>6</v>
      </c>
      <c r="P261">
        <v>1</v>
      </c>
      <c r="Q261">
        <v>3</v>
      </c>
      <c r="R261">
        <v>2</v>
      </c>
    </row>
    <row r="262" spans="1:18" customFormat="1" ht="14.25" customHeight="1" x14ac:dyDescent="0.35">
      <c r="A262">
        <v>1283</v>
      </c>
      <c r="B262">
        <v>3</v>
      </c>
      <c r="C262">
        <v>4</v>
      </c>
      <c r="D262">
        <v>4</v>
      </c>
      <c r="E262">
        <v>2</v>
      </c>
      <c r="F262">
        <v>1</v>
      </c>
      <c r="G262">
        <v>5</v>
      </c>
      <c r="H262">
        <v>4</v>
      </c>
      <c r="I262">
        <v>2</v>
      </c>
      <c r="K262">
        <v>4</v>
      </c>
      <c r="L262">
        <v>3</v>
      </c>
      <c r="M262">
        <v>0</v>
      </c>
      <c r="N262">
        <v>5</v>
      </c>
      <c r="O262">
        <v>5</v>
      </c>
      <c r="P262">
        <v>4</v>
      </c>
      <c r="Q262">
        <v>3</v>
      </c>
      <c r="R262">
        <v>2</v>
      </c>
    </row>
    <row r="263" spans="1:18" customFormat="1" ht="14.25" customHeight="1" x14ac:dyDescent="0.35">
      <c r="A263">
        <v>1284</v>
      </c>
      <c r="B263">
        <v>5</v>
      </c>
      <c r="C263">
        <v>3</v>
      </c>
      <c r="D263">
        <v>5</v>
      </c>
      <c r="E263">
        <v>2</v>
      </c>
      <c r="F263">
        <v>1</v>
      </c>
      <c r="G263">
        <v>5</v>
      </c>
      <c r="H263">
        <v>3</v>
      </c>
      <c r="I263">
        <v>2</v>
      </c>
      <c r="K263">
        <v>1</v>
      </c>
      <c r="N263">
        <v>6</v>
      </c>
      <c r="O263">
        <v>4</v>
      </c>
      <c r="P263">
        <v>1</v>
      </c>
      <c r="Q263">
        <v>1</v>
      </c>
      <c r="R263">
        <v>1</v>
      </c>
    </row>
    <row r="264" spans="1:18" customFormat="1" ht="14.25" customHeight="1" x14ac:dyDescent="0.35">
      <c r="A264">
        <v>1293</v>
      </c>
      <c r="B264">
        <v>5</v>
      </c>
      <c r="C264">
        <v>5</v>
      </c>
      <c r="D264">
        <v>5</v>
      </c>
      <c r="E264">
        <v>1</v>
      </c>
      <c r="F264">
        <v>1</v>
      </c>
      <c r="G264">
        <v>5</v>
      </c>
      <c r="H264">
        <v>5</v>
      </c>
      <c r="I264">
        <v>2</v>
      </c>
      <c r="K264">
        <v>1</v>
      </c>
      <c r="L264">
        <v>1</v>
      </c>
      <c r="M264">
        <v>0</v>
      </c>
      <c r="N264">
        <v>5</v>
      </c>
      <c r="O264">
        <v>5</v>
      </c>
      <c r="P264">
        <v>1</v>
      </c>
      <c r="Q264">
        <v>1</v>
      </c>
      <c r="R264">
        <v>2</v>
      </c>
    </row>
    <row r="265" spans="1:18" customFormat="1" ht="14.25" customHeight="1" x14ac:dyDescent="0.35">
      <c r="A265">
        <v>1297</v>
      </c>
      <c r="B265">
        <v>5</v>
      </c>
      <c r="C265">
        <v>2</v>
      </c>
      <c r="D265">
        <v>4</v>
      </c>
      <c r="E265">
        <v>1</v>
      </c>
      <c r="F265">
        <v>1</v>
      </c>
      <c r="G265">
        <v>5</v>
      </c>
      <c r="H265">
        <v>5</v>
      </c>
      <c r="I265">
        <v>2</v>
      </c>
      <c r="K265">
        <v>2</v>
      </c>
      <c r="L265">
        <v>1</v>
      </c>
      <c r="M265">
        <v>7</v>
      </c>
      <c r="N265">
        <v>6</v>
      </c>
      <c r="O265">
        <v>5</v>
      </c>
      <c r="P265">
        <v>1</v>
      </c>
      <c r="Q265">
        <v>2</v>
      </c>
      <c r="R265">
        <v>3</v>
      </c>
    </row>
    <row r="266" spans="1:18" customFormat="1" ht="14.25" customHeight="1" x14ac:dyDescent="0.35">
      <c r="A266">
        <v>1300</v>
      </c>
      <c r="B266">
        <v>4</v>
      </c>
      <c r="C266">
        <v>2</v>
      </c>
      <c r="D266">
        <v>4</v>
      </c>
      <c r="E266">
        <v>2</v>
      </c>
      <c r="F266">
        <v>2</v>
      </c>
      <c r="G266">
        <v>4</v>
      </c>
      <c r="H266">
        <v>4</v>
      </c>
      <c r="I266">
        <v>2</v>
      </c>
      <c r="J266">
        <v>1</v>
      </c>
      <c r="K266">
        <v>1</v>
      </c>
      <c r="L266">
        <v>2</v>
      </c>
      <c r="M266">
        <v>0</v>
      </c>
      <c r="N266">
        <v>6</v>
      </c>
      <c r="O266">
        <v>6</v>
      </c>
      <c r="P266">
        <v>1</v>
      </c>
      <c r="Q266">
        <v>1</v>
      </c>
      <c r="R266">
        <v>1</v>
      </c>
    </row>
    <row r="267" spans="1:18" customFormat="1" ht="14.25" customHeight="1" x14ac:dyDescent="0.35">
      <c r="A267">
        <v>1310</v>
      </c>
      <c r="B267">
        <v>4</v>
      </c>
      <c r="C267">
        <v>1</v>
      </c>
      <c r="D267">
        <v>5</v>
      </c>
      <c r="E267">
        <v>1</v>
      </c>
      <c r="F267">
        <v>1</v>
      </c>
      <c r="G267">
        <v>5</v>
      </c>
      <c r="H267">
        <v>5</v>
      </c>
      <c r="I267">
        <v>3</v>
      </c>
      <c r="K267">
        <v>1</v>
      </c>
      <c r="N267">
        <v>6</v>
      </c>
      <c r="O267">
        <v>4</v>
      </c>
      <c r="P267">
        <v>1</v>
      </c>
      <c r="Q267">
        <v>4</v>
      </c>
      <c r="R267">
        <v>1</v>
      </c>
    </row>
    <row r="268" spans="1:18" customFormat="1" ht="14.25" customHeight="1" x14ac:dyDescent="0.35">
      <c r="A268">
        <v>1314</v>
      </c>
      <c r="B268">
        <v>5</v>
      </c>
      <c r="C268">
        <v>3</v>
      </c>
      <c r="D268">
        <v>5</v>
      </c>
      <c r="E268">
        <v>2</v>
      </c>
      <c r="F268">
        <v>2</v>
      </c>
      <c r="G268">
        <v>4</v>
      </c>
      <c r="H268">
        <v>4</v>
      </c>
      <c r="I268">
        <v>1</v>
      </c>
      <c r="J268">
        <v>1</v>
      </c>
      <c r="K268">
        <v>2</v>
      </c>
      <c r="L268">
        <v>2</v>
      </c>
      <c r="M268">
        <v>0</v>
      </c>
      <c r="N268">
        <v>6</v>
      </c>
      <c r="O268">
        <v>5</v>
      </c>
      <c r="P268">
        <v>1</v>
      </c>
      <c r="Q268">
        <v>2</v>
      </c>
      <c r="R268">
        <v>2</v>
      </c>
    </row>
    <row r="269" spans="1:18" customFormat="1" ht="14.25" customHeight="1" x14ac:dyDescent="0.35">
      <c r="A269">
        <v>1318</v>
      </c>
      <c r="B269">
        <v>1</v>
      </c>
      <c r="C269">
        <v>1</v>
      </c>
      <c r="D269">
        <v>5</v>
      </c>
      <c r="E269">
        <v>1</v>
      </c>
      <c r="F269">
        <v>1</v>
      </c>
      <c r="G269">
        <v>5</v>
      </c>
      <c r="H269">
        <v>5</v>
      </c>
      <c r="I269">
        <v>2</v>
      </c>
      <c r="N269">
        <v>6</v>
      </c>
      <c r="O269">
        <v>4</v>
      </c>
      <c r="P269">
        <v>2</v>
      </c>
      <c r="Q269">
        <v>3</v>
      </c>
      <c r="R269">
        <v>3</v>
      </c>
    </row>
    <row r="270" spans="1:18" customFormat="1" ht="14.25" customHeight="1" x14ac:dyDescent="0.35">
      <c r="A270">
        <v>1321</v>
      </c>
      <c r="B270">
        <v>4</v>
      </c>
      <c r="C270">
        <v>2</v>
      </c>
      <c r="D270">
        <v>4</v>
      </c>
      <c r="E270">
        <v>2</v>
      </c>
      <c r="F270">
        <v>2</v>
      </c>
      <c r="G270">
        <v>4</v>
      </c>
      <c r="H270">
        <v>4</v>
      </c>
      <c r="I270">
        <v>2</v>
      </c>
      <c r="J270">
        <v>2</v>
      </c>
      <c r="K270">
        <v>1</v>
      </c>
      <c r="L270">
        <v>1</v>
      </c>
      <c r="M270">
        <v>0</v>
      </c>
      <c r="N270">
        <v>5</v>
      </c>
      <c r="O270">
        <v>6</v>
      </c>
      <c r="P270">
        <v>2</v>
      </c>
      <c r="Q270">
        <v>2</v>
      </c>
      <c r="R270">
        <v>3</v>
      </c>
    </row>
    <row r="271" spans="1:18" customFormat="1" ht="14.25" customHeight="1" x14ac:dyDescent="0.35">
      <c r="A271">
        <v>1325</v>
      </c>
      <c r="B271">
        <v>4</v>
      </c>
      <c r="C271">
        <v>3</v>
      </c>
      <c r="D271">
        <v>3</v>
      </c>
      <c r="E271">
        <v>2</v>
      </c>
      <c r="F271">
        <v>2</v>
      </c>
      <c r="G271">
        <v>3</v>
      </c>
      <c r="H271">
        <v>3</v>
      </c>
      <c r="I271">
        <v>3</v>
      </c>
      <c r="K271">
        <v>2</v>
      </c>
      <c r="L271">
        <v>3</v>
      </c>
      <c r="M271">
        <v>1</v>
      </c>
      <c r="N271">
        <v>6</v>
      </c>
      <c r="O271">
        <v>5</v>
      </c>
      <c r="P271">
        <v>2</v>
      </c>
      <c r="Q271">
        <v>3</v>
      </c>
      <c r="R271">
        <v>3</v>
      </c>
    </row>
    <row r="272" spans="1:18" customFormat="1" ht="14.25" customHeight="1" x14ac:dyDescent="0.35">
      <c r="A272">
        <v>1332</v>
      </c>
      <c r="B272">
        <v>3</v>
      </c>
      <c r="C272">
        <v>4</v>
      </c>
      <c r="D272">
        <v>3</v>
      </c>
      <c r="E272">
        <v>3</v>
      </c>
      <c r="H272">
        <v>5</v>
      </c>
      <c r="I272">
        <v>2</v>
      </c>
      <c r="K272">
        <v>3</v>
      </c>
      <c r="N272">
        <v>6</v>
      </c>
      <c r="O272">
        <v>6</v>
      </c>
      <c r="P272">
        <v>3</v>
      </c>
      <c r="Q272">
        <v>3</v>
      </c>
      <c r="R272">
        <v>4</v>
      </c>
    </row>
    <row r="273" spans="1:18" customFormat="1" ht="14.25" customHeight="1" x14ac:dyDescent="0.35">
      <c r="A273">
        <v>1337</v>
      </c>
      <c r="B273">
        <v>4</v>
      </c>
      <c r="C273">
        <v>3</v>
      </c>
      <c r="D273">
        <v>4</v>
      </c>
      <c r="E273">
        <v>3</v>
      </c>
      <c r="F273">
        <v>3</v>
      </c>
      <c r="G273">
        <v>4</v>
      </c>
      <c r="H273">
        <v>3</v>
      </c>
      <c r="I273">
        <v>2</v>
      </c>
      <c r="J273">
        <v>1</v>
      </c>
      <c r="N273">
        <v>6</v>
      </c>
      <c r="O273">
        <v>4</v>
      </c>
      <c r="P273">
        <v>1</v>
      </c>
      <c r="Q273">
        <v>4</v>
      </c>
      <c r="R273">
        <v>2</v>
      </c>
    </row>
    <row r="274" spans="1:18" customFormat="1" ht="14.25" customHeight="1" x14ac:dyDescent="0.35">
      <c r="A274">
        <v>1344</v>
      </c>
      <c r="B274">
        <v>5</v>
      </c>
      <c r="C274">
        <v>1</v>
      </c>
      <c r="D274">
        <v>5</v>
      </c>
      <c r="E274">
        <v>1</v>
      </c>
      <c r="F274">
        <v>1</v>
      </c>
      <c r="G274">
        <v>5</v>
      </c>
      <c r="H274">
        <v>5</v>
      </c>
      <c r="I274">
        <v>1</v>
      </c>
      <c r="K274">
        <v>2</v>
      </c>
      <c r="L274">
        <v>2</v>
      </c>
      <c r="M274">
        <v>0</v>
      </c>
      <c r="N274">
        <v>6</v>
      </c>
      <c r="O274">
        <v>4</v>
      </c>
      <c r="P274">
        <v>1</v>
      </c>
      <c r="Q274">
        <v>4</v>
      </c>
      <c r="R274">
        <v>1</v>
      </c>
    </row>
    <row r="275" spans="1:18" customFormat="1" ht="14.25" customHeight="1" x14ac:dyDescent="0.35">
      <c r="A275">
        <v>1350</v>
      </c>
      <c r="B275">
        <v>4</v>
      </c>
      <c r="C275">
        <v>2</v>
      </c>
      <c r="D275">
        <v>3</v>
      </c>
      <c r="E275">
        <v>4</v>
      </c>
      <c r="F275">
        <v>2</v>
      </c>
      <c r="G275">
        <v>3</v>
      </c>
      <c r="H275">
        <v>5</v>
      </c>
      <c r="I275">
        <v>2</v>
      </c>
      <c r="K275">
        <v>3</v>
      </c>
      <c r="L275">
        <v>2</v>
      </c>
      <c r="M275">
        <v>7</v>
      </c>
      <c r="N275">
        <v>6</v>
      </c>
      <c r="O275">
        <v>2</v>
      </c>
      <c r="P275">
        <v>1</v>
      </c>
      <c r="Q275">
        <v>2</v>
      </c>
      <c r="R275">
        <v>3</v>
      </c>
    </row>
    <row r="276" spans="1:18" customFormat="1" ht="14.25" customHeight="1" x14ac:dyDescent="0.35">
      <c r="A276">
        <v>1355</v>
      </c>
      <c r="B276">
        <v>5</v>
      </c>
      <c r="C276">
        <v>4</v>
      </c>
      <c r="D276">
        <v>5</v>
      </c>
      <c r="E276">
        <v>1</v>
      </c>
      <c r="F276">
        <v>1</v>
      </c>
      <c r="G276">
        <v>3</v>
      </c>
      <c r="H276">
        <v>5</v>
      </c>
      <c r="I276">
        <v>1</v>
      </c>
      <c r="J276">
        <v>1</v>
      </c>
      <c r="K276">
        <v>1</v>
      </c>
      <c r="L276">
        <v>3</v>
      </c>
      <c r="M276">
        <v>5</v>
      </c>
      <c r="N276">
        <v>6</v>
      </c>
      <c r="O276">
        <v>6</v>
      </c>
      <c r="P276">
        <v>1</v>
      </c>
      <c r="Q276">
        <v>2</v>
      </c>
      <c r="R276">
        <v>1</v>
      </c>
    </row>
    <row r="277" spans="1:18" customFormat="1" ht="14.25" customHeight="1" x14ac:dyDescent="0.35">
      <c r="A277">
        <v>1361</v>
      </c>
      <c r="B277">
        <v>4</v>
      </c>
      <c r="C277">
        <v>3</v>
      </c>
      <c r="D277">
        <v>5</v>
      </c>
      <c r="E277">
        <v>2</v>
      </c>
      <c r="F277">
        <v>2</v>
      </c>
      <c r="G277">
        <v>5</v>
      </c>
      <c r="H277">
        <v>5</v>
      </c>
      <c r="I277">
        <v>1</v>
      </c>
      <c r="J277">
        <v>1</v>
      </c>
      <c r="K277">
        <v>1</v>
      </c>
      <c r="L277">
        <v>2</v>
      </c>
      <c r="M277">
        <v>0</v>
      </c>
      <c r="N277">
        <v>4</v>
      </c>
      <c r="O277">
        <v>4</v>
      </c>
      <c r="P277">
        <v>2</v>
      </c>
      <c r="Q277">
        <v>4</v>
      </c>
      <c r="R277">
        <v>1</v>
      </c>
    </row>
    <row r="278" spans="1:18" customFormat="1" ht="14.25" customHeight="1" x14ac:dyDescent="0.35">
      <c r="A278">
        <v>1374</v>
      </c>
      <c r="B278">
        <v>3</v>
      </c>
      <c r="C278">
        <v>3</v>
      </c>
      <c r="D278">
        <v>1</v>
      </c>
      <c r="E278">
        <v>4</v>
      </c>
      <c r="F278">
        <v>4</v>
      </c>
      <c r="G278">
        <v>5</v>
      </c>
      <c r="H278">
        <v>5</v>
      </c>
      <c r="I278">
        <v>2</v>
      </c>
      <c r="K278">
        <v>1</v>
      </c>
      <c r="L278">
        <v>2</v>
      </c>
      <c r="M278">
        <v>0</v>
      </c>
      <c r="N278">
        <v>6</v>
      </c>
      <c r="O278">
        <v>4</v>
      </c>
      <c r="P278">
        <v>2</v>
      </c>
      <c r="Q278">
        <v>4</v>
      </c>
      <c r="R278">
        <v>2</v>
      </c>
    </row>
    <row r="279" spans="1:18" customFormat="1" ht="14.25" customHeight="1" x14ac:dyDescent="0.35">
      <c r="A279">
        <v>1389</v>
      </c>
      <c r="B279">
        <v>4</v>
      </c>
      <c r="C279">
        <v>3</v>
      </c>
      <c r="D279">
        <v>4</v>
      </c>
      <c r="E279">
        <v>2</v>
      </c>
      <c r="F279">
        <v>2</v>
      </c>
      <c r="G279">
        <v>4</v>
      </c>
      <c r="H279">
        <v>4</v>
      </c>
      <c r="I279">
        <v>1</v>
      </c>
      <c r="J279">
        <v>1</v>
      </c>
      <c r="K279">
        <v>2</v>
      </c>
      <c r="L279">
        <v>1</v>
      </c>
      <c r="M279">
        <v>0</v>
      </c>
      <c r="N279">
        <v>4</v>
      </c>
      <c r="O279">
        <v>4</v>
      </c>
      <c r="P279">
        <v>2</v>
      </c>
      <c r="Q279">
        <v>3</v>
      </c>
      <c r="R279">
        <v>2</v>
      </c>
    </row>
    <row r="280" spans="1:18" customFormat="1" ht="14.25" customHeight="1" x14ac:dyDescent="0.35">
      <c r="A280">
        <v>1393</v>
      </c>
      <c r="B280">
        <v>5</v>
      </c>
      <c r="C280">
        <v>1</v>
      </c>
      <c r="D280">
        <v>5</v>
      </c>
      <c r="E280">
        <v>1</v>
      </c>
      <c r="F280">
        <v>1</v>
      </c>
      <c r="G280">
        <v>5</v>
      </c>
      <c r="H280">
        <v>5</v>
      </c>
      <c r="I280">
        <v>3</v>
      </c>
      <c r="N280">
        <v>5</v>
      </c>
      <c r="O280">
        <v>3</v>
      </c>
      <c r="P280">
        <v>2</v>
      </c>
      <c r="Q280">
        <v>2</v>
      </c>
      <c r="R280">
        <v>2</v>
      </c>
    </row>
    <row r="281" spans="1:18" customFormat="1" ht="14.25" customHeight="1" x14ac:dyDescent="0.35">
      <c r="A281">
        <v>1402</v>
      </c>
      <c r="B281">
        <v>5</v>
      </c>
      <c r="C281">
        <v>2</v>
      </c>
      <c r="D281">
        <v>4</v>
      </c>
      <c r="E281">
        <v>1</v>
      </c>
      <c r="F281">
        <v>2</v>
      </c>
      <c r="G281">
        <v>4</v>
      </c>
      <c r="H281">
        <v>5</v>
      </c>
      <c r="I281">
        <v>2</v>
      </c>
      <c r="J281">
        <v>1</v>
      </c>
      <c r="K281">
        <v>1</v>
      </c>
      <c r="L281">
        <v>4</v>
      </c>
      <c r="M281">
        <v>0</v>
      </c>
      <c r="N281">
        <v>6</v>
      </c>
      <c r="O281">
        <v>3</v>
      </c>
      <c r="P281">
        <v>2</v>
      </c>
      <c r="Q281">
        <v>3</v>
      </c>
      <c r="R281">
        <v>4</v>
      </c>
    </row>
    <row r="282" spans="1:18" customFormat="1" ht="14.25" customHeight="1" x14ac:dyDescent="0.35">
      <c r="A282">
        <v>1406</v>
      </c>
      <c r="B282">
        <v>4</v>
      </c>
      <c r="C282">
        <v>1</v>
      </c>
      <c r="D282">
        <v>4</v>
      </c>
      <c r="E282">
        <v>1</v>
      </c>
      <c r="F282">
        <v>1</v>
      </c>
      <c r="G282">
        <v>5</v>
      </c>
      <c r="H282">
        <v>4</v>
      </c>
      <c r="I282">
        <v>2</v>
      </c>
      <c r="J282">
        <v>2</v>
      </c>
      <c r="K282">
        <v>2</v>
      </c>
      <c r="L282">
        <v>4</v>
      </c>
      <c r="M282">
        <v>0</v>
      </c>
      <c r="N282">
        <v>6</v>
      </c>
      <c r="O282">
        <v>6</v>
      </c>
      <c r="P282">
        <v>2</v>
      </c>
      <c r="Q282">
        <v>2</v>
      </c>
      <c r="R282">
        <v>2</v>
      </c>
    </row>
    <row r="283" spans="1:18" customFormat="1" ht="14.25" customHeight="1" x14ac:dyDescent="0.35">
      <c r="A283">
        <v>1410</v>
      </c>
      <c r="B283">
        <v>4</v>
      </c>
      <c r="C283">
        <v>1</v>
      </c>
      <c r="D283">
        <v>4</v>
      </c>
      <c r="E283">
        <v>3</v>
      </c>
      <c r="F283">
        <v>2</v>
      </c>
      <c r="G283">
        <v>5</v>
      </c>
      <c r="H283">
        <v>5</v>
      </c>
      <c r="I283">
        <v>2</v>
      </c>
      <c r="K283">
        <v>1</v>
      </c>
      <c r="L283">
        <v>2</v>
      </c>
      <c r="M283">
        <v>0</v>
      </c>
      <c r="N283">
        <v>6</v>
      </c>
      <c r="O283">
        <v>6</v>
      </c>
      <c r="P283">
        <v>1</v>
      </c>
      <c r="Q283">
        <v>2</v>
      </c>
      <c r="R283">
        <v>1</v>
      </c>
    </row>
    <row r="284" spans="1:18" customFormat="1" ht="14.25" customHeight="1" x14ac:dyDescent="0.35">
      <c r="A284">
        <v>1422</v>
      </c>
      <c r="B284">
        <v>5</v>
      </c>
      <c r="C284">
        <v>1</v>
      </c>
      <c r="D284">
        <v>4</v>
      </c>
      <c r="E284">
        <v>2</v>
      </c>
      <c r="F284">
        <v>2</v>
      </c>
      <c r="G284">
        <v>5</v>
      </c>
      <c r="H284">
        <v>5</v>
      </c>
      <c r="I284">
        <v>2</v>
      </c>
      <c r="K284">
        <v>2</v>
      </c>
      <c r="L284">
        <v>1</v>
      </c>
      <c r="M284">
        <v>2</v>
      </c>
      <c r="N284">
        <v>6</v>
      </c>
      <c r="O284">
        <v>4</v>
      </c>
      <c r="P284">
        <v>1</v>
      </c>
      <c r="Q284">
        <v>2</v>
      </c>
      <c r="R284">
        <v>2</v>
      </c>
    </row>
    <row r="285" spans="1:18" customFormat="1" ht="14.25" customHeight="1" x14ac:dyDescent="0.35">
      <c r="A285">
        <v>1425</v>
      </c>
      <c r="B285">
        <v>5</v>
      </c>
      <c r="C285">
        <v>1</v>
      </c>
      <c r="D285">
        <v>5</v>
      </c>
      <c r="E285">
        <v>1</v>
      </c>
      <c r="F285">
        <v>5</v>
      </c>
      <c r="G285">
        <v>5</v>
      </c>
      <c r="H285">
        <v>4</v>
      </c>
      <c r="I285">
        <v>2</v>
      </c>
      <c r="J285">
        <v>2</v>
      </c>
      <c r="K285">
        <v>1</v>
      </c>
      <c r="L285">
        <v>3</v>
      </c>
      <c r="M285">
        <v>0</v>
      </c>
      <c r="N285">
        <v>6</v>
      </c>
      <c r="O285">
        <v>6</v>
      </c>
      <c r="P285">
        <v>2</v>
      </c>
      <c r="Q285">
        <v>3</v>
      </c>
      <c r="R285">
        <v>2</v>
      </c>
    </row>
    <row r="286" spans="1:18" customFormat="1" ht="14.25" customHeight="1" x14ac:dyDescent="0.35">
      <c r="A286">
        <v>1431</v>
      </c>
      <c r="B286">
        <v>5</v>
      </c>
      <c r="C286">
        <v>1</v>
      </c>
      <c r="D286">
        <v>3</v>
      </c>
      <c r="E286">
        <v>1</v>
      </c>
      <c r="F286">
        <v>1</v>
      </c>
      <c r="G286">
        <v>5</v>
      </c>
      <c r="H286">
        <v>5</v>
      </c>
      <c r="I286">
        <v>3</v>
      </c>
      <c r="K286">
        <v>3</v>
      </c>
      <c r="L286">
        <v>3</v>
      </c>
      <c r="M286">
        <v>0</v>
      </c>
      <c r="N286">
        <v>6</v>
      </c>
      <c r="O286">
        <v>5</v>
      </c>
      <c r="P286">
        <v>2</v>
      </c>
      <c r="Q286">
        <v>4</v>
      </c>
      <c r="R286">
        <v>2</v>
      </c>
    </row>
    <row r="287" spans="1:18" customFormat="1" ht="14.25" customHeight="1" x14ac:dyDescent="0.35">
      <c r="A287">
        <v>1442</v>
      </c>
      <c r="B287">
        <v>3</v>
      </c>
      <c r="C287">
        <v>3</v>
      </c>
      <c r="D287">
        <v>5</v>
      </c>
      <c r="E287">
        <v>4</v>
      </c>
      <c r="F287">
        <v>3</v>
      </c>
      <c r="G287">
        <v>5</v>
      </c>
      <c r="H287">
        <v>5</v>
      </c>
      <c r="I287">
        <v>1</v>
      </c>
      <c r="J287">
        <v>2</v>
      </c>
      <c r="K287">
        <v>2</v>
      </c>
      <c r="L287">
        <v>2</v>
      </c>
      <c r="M287">
        <v>0</v>
      </c>
      <c r="N287">
        <v>6</v>
      </c>
      <c r="O287">
        <v>6</v>
      </c>
      <c r="P287">
        <v>2</v>
      </c>
      <c r="Q287">
        <v>2</v>
      </c>
      <c r="R287">
        <v>2</v>
      </c>
    </row>
    <row r="288" spans="1:18" customFormat="1" ht="14.25" customHeight="1" x14ac:dyDescent="0.35">
      <c r="A288">
        <v>1446</v>
      </c>
      <c r="B288">
        <v>2</v>
      </c>
      <c r="C288">
        <v>3</v>
      </c>
      <c r="D288">
        <v>2</v>
      </c>
      <c r="E288">
        <v>2</v>
      </c>
      <c r="F288">
        <v>4</v>
      </c>
      <c r="G288">
        <v>3</v>
      </c>
      <c r="H288">
        <v>2</v>
      </c>
      <c r="I288">
        <v>2</v>
      </c>
      <c r="N288">
        <v>6</v>
      </c>
      <c r="O288">
        <v>5</v>
      </c>
      <c r="P288">
        <v>3</v>
      </c>
      <c r="Q288">
        <v>2</v>
      </c>
      <c r="R288">
        <v>3</v>
      </c>
    </row>
    <row r="289" spans="1:18" customFormat="1" ht="14.25" customHeight="1" x14ac:dyDescent="0.35">
      <c r="A289">
        <v>1455</v>
      </c>
      <c r="B289">
        <v>5</v>
      </c>
      <c r="C289">
        <v>1</v>
      </c>
      <c r="D289">
        <v>5</v>
      </c>
      <c r="E289">
        <v>4</v>
      </c>
      <c r="F289">
        <v>1</v>
      </c>
      <c r="G289">
        <v>5</v>
      </c>
      <c r="H289">
        <v>5</v>
      </c>
      <c r="I289">
        <v>2</v>
      </c>
      <c r="K289">
        <v>2</v>
      </c>
      <c r="L289">
        <v>1</v>
      </c>
      <c r="M289">
        <v>1</v>
      </c>
      <c r="N289">
        <v>5</v>
      </c>
      <c r="O289">
        <v>4</v>
      </c>
      <c r="P289">
        <v>1</v>
      </c>
      <c r="Q289">
        <v>5</v>
      </c>
      <c r="R289">
        <v>1</v>
      </c>
    </row>
    <row r="290" spans="1:18" customFormat="1" ht="14.25" customHeight="1" x14ac:dyDescent="0.35">
      <c r="A290">
        <v>1459</v>
      </c>
      <c r="B290">
        <v>3</v>
      </c>
      <c r="C290">
        <v>4</v>
      </c>
      <c r="D290">
        <v>5</v>
      </c>
      <c r="E290">
        <v>3</v>
      </c>
      <c r="F290">
        <v>1</v>
      </c>
      <c r="G290">
        <v>5</v>
      </c>
      <c r="H290">
        <v>5</v>
      </c>
      <c r="I290">
        <v>2</v>
      </c>
      <c r="K290">
        <v>2</v>
      </c>
      <c r="L290">
        <v>1</v>
      </c>
      <c r="M290">
        <v>5</v>
      </c>
      <c r="N290">
        <v>6</v>
      </c>
      <c r="O290">
        <v>6</v>
      </c>
      <c r="P290">
        <v>1</v>
      </c>
      <c r="Q290">
        <v>2</v>
      </c>
      <c r="R290">
        <v>2</v>
      </c>
    </row>
    <row r="291" spans="1:18" customFormat="1" ht="14.25" customHeight="1" x14ac:dyDescent="0.35">
      <c r="A291">
        <v>1464</v>
      </c>
      <c r="B291">
        <v>5</v>
      </c>
      <c r="C291">
        <v>1</v>
      </c>
      <c r="D291">
        <v>4</v>
      </c>
      <c r="E291">
        <v>3</v>
      </c>
      <c r="F291">
        <v>1</v>
      </c>
      <c r="G291">
        <v>5</v>
      </c>
      <c r="H291">
        <v>1</v>
      </c>
      <c r="I291">
        <v>1</v>
      </c>
      <c r="N291">
        <v>6</v>
      </c>
      <c r="O291">
        <v>6</v>
      </c>
      <c r="P291">
        <v>2</v>
      </c>
      <c r="Q291">
        <v>2</v>
      </c>
      <c r="R291">
        <v>3</v>
      </c>
    </row>
    <row r="292" spans="1:18" customFormat="1" ht="14.25" customHeight="1" x14ac:dyDescent="0.35">
      <c r="A292">
        <v>1471</v>
      </c>
      <c r="B292">
        <v>5</v>
      </c>
      <c r="C292">
        <v>5</v>
      </c>
      <c r="D292">
        <v>5</v>
      </c>
      <c r="E292">
        <v>3</v>
      </c>
      <c r="F292">
        <v>4</v>
      </c>
      <c r="G292">
        <v>5</v>
      </c>
      <c r="H292">
        <v>5</v>
      </c>
      <c r="I292">
        <v>1</v>
      </c>
      <c r="J292">
        <v>2</v>
      </c>
      <c r="K292">
        <v>2</v>
      </c>
      <c r="N292">
        <v>6</v>
      </c>
      <c r="O292">
        <v>2</v>
      </c>
      <c r="P292">
        <v>1</v>
      </c>
      <c r="Q292">
        <v>2</v>
      </c>
      <c r="R292">
        <v>2</v>
      </c>
    </row>
    <row r="293" spans="1:18" customFormat="1" ht="14.25" customHeight="1" x14ac:dyDescent="0.35">
      <c r="A293">
        <v>1477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2</v>
      </c>
      <c r="H293">
        <v>3</v>
      </c>
      <c r="I293">
        <v>2</v>
      </c>
      <c r="N293">
        <v>6</v>
      </c>
      <c r="O293">
        <v>6</v>
      </c>
      <c r="P293">
        <v>3</v>
      </c>
      <c r="Q293">
        <v>3</v>
      </c>
      <c r="R293">
        <v>3</v>
      </c>
    </row>
    <row r="294" spans="1:18" customFormat="1" ht="14.25" customHeight="1" x14ac:dyDescent="0.35">
      <c r="A294">
        <v>1486</v>
      </c>
      <c r="B294">
        <v>5</v>
      </c>
      <c r="C294">
        <v>1</v>
      </c>
      <c r="D294">
        <v>5</v>
      </c>
      <c r="E294">
        <v>1</v>
      </c>
      <c r="F294">
        <v>1</v>
      </c>
      <c r="G294">
        <v>5</v>
      </c>
      <c r="H294">
        <v>2</v>
      </c>
      <c r="I294">
        <v>3</v>
      </c>
      <c r="K294">
        <v>2</v>
      </c>
      <c r="L294">
        <v>2</v>
      </c>
      <c r="M294">
        <v>30</v>
      </c>
      <c r="N294">
        <v>6</v>
      </c>
      <c r="O294">
        <v>6</v>
      </c>
      <c r="P294">
        <v>1</v>
      </c>
      <c r="Q294">
        <v>4</v>
      </c>
      <c r="R294">
        <v>1</v>
      </c>
    </row>
    <row r="295" spans="1:18" customFormat="1" ht="14.25" customHeight="1" x14ac:dyDescent="0.35">
      <c r="A295">
        <v>1491</v>
      </c>
      <c r="B295">
        <v>3</v>
      </c>
      <c r="C295">
        <v>2</v>
      </c>
      <c r="D295">
        <v>3</v>
      </c>
      <c r="E295">
        <v>3</v>
      </c>
      <c r="F295">
        <v>3</v>
      </c>
      <c r="G295">
        <v>3</v>
      </c>
      <c r="H295">
        <v>3</v>
      </c>
      <c r="I295">
        <v>1</v>
      </c>
      <c r="J295">
        <v>1</v>
      </c>
      <c r="K295">
        <v>2</v>
      </c>
      <c r="L295">
        <v>1</v>
      </c>
      <c r="M295">
        <v>0</v>
      </c>
      <c r="N295">
        <v>4</v>
      </c>
      <c r="O295">
        <v>6</v>
      </c>
      <c r="P295">
        <v>2</v>
      </c>
      <c r="Q295">
        <v>2</v>
      </c>
      <c r="R295">
        <v>3</v>
      </c>
    </row>
    <row r="296" spans="1:18" customFormat="1" ht="14.25" customHeight="1" x14ac:dyDescent="0.35">
      <c r="A296">
        <v>1496</v>
      </c>
      <c r="B296">
        <v>3</v>
      </c>
      <c r="C296">
        <v>3</v>
      </c>
      <c r="D296">
        <v>5</v>
      </c>
      <c r="E296">
        <v>1</v>
      </c>
      <c r="F296">
        <v>5</v>
      </c>
      <c r="G296">
        <v>3</v>
      </c>
      <c r="H296">
        <v>3</v>
      </c>
      <c r="I296">
        <v>2</v>
      </c>
      <c r="K296">
        <v>1</v>
      </c>
      <c r="L296">
        <v>3</v>
      </c>
      <c r="M296">
        <v>0</v>
      </c>
      <c r="N296">
        <v>5</v>
      </c>
      <c r="O296">
        <v>4</v>
      </c>
      <c r="P296">
        <v>2</v>
      </c>
      <c r="Q296">
        <v>3</v>
      </c>
      <c r="R296">
        <v>3</v>
      </c>
    </row>
    <row r="297" spans="1:18" customFormat="1" ht="14.25" customHeight="1" x14ac:dyDescent="0.35">
      <c r="A297">
        <v>1505</v>
      </c>
      <c r="B297">
        <v>5</v>
      </c>
      <c r="C297">
        <v>1</v>
      </c>
      <c r="D297">
        <v>1</v>
      </c>
      <c r="E297">
        <v>5</v>
      </c>
      <c r="F297">
        <v>5</v>
      </c>
      <c r="G297">
        <v>5</v>
      </c>
      <c r="H297">
        <v>5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6</v>
      </c>
      <c r="O297">
        <v>3</v>
      </c>
      <c r="P297">
        <v>1</v>
      </c>
      <c r="Q297">
        <v>1</v>
      </c>
      <c r="R297">
        <v>1</v>
      </c>
    </row>
    <row r="298" spans="1:18" customFormat="1" ht="14.25" customHeight="1" x14ac:dyDescent="0.35">
      <c r="A298">
        <v>1513</v>
      </c>
      <c r="B298">
        <v>4</v>
      </c>
      <c r="C298">
        <v>2</v>
      </c>
      <c r="D298">
        <v>5</v>
      </c>
      <c r="E298">
        <v>1</v>
      </c>
      <c r="F298">
        <v>1</v>
      </c>
      <c r="G298">
        <v>5</v>
      </c>
      <c r="H298">
        <v>5</v>
      </c>
      <c r="I298">
        <v>3</v>
      </c>
      <c r="K298">
        <v>1</v>
      </c>
      <c r="L298">
        <v>3</v>
      </c>
      <c r="M298">
        <v>0</v>
      </c>
      <c r="N298">
        <v>6</v>
      </c>
      <c r="O298">
        <v>6</v>
      </c>
      <c r="P298">
        <v>2</v>
      </c>
      <c r="Q298">
        <v>3</v>
      </c>
      <c r="R298">
        <v>1</v>
      </c>
    </row>
    <row r="299" spans="1:18" customFormat="1" ht="14.25" customHeight="1" x14ac:dyDescent="0.35">
      <c r="A299">
        <v>1522</v>
      </c>
      <c r="B299">
        <v>5</v>
      </c>
      <c r="C299">
        <v>2</v>
      </c>
      <c r="D299">
        <v>5</v>
      </c>
      <c r="E299">
        <v>3</v>
      </c>
      <c r="F299">
        <v>2</v>
      </c>
      <c r="G299">
        <v>5</v>
      </c>
      <c r="H299">
        <v>5</v>
      </c>
      <c r="I299">
        <v>1</v>
      </c>
      <c r="N299">
        <v>4</v>
      </c>
      <c r="O299">
        <v>3</v>
      </c>
      <c r="P299">
        <v>1</v>
      </c>
      <c r="Q299">
        <v>2</v>
      </c>
      <c r="R299">
        <v>1</v>
      </c>
    </row>
    <row r="300" spans="1:18" customFormat="1" ht="14.25" customHeight="1" x14ac:dyDescent="0.35">
      <c r="A300">
        <v>1533</v>
      </c>
      <c r="B300">
        <v>4</v>
      </c>
      <c r="C300">
        <v>2</v>
      </c>
      <c r="D300">
        <v>3</v>
      </c>
      <c r="E300">
        <v>2</v>
      </c>
      <c r="F300">
        <v>2</v>
      </c>
      <c r="G300">
        <v>3</v>
      </c>
      <c r="H300">
        <v>4</v>
      </c>
      <c r="I300">
        <v>1</v>
      </c>
      <c r="J300">
        <v>1</v>
      </c>
      <c r="K300">
        <v>1</v>
      </c>
      <c r="L300">
        <v>2</v>
      </c>
      <c r="M300">
        <v>0</v>
      </c>
      <c r="N300">
        <v>5</v>
      </c>
      <c r="O300">
        <v>3</v>
      </c>
      <c r="P300">
        <v>2</v>
      </c>
      <c r="Q300">
        <v>4</v>
      </c>
      <c r="R300">
        <v>2</v>
      </c>
    </row>
    <row r="301" spans="1:18" customFormat="1" ht="14.25" customHeight="1" x14ac:dyDescent="0.35">
      <c r="A301">
        <v>1539</v>
      </c>
      <c r="B301">
        <v>5</v>
      </c>
      <c r="C301">
        <v>1</v>
      </c>
      <c r="D301">
        <v>1</v>
      </c>
      <c r="E301">
        <v>1</v>
      </c>
      <c r="F301">
        <v>4</v>
      </c>
      <c r="G301">
        <v>5</v>
      </c>
      <c r="H301">
        <v>5</v>
      </c>
      <c r="I301">
        <v>1</v>
      </c>
      <c r="K301">
        <v>3</v>
      </c>
      <c r="N301">
        <v>6</v>
      </c>
      <c r="O301">
        <v>6</v>
      </c>
      <c r="P301">
        <v>2</v>
      </c>
      <c r="Q301">
        <v>2</v>
      </c>
      <c r="R301">
        <v>2</v>
      </c>
    </row>
    <row r="302" spans="1:18" customFormat="1" ht="14.25" customHeight="1" x14ac:dyDescent="0.35">
      <c r="A302">
        <v>1550</v>
      </c>
      <c r="B302">
        <v>3</v>
      </c>
      <c r="C302">
        <v>3</v>
      </c>
      <c r="D302">
        <v>3</v>
      </c>
      <c r="E302">
        <v>4</v>
      </c>
      <c r="F302">
        <v>2</v>
      </c>
      <c r="G302">
        <v>3</v>
      </c>
      <c r="H302">
        <v>3</v>
      </c>
      <c r="I302">
        <v>2</v>
      </c>
      <c r="K302">
        <v>2</v>
      </c>
      <c r="L302">
        <v>3</v>
      </c>
      <c r="M302">
        <v>0</v>
      </c>
      <c r="N302">
        <v>6</v>
      </c>
      <c r="O302">
        <v>6</v>
      </c>
      <c r="P302">
        <v>2</v>
      </c>
      <c r="Q302">
        <v>2</v>
      </c>
      <c r="R302">
        <v>3</v>
      </c>
    </row>
    <row r="303" spans="1:18" customFormat="1" ht="14.25" customHeight="1" x14ac:dyDescent="0.35">
      <c r="A303">
        <v>1559</v>
      </c>
      <c r="B303">
        <v>5</v>
      </c>
      <c r="C303">
        <v>5</v>
      </c>
      <c r="D303">
        <v>4</v>
      </c>
      <c r="E303">
        <v>4</v>
      </c>
      <c r="F303">
        <v>1</v>
      </c>
      <c r="G303">
        <v>4</v>
      </c>
      <c r="H303">
        <v>5</v>
      </c>
      <c r="I303">
        <v>1</v>
      </c>
      <c r="K303">
        <v>1</v>
      </c>
      <c r="N303">
        <v>4</v>
      </c>
      <c r="O303">
        <v>5</v>
      </c>
      <c r="P303">
        <v>1</v>
      </c>
      <c r="Q303">
        <v>2</v>
      </c>
      <c r="R303">
        <v>4</v>
      </c>
    </row>
    <row r="304" spans="1:18" customFormat="1" ht="14.25" customHeight="1" x14ac:dyDescent="0.35">
      <c r="A304">
        <v>1577</v>
      </c>
      <c r="B304">
        <v>3</v>
      </c>
      <c r="C304">
        <v>2</v>
      </c>
      <c r="D304">
        <v>5</v>
      </c>
      <c r="E304">
        <v>3</v>
      </c>
      <c r="F304">
        <v>2</v>
      </c>
      <c r="G304">
        <v>4</v>
      </c>
      <c r="H304">
        <v>3</v>
      </c>
      <c r="I304">
        <v>2</v>
      </c>
      <c r="K304">
        <v>2</v>
      </c>
      <c r="L304">
        <v>1</v>
      </c>
      <c r="M304">
        <v>2</v>
      </c>
      <c r="N304">
        <v>6</v>
      </c>
      <c r="O304">
        <v>6</v>
      </c>
      <c r="P304">
        <v>2</v>
      </c>
      <c r="Q304">
        <v>3</v>
      </c>
      <c r="R304">
        <v>2</v>
      </c>
    </row>
    <row r="305" spans="1:18" customFormat="1" ht="14.25" customHeight="1" x14ac:dyDescent="0.35">
      <c r="A305">
        <v>1582</v>
      </c>
      <c r="B305">
        <v>5</v>
      </c>
      <c r="C305">
        <v>5</v>
      </c>
      <c r="D305">
        <v>5</v>
      </c>
      <c r="E305">
        <v>1</v>
      </c>
      <c r="F305">
        <v>1</v>
      </c>
      <c r="G305">
        <v>5</v>
      </c>
      <c r="H305">
        <v>5</v>
      </c>
      <c r="I305">
        <v>1</v>
      </c>
      <c r="K305">
        <v>1</v>
      </c>
      <c r="L305">
        <v>1</v>
      </c>
      <c r="M305">
        <v>0</v>
      </c>
      <c r="N305">
        <v>6</v>
      </c>
      <c r="O305">
        <v>4</v>
      </c>
      <c r="P305">
        <v>1</v>
      </c>
      <c r="Q305">
        <v>5</v>
      </c>
      <c r="R305">
        <v>1</v>
      </c>
    </row>
    <row r="306" spans="1:18" customFormat="1" ht="14.25" customHeight="1" x14ac:dyDescent="0.35">
      <c r="A306">
        <v>1586</v>
      </c>
      <c r="B306">
        <v>4</v>
      </c>
      <c r="C306">
        <v>2</v>
      </c>
      <c r="D306">
        <v>4</v>
      </c>
      <c r="E306">
        <v>2</v>
      </c>
      <c r="F306">
        <v>2</v>
      </c>
      <c r="G306">
        <v>4</v>
      </c>
      <c r="H306">
        <v>4</v>
      </c>
      <c r="I306">
        <v>2</v>
      </c>
      <c r="J306">
        <v>1</v>
      </c>
      <c r="K306">
        <v>2</v>
      </c>
      <c r="L306">
        <v>1</v>
      </c>
      <c r="M306">
        <v>10</v>
      </c>
      <c r="N306">
        <v>6</v>
      </c>
      <c r="O306">
        <v>6</v>
      </c>
      <c r="P306">
        <v>2</v>
      </c>
      <c r="Q306">
        <v>3</v>
      </c>
      <c r="R306">
        <v>2</v>
      </c>
    </row>
    <row r="307" spans="1:18" customFormat="1" ht="14.25" customHeight="1" x14ac:dyDescent="0.35">
      <c r="A307">
        <v>1593</v>
      </c>
      <c r="B307">
        <v>3</v>
      </c>
      <c r="C307">
        <v>2</v>
      </c>
      <c r="D307">
        <v>3</v>
      </c>
      <c r="E307">
        <v>4</v>
      </c>
      <c r="F307">
        <v>3</v>
      </c>
      <c r="G307">
        <v>3</v>
      </c>
      <c r="H307">
        <v>2</v>
      </c>
      <c r="I307">
        <v>2</v>
      </c>
      <c r="K307">
        <v>1</v>
      </c>
      <c r="L307">
        <v>3</v>
      </c>
      <c r="M307">
        <v>3</v>
      </c>
      <c r="N307">
        <v>6</v>
      </c>
      <c r="O307">
        <v>6</v>
      </c>
      <c r="P307">
        <v>2</v>
      </c>
      <c r="Q307">
        <v>3</v>
      </c>
      <c r="R307">
        <v>2</v>
      </c>
    </row>
    <row r="308" spans="1:18" customFormat="1" ht="14.25" customHeight="1" x14ac:dyDescent="0.35">
      <c r="A308">
        <v>1601</v>
      </c>
      <c r="B308">
        <v>4</v>
      </c>
      <c r="C308">
        <v>4</v>
      </c>
      <c r="D308">
        <v>4</v>
      </c>
      <c r="E308">
        <v>5</v>
      </c>
      <c r="F308">
        <v>2</v>
      </c>
      <c r="G308">
        <v>5</v>
      </c>
      <c r="H308">
        <v>3</v>
      </c>
      <c r="I308">
        <v>2</v>
      </c>
      <c r="K308">
        <v>2</v>
      </c>
      <c r="L308">
        <v>2</v>
      </c>
      <c r="M308">
        <v>1</v>
      </c>
      <c r="N308">
        <v>6</v>
      </c>
      <c r="O308">
        <v>4</v>
      </c>
      <c r="P308">
        <v>2</v>
      </c>
      <c r="Q308">
        <v>2</v>
      </c>
      <c r="R308">
        <v>2</v>
      </c>
    </row>
    <row r="309" spans="1:18" customFormat="1" ht="14.25" customHeight="1" x14ac:dyDescent="0.35">
      <c r="A309">
        <v>1607</v>
      </c>
      <c r="B309">
        <v>5</v>
      </c>
      <c r="C309">
        <v>3</v>
      </c>
      <c r="D309">
        <v>5</v>
      </c>
      <c r="E309">
        <v>4</v>
      </c>
      <c r="F309">
        <v>3</v>
      </c>
      <c r="G309">
        <v>5</v>
      </c>
      <c r="H309">
        <v>5</v>
      </c>
      <c r="I309">
        <v>2</v>
      </c>
      <c r="J309">
        <v>1</v>
      </c>
      <c r="K309">
        <v>4</v>
      </c>
      <c r="L309">
        <v>3</v>
      </c>
      <c r="M309">
        <v>30</v>
      </c>
      <c r="N309">
        <v>6</v>
      </c>
      <c r="O309">
        <v>4</v>
      </c>
      <c r="P309">
        <v>1</v>
      </c>
      <c r="Q309">
        <v>2</v>
      </c>
      <c r="R309">
        <v>2</v>
      </c>
    </row>
    <row r="310" spans="1:18" customFormat="1" ht="14.25" customHeight="1" x14ac:dyDescent="0.35">
      <c r="A310">
        <v>1611</v>
      </c>
      <c r="B310">
        <v>3</v>
      </c>
      <c r="C310">
        <v>1</v>
      </c>
      <c r="D310">
        <v>5</v>
      </c>
      <c r="E310">
        <v>2</v>
      </c>
      <c r="F310">
        <v>1</v>
      </c>
      <c r="G310">
        <v>3</v>
      </c>
      <c r="H310">
        <v>3</v>
      </c>
      <c r="I310">
        <v>3</v>
      </c>
      <c r="K310">
        <v>2</v>
      </c>
      <c r="L310">
        <v>2</v>
      </c>
      <c r="M310">
        <v>0</v>
      </c>
      <c r="N310">
        <v>6</v>
      </c>
      <c r="O310">
        <v>3</v>
      </c>
      <c r="P310">
        <v>2</v>
      </c>
      <c r="Q310">
        <v>3</v>
      </c>
      <c r="R310">
        <v>4</v>
      </c>
    </row>
    <row r="311" spans="1:18" customFormat="1" ht="14.25" customHeight="1" x14ac:dyDescent="0.35">
      <c r="A311">
        <v>1621</v>
      </c>
      <c r="B311">
        <v>5</v>
      </c>
      <c r="C311">
        <v>5</v>
      </c>
      <c r="D311">
        <v>5</v>
      </c>
      <c r="E311">
        <v>3</v>
      </c>
      <c r="F311">
        <v>1</v>
      </c>
      <c r="G311">
        <v>3</v>
      </c>
      <c r="H311">
        <v>4</v>
      </c>
      <c r="I311">
        <v>2</v>
      </c>
      <c r="J311">
        <v>2</v>
      </c>
      <c r="K311">
        <v>1</v>
      </c>
      <c r="L311">
        <v>2</v>
      </c>
      <c r="M311">
        <v>0</v>
      </c>
      <c r="N311">
        <v>4</v>
      </c>
      <c r="O311">
        <v>4</v>
      </c>
      <c r="P311">
        <v>1</v>
      </c>
      <c r="Q311">
        <v>2</v>
      </c>
      <c r="R311">
        <v>2</v>
      </c>
    </row>
    <row r="312" spans="1:18" customFormat="1" ht="14.25" customHeight="1" x14ac:dyDescent="0.35">
      <c r="A312">
        <v>1626</v>
      </c>
      <c r="B312">
        <v>5</v>
      </c>
      <c r="C312">
        <v>1</v>
      </c>
      <c r="D312">
        <v>5</v>
      </c>
      <c r="E312">
        <v>4</v>
      </c>
      <c r="F312">
        <v>2</v>
      </c>
      <c r="G312">
        <v>5</v>
      </c>
      <c r="H312">
        <v>5</v>
      </c>
      <c r="I312">
        <v>1</v>
      </c>
      <c r="K312">
        <v>1</v>
      </c>
      <c r="L312">
        <v>1</v>
      </c>
      <c r="M312">
        <v>0</v>
      </c>
      <c r="N312">
        <v>6</v>
      </c>
      <c r="O312">
        <v>6</v>
      </c>
      <c r="P312">
        <v>1</v>
      </c>
      <c r="Q312">
        <v>2</v>
      </c>
      <c r="R312">
        <v>2</v>
      </c>
    </row>
    <row r="313" spans="1:18" customFormat="1" ht="14.25" customHeight="1" x14ac:dyDescent="0.35">
      <c r="A313">
        <v>1630</v>
      </c>
      <c r="B313">
        <v>5</v>
      </c>
      <c r="C313">
        <v>5</v>
      </c>
      <c r="D313">
        <v>5</v>
      </c>
      <c r="E313">
        <v>2</v>
      </c>
      <c r="F313">
        <v>2</v>
      </c>
      <c r="G313">
        <v>4</v>
      </c>
      <c r="H313">
        <v>5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6</v>
      </c>
      <c r="O313">
        <v>6</v>
      </c>
      <c r="P313">
        <v>2</v>
      </c>
      <c r="Q313">
        <v>1</v>
      </c>
      <c r="R313">
        <v>3</v>
      </c>
    </row>
    <row r="314" spans="1:18" customFormat="1" ht="14.25" customHeight="1" x14ac:dyDescent="0.35">
      <c r="A314">
        <v>1633</v>
      </c>
      <c r="B314">
        <v>3</v>
      </c>
      <c r="C314">
        <v>3</v>
      </c>
      <c r="D314">
        <v>3</v>
      </c>
      <c r="E314">
        <v>3</v>
      </c>
      <c r="F314">
        <v>4</v>
      </c>
      <c r="G314">
        <v>3</v>
      </c>
      <c r="H314">
        <v>3</v>
      </c>
      <c r="I314">
        <v>1</v>
      </c>
      <c r="J314">
        <v>2</v>
      </c>
      <c r="N314">
        <v>6</v>
      </c>
      <c r="O314">
        <v>6</v>
      </c>
      <c r="P314">
        <v>2</v>
      </c>
      <c r="Q314">
        <v>2</v>
      </c>
      <c r="R314">
        <v>2</v>
      </c>
    </row>
    <row r="315" spans="1:18" customFormat="1" ht="14.25" customHeight="1" x14ac:dyDescent="0.35">
      <c r="A315">
        <v>1635</v>
      </c>
      <c r="B315">
        <v>5</v>
      </c>
      <c r="C315">
        <v>2</v>
      </c>
      <c r="D315">
        <v>5</v>
      </c>
      <c r="E315">
        <v>1</v>
      </c>
      <c r="F315">
        <v>1</v>
      </c>
      <c r="G315">
        <v>5</v>
      </c>
      <c r="H315">
        <v>5</v>
      </c>
      <c r="I315">
        <v>1</v>
      </c>
      <c r="K315">
        <v>4</v>
      </c>
      <c r="L315">
        <v>3</v>
      </c>
      <c r="M315">
        <v>15</v>
      </c>
      <c r="N315">
        <v>5</v>
      </c>
      <c r="O315">
        <v>2</v>
      </c>
      <c r="P315">
        <v>1</v>
      </c>
      <c r="Q315">
        <v>2</v>
      </c>
      <c r="R315">
        <v>2</v>
      </c>
    </row>
    <row r="316" spans="1:18" customFormat="1" ht="14.25" customHeight="1" x14ac:dyDescent="0.35">
      <c r="A316">
        <v>1639</v>
      </c>
      <c r="B316">
        <v>5</v>
      </c>
      <c r="C316">
        <v>2</v>
      </c>
      <c r="D316">
        <v>4</v>
      </c>
      <c r="E316">
        <v>2</v>
      </c>
      <c r="F316">
        <v>2</v>
      </c>
      <c r="G316">
        <v>4</v>
      </c>
      <c r="H316">
        <v>4</v>
      </c>
      <c r="I316">
        <v>2</v>
      </c>
      <c r="N316">
        <v>6</v>
      </c>
      <c r="O316">
        <v>3</v>
      </c>
      <c r="P316">
        <v>1</v>
      </c>
      <c r="Q316">
        <v>5</v>
      </c>
      <c r="R316">
        <v>2</v>
      </c>
    </row>
    <row r="317" spans="1:18" customFormat="1" ht="14.25" customHeight="1" x14ac:dyDescent="0.35">
      <c r="A317">
        <v>1641</v>
      </c>
      <c r="B317">
        <v>5</v>
      </c>
      <c r="C317">
        <v>1</v>
      </c>
      <c r="D317">
        <v>5</v>
      </c>
      <c r="E317">
        <v>1</v>
      </c>
      <c r="F317">
        <v>1</v>
      </c>
      <c r="G317">
        <v>5</v>
      </c>
      <c r="H317">
        <v>3</v>
      </c>
      <c r="I317">
        <v>3</v>
      </c>
      <c r="K317">
        <v>4</v>
      </c>
      <c r="N317">
        <v>6</v>
      </c>
      <c r="O317">
        <v>2</v>
      </c>
      <c r="P317">
        <v>1</v>
      </c>
      <c r="Q317">
        <v>1</v>
      </c>
      <c r="R317">
        <v>2</v>
      </c>
    </row>
    <row r="318" spans="1:18" customFormat="1" ht="14.25" customHeight="1" x14ac:dyDescent="0.35">
      <c r="A318">
        <v>1645</v>
      </c>
      <c r="B318">
        <v>4</v>
      </c>
      <c r="C318">
        <v>3</v>
      </c>
      <c r="D318">
        <v>5</v>
      </c>
      <c r="E318">
        <v>3</v>
      </c>
      <c r="F318">
        <v>2</v>
      </c>
      <c r="G318">
        <v>3</v>
      </c>
      <c r="H318">
        <v>4</v>
      </c>
      <c r="I318">
        <v>2</v>
      </c>
      <c r="N318">
        <v>6</v>
      </c>
      <c r="O318">
        <v>5</v>
      </c>
      <c r="P318">
        <v>2</v>
      </c>
      <c r="Q318">
        <v>2</v>
      </c>
      <c r="R318">
        <v>2</v>
      </c>
    </row>
    <row r="319" spans="1:18" customFormat="1" ht="14.25" customHeight="1" x14ac:dyDescent="0.35">
      <c r="A319">
        <v>1656</v>
      </c>
      <c r="B319">
        <v>4</v>
      </c>
      <c r="C319">
        <v>4</v>
      </c>
      <c r="D319">
        <v>4</v>
      </c>
      <c r="E319">
        <v>3</v>
      </c>
      <c r="F319">
        <v>2</v>
      </c>
      <c r="G319">
        <v>3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0</v>
      </c>
      <c r="N319">
        <v>6</v>
      </c>
      <c r="O319">
        <v>5</v>
      </c>
      <c r="P319">
        <v>2</v>
      </c>
      <c r="Q319">
        <v>2</v>
      </c>
      <c r="R319">
        <v>3</v>
      </c>
    </row>
    <row r="320" spans="1:18" customFormat="1" ht="14.25" customHeight="1" x14ac:dyDescent="0.35">
      <c r="A320">
        <v>1664</v>
      </c>
      <c r="B320">
        <v>4</v>
      </c>
      <c r="C320">
        <v>1</v>
      </c>
      <c r="D320">
        <v>4</v>
      </c>
      <c r="E320">
        <v>2</v>
      </c>
      <c r="F320">
        <v>1</v>
      </c>
      <c r="G320">
        <v>5</v>
      </c>
      <c r="H320">
        <v>5</v>
      </c>
      <c r="I320">
        <v>1</v>
      </c>
      <c r="K320">
        <v>2</v>
      </c>
      <c r="L320">
        <v>2</v>
      </c>
      <c r="M320">
        <v>0</v>
      </c>
      <c r="N320">
        <v>6</v>
      </c>
      <c r="O320">
        <v>6</v>
      </c>
      <c r="P320">
        <v>1</v>
      </c>
      <c r="Q320">
        <v>4</v>
      </c>
      <c r="R320">
        <v>2</v>
      </c>
    </row>
    <row r="321" spans="1:18" customFormat="1" ht="14.25" customHeight="1" x14ac:dyDescent="0.35">
      <c r="A321">
        <v>1675</v>
      </c>
      <c r="B321">
        <v>5</v>
      </c>
      <c r="C321">
        <v>5</v>
      </c>
      <c r="D321">
        <v>5</v>
      </c>
      <c r="E321">
        <v>5</v>
      </c>
      <c r="F321">
        <v>1</v>
      </c>
      <c r="G321">
        <v>5</v>
      </c>
      <c r="H321">
        <v>5</v>
      </c>
      <c r="I321">
        <v>2</v>
      </c>
      <c r="J321">
        <v>1</v>
      </c>
      <c r="K321">
        <v>1</v>
      </c>
      <c r="L321">
        <v>3</v>
      </c>
      <c r="M321">
        <v>0</v>
      </c>
      <c r="N321">
        <v>6</v>
      </c>
      <c r="O321">
        <v>6</v>
      </c>
      <c r="P321">
        <v>2</v>
      </c>
      <c r="Q321">
        <v>2</v>
      </c>
      <c r="R321">
        <v>2</v>
      </c>
    </row>
    <row r="322" spans="1:18" customFormat="1" ht="14.25" customHeight="1" x14ac:dyDescent="0.35">
      <c r="A322">
        <v>1679</v>
      </c>
      <c r="B322">
        <v>5</v>
      </c>
      <c r="C322">
        <v>1</v>
      </c>
      <c r="D322">
        <v>3</v>
      </c>
      <c r="E322">
        <v>3</v>
      </c>
      <c r="F322">
        <v>1</v>
      </c>
      <c r="G322">
        <v>5</v>
      </c>
      <c r="H322">
        <v>5</v>
      </c>
      <c r="I322">
        <v>1</v>
      </c>
      <c r="K322">
        <v>1</v>
      </c>
      <c r="L322">
        <v>1</v>
      </c>
      <c r="M322">
        <v>0</v>
      </c>
      <c r="N322">
        <v>6</v>
      </c>
      <c r="O322">
        <v>4</v>
      </c>
      <c r="P322">
        <v>1</v>
      </c>
      <c r="Q322">
        <v>3</v>
      </c>
      <c r="R322">
        <v>2</v>
      </c>
    </row>
    <row r="323" spans="1:18" customFormat="1" ht="14.25" customHeight="1" x14ac:dyDescent="0.35">
      <c r="A323">
        <v>1684</v>
      </c>
      <c r="B323">
        <v>5</v>
      </c>
      <c r="C323">
        <v>5</v>
      </c>
      <c r="D323">
        <v>5</v>
      </c>
      <c r="E323">
        <v>1</v>
      </c>
      <c r="F323">
        <v>1</v>
      </c>
      <c r="G323">
        <v>5</v>
      </c>
      <c r="H323">
        <v>5</v>
      </c>
      <c r="I323">
        <v>2</v>
      </c>
      <c r="K323">
        <v>2</v>
      </c>
      <c r="L323">
        <v>4</v>
      </c>
      <c r="M323">
        <v>14</v>
      </c>
      <c r="N323">
        <v>6</v>
      </c>
      <c r="O323">
        <v>3</v>
      </c>
      <c r="P323">
        <v>1</v>
      </c>
      <c r="Q323">
        <v>2</v>
      </c>
      <c r="R323">
        <v>1</v>
      </c>
    </row>
    <row r="324" spans="1:18" customFormat="1" ht="14.25" customHeight="1" x14ac:dyDescent="0.35">
      <c r="A324">
        <v>1688</v>
      </c>
      <c r="B324">
        <v>1</v>
      </c>
      <c r="C324">
        <v>5</v>
      </c>
      <c r="D324">
        <v>1</v>
      </c>
      <c r="E324">
        <v>4</v>
      </c>
      <c r="F324">
        <v>4</v>
      </c>
      <c r="G324">
        <v>3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0</v>
      </c>
      <c r="N324">
        <v>5</v>
      </c>
      <c r="O324">
        <v>6</v>
      </c>
      <c r="P324">
        <v>1</v>
      </c>
      <c r="Q324">
        <v>1</v>
      </c>
      <c r="R324">
        <v>1</v>
      </c>
    </row>
    <row r="325" spans="1:18" customFormat="1" ht="14.25" customHeight="1" x14ac:dyDescent="0.35">
      <c r="A325">
        <v>1692</v>
      </c>
      <c r="B325">
        <v>5</v>
      </c>
      <c r="C325">
        <v>4</v>
      </c>
      <c r="D325">
        <v>4</v>
      </c>
      <c r="E325">
        <v>4</v>
      </c>
      <c r="F325">
        <v>5</v>
      </c>
      <c r="G325">
        <v>5</v>
      </c>
      <c r="H325">
        <v>5</v>
      </c>
      <c r="I325">
        <v>1</v>
      </c>
      <c r="K325">
        <v>1</v>
      </c>
      <c r="L325">
        <v>3</v>
      </c>
      <c r="M325">
        <v>0</v>
      </c>
      <c r="N325">
        <v>6</v>
      </c>
      <c r="O325">
        <v>3</v>
      </c>
      <c r="P325">
        <v>1</v>
      </c>
      <c r="Q325">
        <v>1</v>
      </c>
      <c r="R325">
        <v>2</v>
      </c>
    </row>
    <row r="326" spans="1:18" customFormat="1" ht="14.25" customHeight="1" x14ac:dyDescent="0.35">
      <c r="A326">
        <v>1702</v>
      </c>
      <c r="B326">
        <v>5</v>
      </c>
      <c r="C326">
        <v>3</v>
      </c>
      <c r="D326">
        <v>4</v>
      </c>
      <c r="E326">
        <v>3</v>
      </c>
      <c r="F326">
        <v>4</v>
      </c>
      <c r="G326">
        <v>4</v>
      </c>
      <c r="H326">
        <v>3</v>
      </c>
      <c r="I326">
        <v>1</v>
      </c>
      <c r="J326">
        <v>1</v>
      </c>
      <c r="K326">
        <v>1</v>
      </c>
      <c r="L326">
        <v>2</v>
      </c>
      <c r="M326">
        <v>0</v>
      </c>
      <c r="N326">
        <v>5</v>
      </c>
      <c r="O326">
        <v>5</v>
      </c>
      <c r="P326">
        <v>2</v>
      </c>
      <c r="Q326">
        <v>2</v>
      </c>
      <c r="R326">
        <v>1</v>
      </c>
    </row>
    <row r="327" spans="1:18" customFormat="1" ht="14.25" customHeight="1" x14ac:dyDescent="0.35">
      <c r="A327">
        <v>1706</v>
      </c>
      <c r="B327">
        <v>4</v>
      </c>
      <c r="C327">
        <v>4</v>
      </c>
      <c r="D327">
        <v>4</v>
      </c>
      <c r="E327">
        <v>3</v>
      </c>
      <c r="F327">
        <v>2</v>
      </c>
      <c r="G327">
        <v>4</v>
      </c>
      <c r="H327">
        <v>4</v>
      </c>
      <c r="I327">
        <v>1</v>
      </c>
      <c r="J327">
        <v>1</v>
      </c>
      <c r="K327">
        <v>1</v>
      </c>
      <c r="L327">
        <v>2</v>
      </c>
      <c r="M327">
        <v>0</v>
      </c>
      <c r="N327">
        <v>6</v>
      </c>
      <c r="O327">
        <v>6</v>
      </c>
      <c r="P327">
        <v>2</v>
      </c>
      <c r="Q327">
        <v>1</v>
      </c>
      <c r="R327">
        <v>2</v>
      </c>
    </row>
    <row r="328" spans="1:18" customFormat="1" ht="14.25" customHeight="1" x14ac:dyDescent="0.35">
      <c r="A328">
        <v>1711</v>
      </c>
      <c r="B328">
        <v>4</v>
      </c>
      <c r="C328">
        <v>3</v>
      </c>
      <c r="D328">
        <v>4</v>
      </c>
      <c r="E328">
        <v>4</v>
      </c>
      <c r="F328">
        <v>4</v>
      </c>
      <c r="G328">
        <v>3</v>
      </c>
      <c r="H328">
        <v>3</v>
      </c>
      <c r="I328">
        <v>2</v>
      </c>
      <c r="J328">
        <v>1</v>
      </c>
      <c r="N328">
        <v>6</v>
      </c>
      <c r="O328">
        <v>6</v>
      </c>
      <c r="P328">
        <v>1</v>
      </c>
      <c r="Q328">
        <v>1</v>
      </c>
      <c r="R328">
        <v>2</v>
      </c>
    </row>
    <row r="329" spans="1:18" customFormat="1" ht="14.25" customHeight="1" x14ac:dyDescent="0.35">
      <c r="A329">
        <v>1721</v>
      </c>
      <c r="B329">
        <v>5</v>
      </c>
      <c r="C329">
        <v>1</v>
      </c>
      <c r="D329">
        <v>4</v>
      </c>
      <c r="E329">
        <v>5</v>
      </c>
      <c r="F329">
        <v>1</v>
      </c>
      <c r="G329">
        <v>5</v>
      </c>
      <c r="H329">
        <v>4</v>
      </c>
      <c r="I329">
        <v>1</v>
      </c>
      <c r="J329">
        <v>1</v>
      </c>
      <c r="K329">
        <v>2</v>
      </c>
      <c r="L329">
        <v>1</v>
      </c>
      <c r="M329">
        <v>0</v>
      </c>
      <c r="N329">
        <v>6</v>
      </c>
      <c r="O329">
        <v>4</v>
      </c>
      <c r="P329">
        <v>1</v>
      </c>
      <c r="Q329">
        <v>1</v>
      </c>
      <c r="R329">
        <v>1</v>
      </c>
    </row>
    <row r="330" spans="1:18" customFormat="1" ht="14.25" customHeight="1" x14ac:dyDescent="0.35">
      <c r="A330">
        <v>1722</v>
      </c>
      <c r="B330">
        <v>3</v>
      </c>
      <c r="C330">
        <v>3</v>
      </c>
      <c r="D330">
        <v>3</v>
      </c>
      <c r="E330">
        <v>3</v>
      </c>
      <c r="F330">
        <v>2</v>
      </c>
      <c r="G330">
        <v>3</v>
      </c>
      <c r="H330">
        <v>3</v>
      </c>
      <c r="I330">
        <v>2</v>
      </c>
      <c r="K330">
        <v>1</v>
      </c>
      <c r="L330">
        <v>3</v>
      </c>
      <c r="M330">
        <v>0</v>
      </c>
      <c r="N330">
        <v>6</v>
      </c>
      <c r="O330">
        <v>6</v>
      </c>
      <c r="P330">
        <v>2</v>
      </c>
      <c r="Q330">
        <v>3</v>
      </c>
      <c r="R330">
        <v>2</v>
      </c>
    </row>
    <row r="331" spans="1:18" customFormat="1" ht="14.25" customHeight="1" x14ac:dyDescent="0.35">
      <c r="A331">
        <v>1727</v>
      </c>
      <c r="B331">
        <v>4</v>
      </c>
      <c r="C331">
        <v>2</v>
      </c>
      <c r="D331">
        <v>5</v>
      </c>
      <c r="E331">
        <v>2</v>
      </c>
      <c r="F331">
        <v>2</v>
      </c>
      <c r="G331">
        <v>5</v>
      </c>
      <c r="H331">
        <v>4</v>
      </c>
      <c r="I331">
        <v>2</v>
      </c>
      <c r="N331">
        <v>6</v>
      </c>
      <c r="O331">
        <v>4</v>
      </c>
      <c r="P331">
        <v>1</v>
      </c>
      <c r="Q331">
        <v>4</v>
      </c>
      <c r="R331">
        <v>2</v>
      </c>
    </row>
    <row r="332" spans="1:18" customFormat="1" ht="14.25" customHeight="1" x14ac:dyDescent="0.35">
      <c r="A332">
        <v>1728</v>
      </c>
      <c r="B332">
        <v>5</v>
      </c>
      <c r="C332">
        <v>5</v>
      </c>
      <c r="D332">
        <v>1</v>
      </c>
      <c r="E332">
        <v>4</v>
      </c>
      <c r="F332">
        <v>4</v>
      </c>
      <c r="G332">
        <v>4</v>
      </c>
      <c r="H332">
        <v>4</v>
      </c>
      <c r="I332">
        <v>1</v>
      </c>
      <c r="N332">
        <v>6</v>
      </c>
      <c r="O332">
        <v>4</v>
      </c>
      <c r="P332">
        <v>2</v>
      </c>
      <c r="Q332">
        <v>1</v>
      </c>
      <c r="R332">
        <v>2</v>
      </c>
    </row>
    <row r="333" spans="1:18" customFormat="1" ht="14.25" customHeight="1" x14ac:dyDescent="0.35">
      <c r="A333">
        <v>1731</v>
      </c>
      <c r="B333">
        <v>5</v>
      </c>
      <c r="C333">
        <v>1</v>
      </c>
      <c r="D333">
        <v>5</v>
      </c>
      <c r="E333">
        <v>1</v>
      </c>
      <c r="F333">
        <v>1</v>
      </c>
      <c r="G333">
        <v>4</v>
      </c>
      <c r="H333">
        <v>5</v>
      </c>
      <c r="I333">
        <v>2</v>
      </c>
      <c r="K333">
        <v>2</v>
      </c>
      <c r="L333">
        <v>3</v>
      </c>
      <c r="M333">
        <v>1</v>
      </c>
      <c r="N333">
        <v>6</v>
      </c>
      <c r="O333">
        <v>6</v>
      </c>
      <c r="P333">
        <v>2</v>
      </c>
      <c r="Q333">
        <v>3</v>
      </c>
      <c r="R333">
        <v>2</v>
      </c>
    </row>
    <row r="334" spans="1:18" customFormat="1" ht="14.25" customHeight="1" x14ac:dyDescent="0.35">
      <c r="A334">
        <v>1735</v>
      </c>
      <c r="B334">
        <v>4</v>
      </c>
      <c r="C334">
        <v>3</v>
      </c>
      <c r="D334">
        <v>5</v>
      </c>
      <c r="E334">
        <v>2</v>
      </c>
      <c r="F334">
        <v>2</v>
      </c>
      <c r="G334">
        <v>5</v>
      </c>
      <c r="H334">
        <v>3</v>
      </c>
      <c r="I334">
        <v>2</v>
      </c>
      <c r="N334">
        <v>6</v>
      </c>
      <c r="O334">
        <v>4</v>
      </c>
      <c r="P334">
        <v>2</v>
      </c>
      <c r="Q334">
        <v>2</v>
      </c>
      <c r="R334">
        <v>2</v>
      </c>
    </row>
    <row r="335" spans="1:18" customFormat="1" ht="14.25" customHeight="1" x14ac:dyDescent="0.35">
      <c r="A335">
        <v>1743</v>
      </c>
      <c r="B335">
        <v>2</v>
      </c>
      <c r="C335">
        <v>3</v>
      </c>
      <c r="D335">
        <v>4</v>
      </c>
      <c r="E335">
        <v>1</v>
      </c>
      <c r="F335">
        <v>2</v>
      </c>
      <c r="G335">
        <v>4</v>
      </c>
      <c r="H335">
        <v>2</v>
      </c>
      <c r="I335">
        <v>3</v>
      </c>
      <c r="N335">
        <v>4</v>
      </c>
      <c r="O335">
        <v>3</v>
      </c>
      <c r="P335">
        <v>3</v>
      </c>
      <c r="Q335">
        <v>2</v>
      </c>
      <c r="R335">
        <v>3</v>
      </c>
    </row>
    <row r="336" spans="1:18" customFormat="1" ht="14.25" customHeight="1" x14ac:dyDescent="0.35">
      <c r="A336">
        <v>1747</v>
      </c>
      <c r="B336">
        <v>4</v>
      </c>
      <c r="C336">
        <v>2</v>
      </c>
      <c r="D336">
        <v>4</v>
      </c>
      <c r="E336">
        <v>1</v>
      </c>
      <c r="F336">
        <v>1</v>
      </c>
      <c r="G336">
        <v>3</v>
      </c>
      <c r="H336">
        <v>3</v>
      </c>
      <c r="I336">
        <v>2</v>
      </c>
      <c r="K336">
        <v>2</v>
      </c>
      <c r="L336">
        <v>2</v>
      </c>
      <c r="M336">
        <v>0</v>
      </c>
      <c r="N336">
        <v>6</v>
      </c>
      <c r="O336">
        <v>6</v>
      </c>
      <c r="P336">
        <v>2</v>
      </c>
      <c r="Q336">
        <v>2</v>
      </c>
      <c r="R336">
        <v>3</v>
      </c>
    </row>
    <row r="337" spans="1:18" customFormat="1" ht="14.25" customHeight="1" x14ac:dyDescent="0.35">
      <c r="A337">
        <v>1756</v>
      </c>
      <c r="B337">
        <v>3</v>
      </c>
      <c r="C337">
        <v>3</v>
      </c>
      <c r="D337">
        <v>4</v>
      </c>
      <c r="E337">
        <v>2</v>
      </c>
      <c r="F337">
        <v>2</v>
      </c>
      <c r="G337">
        <v>4</v>
      </c>
      <c r="H337">
        <v>4</v>
      </c>
      <c r="I337">
        <v>2</v>
      </c>
      <c r="K337">
        <v>1</v>
      </c>
      <c r="L337">
        <v>1</v>
      </c>
      <c r="M337">
        <v>0</v>
      </c>
      <c r="N337">
        <v>6</v>
      </c>
      <c r="O337">
        <v>4</v>
      </c>
      <c r="P337">
        <v>2</v>
      </c>
      <c r="Q337">
        <v>2</v>
      </c>
      <c r="R337">
        <v>2</v>
      </c>
    </row>
    <row r="338" spans="1:18" customFormat="1" ht="14.25" customHeight="1" x14ac:dyDescent="0.35">
      <c r="A338">
        <v>1760</v>
      </c>
      <c r="B338">
        <v>4</v>
      </c>
      <c r="C338">
        <v>3</v>
      </c>
      <c r="D338">
        <v>4</v>
      </c>
      <c r="E338">
        <v>3</v>
      </c>
      <c r="F338">
        <v>2</v>
      </c>
      <c r="G338">
        <v>3</v>
      </c>
      <c r="H338">
        <v>3</v>
      </c>
      <c r="I338">
        <v>2</v>
      </c>
      <c r="N338">
        <v>6</v>
      </c>
      <c r="O338">
        <v>2</v>
      </c>
      <c r="P338">
        <v>1</v>
      </c>
      <c r="Q338">
        <v>4</v>
      </c>
      <c r="R338">
        <v>4</v>
      </c>
    </row>
    <row r="339" spans="1:18" customFormat="1" ht="14.25" customHeight="1" x14ac:dyDescent="0.35">
      <c r="A339">
        <v>1763</v>
      </c>
      <c r="B339">
        <v>5</v>
      </c>
      <c r="C339">
        <v>5</v>
      </c>
      <c r="D339">
        <v>1</v>
      </c>
      <c r="E339">
        <v>5</v>
      </c>
      <c r="F339">
        <v>5</v>
      </c>
      <c r="G339">
        <v>5</v>
      </c>
      <c r="H339">
        <v>5</v>
      </c>
      <c r="I339">
        <v>1</v>
      </c>
      <c r="K339">
        <v>2</v>
      </c>
      <c r="L339">
        <v>1</v>
      </c>
      <c r="M339">
        <v>5</v>
      </c>
      <c r="N339">
        <v>6</v>
      </c>
      <c r="O339">
        <v>4</v>
      </c>
      <c r="P339">
        <v>1</v>
      </c>
      <c r="Q339">
        <v>4</v>
      </c>
      <c r="R339">
        <v>3</v>
      </c>
    </row>
    <row r="340" spans="1:18" customFormat="1" ht="14.25" customHeight="1" x14ac:dyDescent="0.35">
      <c r="A340">
        <v>1769</v>
      </c>
      <c r="B340">
        <v>5</v>
      </c>
      <c r="C340">
        <v>1</v>
      </c>
      <c r="D340">
        <v>5</v>
      </c>
      <c r="E340">
        <v>1</v>
      </c>
      <c r="F340">
        <v>1</v>
      </c>
      <c r="G340">
        <v>5</v>
      </c>
      <c r="H340">
        <v>5</v>
      </c>
      <c r="I340">
        <v>1</v>
      </c>
      <c r="K340">
        <v>1</v>
      </c>
      <c r="L340">
        <v>4</v>
      </c>
      <c r="M340">
        <v>0</v>
      </c>
      <c r="N340">
        <v>6</v>
      </c>
      <c r="O340">
        <v>1</v>
      </c>
      <c r="P340">
        <v>1</v>
      </c>
      <c r="Q340">
        <v>2</v>
      </c>
      <c r="R340">
        <v>1</v>
      </c>
    </row>
    <row r="341" spans="1:18" customFormat="1" ht="14.25" customHeight="1" x14ac:dyDescent="0.35">
      <c r="A341">
        <v>1775</v>
      </c>
      <c r="B341">
        <v>5</v>
      </c>
      <c r="C341">
        <v>1</v>
      </c>
      <c r="D341">
        <v>5</v>
      </c>
      <c r="E341">
        <v>1</v>
      </c>
      <c r="F341">
        <v>1</v>
      </c>
      <c r="G341">
        <v>5</v>
      </c>
      <c r="H341">
        <v>5</v>
      </c>
      <c r="I341">
        <v>2</v>
      </c>
      <c r="J341">
        <v>1</v>
      </c>
      <c r="K341">
        <v>2</v>
      </c>
      <c r="L341">
        <v>1</v>
      </c>
      <c r="M341">
        <v>0</v>
      </c>
      <c r="N341">
        <v>6</v>
      </c>
      <c r="O341">
        <v>4</v>
      </c>
      <c r="P341">
        <v>1</v>
      </c>
      <c r="Q341">
        <v>1</v>
      </c>
      <c r="R341">
        <v>1</v>
      </c>
    </row>
    <row r="342" spans="1:18" customFormat="1" ht="14.25" customHeight="1" x14ac:dyDescent="0.35">
      <c r="A342">
        <v>1785</v>
      </c>
      <c r="B342">
        <v>4</v>
      </c>
      <c r="C342">
        <v>3</v>
      </c>
      <c r="D342">
        <v>3</v>
      </c>
      <c r="E342">
        <v>4</v>
      </c>
      <c r="F342">
        <v>4</v>
      </c>
      <c r="G342">
        <v>4</v>
      </c>
      <c r="H342">
        <v>3</v>
      </c>
      <c r="I342">
        <v>2</v>
      </c>
      <c r="J342">
        <v>1</v>
      </c>
      <c r="K342">
        <v>1</v>
      </c>
      <c r="L342">
        <v>3</v>
      </c>
      <c r="M342">
        <v>0</v>
      </c>
      <c r="N342">
        <v>6</v>
      </c>
      <c r="O342">
        <v>4</v>
      </c>
      <c r="P342">
        <v>3</v>
      </c>
      <c r="Q342">
        <v>2</v>
      </c>
      <c r="R342">
        <v>2</v>
      </c>
    </row>
    <row r="343" spans="1:18" customFormat="1" ht="14.25" customHeight="1" x14ac:dyDescent="0.35">
      <c r="A343">
        <v>1789</v>
      </c>
      <c r="B343">
        <v>5</v>
      </c>
      <c r="C343">
        <v>1</v>
      </c>
      <c r="D343">
        <v>5</v>
      </c>
      <c r="E343">
        <v>1</v>
      </c>
      <c r="F343">
        <v>1</v>
      </c>
      <c r="G343">
        <v>4</v>
      </c>
      <c r="H343">
        <v>4</v>
      </c>
      <c r="I343">
        <v>1</v>
      </c>
      <c r="J343">
        <v>1</v>
      </c>
      <c r="K343">
        <v>2</v>
      </c>
      <c r="L343">
        <v>2</v>
      </c>
      <c r="M343">
        <v>0</v>
      </c>
      <c r="N343">
        <v>6</v>
      </c>
      <c r="O343">
        <v>4</v>
      </c>
      <c r="P343">
        <v>1</v>
      </c>
      <c r="Q343">
        <v>2</v>
      </c>
      <c r="R343">
        <v>2</v>
      </c>
    </row>
    <row r="344" spans="1:18" customFormat="1" ht="14.25" customHeight="1" x14ac:dyDescent="0.35">
      <c r="A344">
        <v>1794</v>
      </c>
      <c r="B344">
        <v>4</v>
      </c>
      <c r="C344">
        <v>4</v>
      </c>
      <c r="D344">
        <v>4</v>
      </c>
      <c r="E344">
        <v>3</v>
      </c>
      <c r="F344">
        <v>3</v>
      </c>
      <c r="G344">
        <v>4</v>
      </c>
      <c r="H344">
        <v>4</v>
      </c>
      <c r="I344">
        <v>2</v>
      </c>
      <c r="J344">
        <v>2</v>
      </c>
      <c r="N344">
        <v>6</v>
      </c>
      <c r="O344">
        <v>3</v>
      </c>
      <c r="P344">
        <v>2</v>
      </c>
      <c r="Q344">
        <v>4</v>
      </c>
      <c r="R344">
        <v>2</v>
      </c>
    </row>
    <row r="345" spans="1:18" customFormat="1" ht="14.25" customHeight="1" x14ac:dyDescent="0.35">
      <c r="A345">
        <v>1801</v>
      </c>
      <c r="B345">
        <v>5</v>
      </c>
      <c r="C345">
        <v>1</v>
      </c>
      <c r="D345">
        <v>5</v>
      </c>
      <c r="E345">
        <v>1</v>
      </c>
      <c r="F345">
        <v>1</v>
      </c>
      <c r="G345">
        <v>5</v>
      </c>
      <c r="H345">
        <v>4</v>
      </c>
      <c r="I345">
        <v>1</v>
      </c>
      <c r="K345">
        <v>2</v>
      </c>
      <c r="N345">
        <v>6</v>
      </c>
      <c r="O345">
        <v>4</v>
      </c>
      <c r="P345">
        <v>1</v>
      </c>
      <c r="Q345">
        <v>3</v>
      </c>
      <c r="R345">
        <v>2</v>
      </c>
    </row>
    <row r="346" spans="1:18" customFormat="1" ht="14.25" customHeight="1" x14ac:dyDescent="0.35">
      <c r="A346">
        <v>1804</v>
      </c>
      <c r="B346">
        <v>5</v>
      </c>
      <c r="C346">
        <v>1</v>
      </c>
      <c r="D346">
        <v>3</v>
      </c>
      <c r="E346">
        <v>1</v>
      </c>
      <c r="F346">
        <v>1</v>
      </c>
      <c r="G346">
        <v>5</v>
      </c>
      <c r="H346">
        <v>5</v>
      </c>
      <c r="I346">
        <v>2</v>
      </c>
      <c r="K346">
        <v>2</v>
      </c>
      <c r="L346">
        <v>1</v>
      </c>
      <c r="M346">
        <v>0</v>
      </c>
      <c r="N346">
        <v>6</v>
      </c>
      <c r="O346">
        <v>4</v>
      </c>
      <c r="P346">
        <v>2</v>
      </c>
      <c r="Q346">
        <v>4</v>
      </c>
      <c r="R346">
        <v>2</v>
      </c>
    </row>
    <row r="347" spans="1:18" customFormat="1" ht="14.25" customHeight="1" x14ac:dyDescent="0.35">
      <c r="A347">
        <v>1819</v>
      </c>
      <c r="B347">
        <v>5</v>
      </c>
      <c r="C347">
        <v>1</v>
      </c>
      <c r="D347">
        <v>5</v>
      </c>
      <c r="E347">
        <v>1</v>
      </c>
      <c r="F347">
        <v>1</v>
      </c>
      <c r="G347">
        <v>5</v>
      </c>
      <c r="H347">
        <v>5</v>
      </c>
      <c r="I347">
        <v>1</v>
      </c>
      <c r="J347">
        <v>1</v>
      </c>
      <c r="K347">
        <v>2</v>
      </c>
      <c r="N347">
        <v>5</v>
      </c>
      <c r="O347">
        <v>6</v>
      </c>
      <c r="P347">
        <v>3</v>
      </c>
      <c r="Q347">
        <v>2</v>
      </c>
      <c r="R347">
        <v>2</v>
      </c>
    </row>
    <row r="348" spans="1:18" customFormat="1" ht="14.25" customHeight="1" x14ac:dyDescent="0.35">
      <c r="A348">
        <v>1821</v>
      </c>
      <c r="B348">
        <v>5</v>
      </c>
      <c r="C348">
        <v>1</v>
      </c>
      <c r="D348">
        <v>5</v>
      </c>
      <c r="E348">
        <v>1</v>
      </c>
      <c r="F348">
        <v>1</v>
      </c>
      <c r="G348">
        <v>5</v>
      </c>
      <c r="H348">
        <v>5</v>
      </c>
      <c r="I348">
        <v>2</v>
      </c>
      <c r="J348">
        <v>1</v>
      </c>
      <c r="K348">
        <v>2</v>
      </c>
      <c r="L348">
        <v>3</v>
      </c>
      <c r="M348">
        <v>30</v>
      </c>
      <c r="N348">
        <v>6</v>
      </c>
      <c r="O348">
        <v>5</v>
      </c>
      <c r="P348">
        <v>1</v>
      </c>
      <c r="Q348">
        <v>1</v>
      </c>
      <c r="R348">
        <v>1</v>
      </c>
    </row>
    <row r="349" spans="1:18" customFormat="1" ht="14.25" customHeight="1" x14ac:dyDescent="0.35">
      <c r="A349">
        <v>1825</v>
      </c>
      <c r="B349">
        <v>2</v>
      </c>
      <c r="C349">
        <v>2</v>
      </c>
      <c r="D349">
        <v>5</v>
      </c>
      <c r="E349">
        <v>1</v>
      </c>
      <c r="F349">
        <v>1</v>
      </c>
      <c r="G349">
        <v>5</v>
      </c>
      <c r="H349">
        <v>5</v>
      </c>
      <c r="I349">
        <v>2</v>
      </c>
      <c r="J349">
        <v>2</v>
      </c>
      <c r="K349">
        <v>2</v>
      </c>
      <c r="L349">
        <v>4</v>
      </c>
      <c r="M349">
        <v>0</v>
      </c>
      <c r="N349">
        <v>6</v>
      </c>
      <c r="O349">
        <v>6</v>
      </c>
      <c r="P349">
        <v>1</v>
      </c>
      <c r="Q349">
        <v>1</v>
      </c>
      <c r="R349">
        <v>2</v>
      </c>
    </row>
    <row r="350" spans="1:18" customFormat="1" ht="14.25" customHeight="1" x14ac:dyDescent="0.35">
      <c r="A350">
        <v>1828</v>
      </c>
      <c r="B350">
        <v>4</v>
      </c>
      <c r="C350">
        <v>2</v>
      </c>
      <c r="D350">
        <v>4</v>
      </c>
      <c r="E350">
        <v>2</v>
      </c>
      <c r="F350">
        <v>1</v>
      </c>
      <c r="G350">
        <v>4</v>
      </c>
      <c r="H350">
        <v>5</v>
      </c>
      <c r="I350">
        <v>2</v>
      </c>
      <c r="J350">
        <v>2</v>
      </c>
      <c r="K350">
        <v>2</v>
      </c>
      <c r="L350">
        <v>3</v>
      </c>
      <c r="M350">
        <v>0</v>
      </c>
      <c r="N350">
        <v>6</v>
      </c>
      <c r="O350">
        <v>6</v>
      </c>
      <c r="P350">
        <v>2</v>
      </c>
      <c r="Q350">
        <v>2</v>
      </c>
      <c r="R350">
        <v>4</v>
      </c>
    </row>
    <row r="351" spans="1:18" customFormat="1" ht="14.25" customHeight="1" x14ac:dyDescent="0.35">
      <c r="A351">
        <v>1833</v>
      </c>
      <c r="B351">
        <v>3</v>
      </c>
      <c r="C351">
        <v>2</v>
      </c>
      <c r="D351">
        <v>4</v>
      </c>
      <c r="E351">
        <v>3</v>
      </c>
      <c r="F351">
        <v>3</v>
      </c>
      <c r="G351">
        <v>4</v>
      </c>
      <c r="H351">
        <v>4</v>
      </c>
      <c r="I351">
        <v>2</v>
      </c>
      <c r="K351">
        <v>3</v>
      </c>
      <c r="L351">
        <v>1</v>
      </c>
      <c r="M351">
        <v>7</v>
      </c>
      <c r="N351">
        <v>6</v>
      </c>
      <c r="O351">
        <v>6</v>
      </c>
      <c r="P351">
        <v>2</v>
      </c>
      <c r="Q351">
        <v>2</v>
      </c>
      <c r="R351">
        <v>2</v>
      </c>
    </row>
    <row r="352" spans="1:18" customFormat="1" ht="14.25" customHeight="1" x14ac:dyDescent="0.35">
      <c r="A352">
        <v>1843</v>
      </c>
      <c r="B352">
        <v>3</v>
      </c>
      <c r="C352">
        <v>1</v>
      </c>
      <c r="D352">
        <v>4</v>
      </c>
      <c r="E352">
        <v>3</v>
      </c>
      <c r="F352">
        <v>4</v>
      </c>
      <c r="G352">
        <v>4</v>
      </c>
      <c r="H352">
        <v>4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6</v>
      </c>
      <c r="O352">
        <v>4</v>
      </c>
      <c r="P352">
        <v>1</v>
      </c>
      <c r="Q352">
        <v>2</v>
      </c>
      <c r="R352">
        <v>2</v>
      </c>
    </row>
    <row r="353" spans="1:18" customFormat="1" ht="14.25" customHeight="1" x14ac:dyDescent="0.35">
      <c r="A353">
        <v>1847</v>
      </c>
      <c r="B353">
        <v>5</v>
      </c>
      <c r="C353">
        <v>1</v>
      </c>
      <c r="D353">
        <v>5</v>
      </c>
      <c r="E353">
        <v>1</v>
      </c>
      <c r="G353">
        <v>5</v>
      </c>
      <c r="H353">
        <v>5</v>
      </c>
      <c r="I353">
        <v>2</v>
      </c>
      <c r="N353">
        <v>4</v>
      </c>
      <c r="O353">
        <v>4</v>
      </c>
      <c r="P353">
        <v>1</v>
      </c>
      <c r="Q353">
        <v>1</v>
      </c>
      <c r="R353">
        <v>1</v>
      </c>
    </row>
    <row r="354" spans="1:18" customFormat="1" ht="14.25" customHeight="1" x14ac:dyDescent="0.35">
      <c r="A354">
        <v>1851</v>
      </c>
      <c r="B354">
        <v>3</v>
      </c>
      <c r="C354">
        <v>2</v>
      </c>
      <c r="D354">
        <v>4</v>
      </c>
      <c r="E354">
        <v>2</v>
      </c>
      <c r="F354">
        <v>2</v>
      </c>
      <c r="G354">
        <v>4</v>
      </c>
      <c r="H354">
        <v>3</v>
      </c>
      <c r="I354">
        <v>3</v>
      </c>
      <c r="K354">
        <v>1</v>
      </c>
      <c r="L354">
        <v>4</v>
      </c>
      <c r="M354">
        <v>5</v>
      </c>
      <c r="N354">
        <v>6</v>
      </c>
      <c r="O354">
        <v>6</v>
      </c>
      <c r="P354">
        <v>2</v>
      </c>
      <c r="Q354">
        <v>4</v>
      </c>
      <c r="R354">
        <v>2</v>
      </c>
    </row>
    <row r="355" spans="1:18" customFormat="1" ht="14.25" customHeight="1" x14ac:dyDescent="0.35">
      <c r="A355">
        <v>1854</v>
      </c>
      <c r="B355">
        <v>3</v>
      </c>
      <c r="C355">
        <v>3</v>
      </c>
      <c r="D355">
        <v>4</v>
      </c>
      <c r="E355">
        <v>3</v>
      </c>
      <c r="F355">
        <v>4</v>
      </c>
      <c r="G355">
        <v>4</v>
      </c>
      <c r="H355">
        <v>3</v>
      </c>
      <c r="I355">
        <v>2</v>
      </c>
      <c r="J355">
        <v>2</v>
      </c>
      <c r="N355">
        <v>6</v>
      </c>
      <c r="O355">
        <v>4</v>
      </c>
      <c r="P355">
        <v>2</v>
      </c>
      <c r="Q355">
        <v>2</v>
      </c>
      <c r="R355">
        <v>2</v>
      </c>
    </row>
    <row r="356" spans="1:18" customFormat="1" ht="14.25" customHeight="1" x14ac:dyDescent="0.35">
      <c r="A356">
        <v>1860</v>
      </c>
      <c r="B356">
        <v>5</v>
      </c>
      <c r="C356">
        <v>1</v>
      </c>
      <c r="D356">
        <v>5</v>
      </c>
      <c r="E356">
        <v>1</v>
      </c>
      <c r="F356">
        <v>1</v>
      </c>
      <c r="G356">
        <v>5</v>
      </c>
      <c r="H356">
        <v>5</v>
      </c>
      <c r="I356">
        <v>3</v>
      </c>
      <c r="K356">
        <v>1</v>
      </c>
      <c r="L356">
        <v>1</v>
      </c>
      <c r="M356">
        <v>15</v>
      </c>
      <c r="N356">
        <v>6</v>
      </c>
      <c r="O356">
        <v>3</v>
      </c>
      <c r="P356">
        <v>1</v>
      </c>
      <c r="Q356">
        <v>4</v>
      </c>
      <c r="R356">
        <v>2</v>
      </c>
    </row>
    <row r="357" spans="1:18" customFormat="1" ht="14.25" customHeight="1" x14ac:dyDescent="0.35">
      <c r="A357">
        <v>1865</v>
      </c>
      <c r="B357">
        <v>2</v>
      </c>
      <c r="C357">
        <v>2</v>
      </c>
      <c r="D357">
        <v>3</v>
      </c>
      <c r="E357">
        <v>2</v>
      </c>
      <c r="F357">
        <v>3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1</v>
      </c>
      <c r="M357">
        <v>2</v>
      </c>
      <c r="N357">
        <v>6</v>
      </c>
      <c r="O357">
        <v>6</v>
      </c>
      <c r="P357">
        <v>2</v>
      </c>
      <c r="Q357">
        <v>4</v>
      </c>
      <c r="R357">
        <v>4</v>
      </c>
    </row>
    <row r="358" spans="1:18" customFormat="1" ht="14.25" customHeight="1" x14ac:dyDescent="0.35">
      <c r="A358">
        <v>1868</v>
      </c>
      <c r="B358">
        <v>3</v>
      </c>
      <c r="C358">
        <v>3</v>
      </c>
      <c r="D358">
        <v>3</v>
      </c>
      <c r="E358">
        <v>4</v>
      </c>
      <c r="F358">
        <v>2</v>
      </c>
      <c r="G358">
        <v>3</v>
      </c>
      <c r="H358">
        <v>1</v>
      </c>
      <c r="I358">
        <v>1</v>
      </c>
      <c r="J358">
        <v>1</v>
      </c>
      <c r="N358">
        <v>6</v>
      </c>
      <c r="O358">
        <v>6</v>
      </c>
      <c r="P358">
        <v>2</v>
      </c>
      <c r="Q358">
        <v>4</v>
      </c>
      <c r="R358">
        <v>4</v>
      </c>
    </row>
    <row r="359" spans="1:18" customFormat="1" ht="14.25" customHeight="1" x14ac:dyDescent="0.35">
      <c r="A359">
        <v>1871</v>
      </c>
      <c r="B359">
        <v>5</v>
      </c>
      <c r="C359">
        <v>1</v>
      </c>
      <c r="D359">
        <v>5</v>
      </c>
      <c r="E359">
        <v>1</v>
      </c>
      <c r="F359">
        <v>1</v>
      </c>
      <c r="G359">
        <v>5</v>
      </c>
      <c r="H359">
        <v>5</v>
      </c>
      <c r="I359">
        <v>1</v>
      </c>
      <c r="K359">
        <v>1</v>
      </c>
      <c r="L359">
        <v>1</v>
      </c>
      <c r="M359">
        <v>2</v>
      </c>
      <c r="N359">
        <v>6</v>
      </c>
      <c r="O359">
        <v>6</v>
      </c>
      <c r="P359">
        <v>2</v>
      </c>
      <c r="Q359">
        <v>3</v>
      </c>
      <c r="R359">
        <v>2</v>
      </c>
    </row>
    <row r="360" spans="1:18" customFormat="1" ht="14.25" customHeight="1" x14ac:dyDescent="0.35">
      <c r="A360">
        <v>1875</v>
      </c>
      <c r="B360">
        <v>5</v>
      </c>
      <c r="C360">
        <v>1</v>
      </c>
      <c r="D360">
        <v>5</v>
      </c>
      <c r="E360">
        <v>1</v>
      </c>
      <c r="F360">
        <v>5</v>
      </c>
      <c r="G360">
        <v>4</v>
      </c>
      <c r="H360">
        <v>5</v>
      </c>
      <c r="I360">
        <v>1</v>
      </c>
      <c r="J360">
        <v>1</v>
      </c>
      <c r="K360">
        <v>1</v>
      </c>
      <c r="L360">
        <v>1</v>
      </c>
      <c r="M360">
        <v>2</v>
      </c>
      <c r="N360">
        <v>6</v>
      </c>
      <c r="O360">
        <v>4</v>
      </c>
      <c r="P360">
        <v>1</v>
      </c>
      <c r="Q360">
        <v>5</v>
      </c>
      <c r="R360">
        <v>1</v>
      </c>
    </row>
    <row r="361" spans="1:18" customFormat="1" ht="14.25" customHeight="1" x14ac:dyDescent="0.35">
      <c r="A361">
        <v>1876</v>
      </c>
      <c r="B361">
        <v>5</v>
      </c>
      <c r="C361">
        <v>1</v>
      </c>
      <c r="D361">
        <v>5</v>
      </c>
      <c r="E361">
        <v>1</v>
      </c>
      <c r="F361">
        <v>1</v>
      </c>
      <c r="G361">
        <v>5</v>
      </c>
      <c r="H361">
        <v>5</v>
      </c>
      <c r="I361">
        <v>2</v>
      </c>
      <c r="J361">
        <v>2</v>
      </c>
      <c r="K361">
        <v>1</v>
      </c>
      <c r="L361">
        <v>1</v>
      </c>
      <c r="M361">
        <v>0</v>
      </c>
      <c r="N361">
        <v>6</v>
      </c>
      <c r="O361">
        <v>4</v>
      </c>
      <c r="P361">
        <v>1</v>
      </c>
      <c r="Q361">
        <v>2</v>
      </c>
      <c r="R361">
        <v>2</v>
      </c>
    </row>
    <row r="362" spans="1:18" customFormat="1" ht="14.25" customHeight="1" x14ac:dyDescent="0.35">
      <c r="A362">
        <v>1883</v>
      </c>
      <c r="B362">
        <v>5</v>
      </c>
      <c r="C362">
        <v>1</v>
      </c>
      <c r="D362">
        <v>5</v>
      </c>
      <c r="E362">
        <v>1</v>
      </c>
      <c r="F362">
        <v>1</v>
      </c>
      <c r="G362">
        <v>5</v>
      </c>
      <c r="H362">
        <v>5</v>
      </c>
      <c r="I362">
        <v>1</v>
      </c>
      <c r="K362">
        <v>1</v>
      </c>
      <c r="L362">
        <v>1</v>
      </c>
      <c r="M362">
        <v>5</v>
      </c>
      <c r="N362">
        <v>6</v>
      </c>
      <c r="O362">
        <v>3</v>
      </c>
      <c r="P362">
        <v>1</v>
      </c>
      <c r="Q362">
        <v>2</v>
      </c>
      <c r="R362">
        <v>1</v>
      </c>
    </row>
    <row r="363" spans="1:18" customFormat="1" ht="14.25" customHeight="1" x14ac:dyDescent="0.35">
      <c r="A363">
        <v>1884</v>
      </c>
      <c r="B363">
        <v>5</v>
      </c>
      <c r="C363">
        <v>1</v>
      </c>
      <c r="D363">
        <v>5</v>
      </c>
      <c r="E363">
        <v>3</v>
      </c>
      <c r="F363">
        <v>1</v>
      </c>
      <c r="G363">
        <v>5</v>
      </c>
      <c r="H363">
        <v>5</v>
      </c>
      <c r="I363">
        <v>1</v>
      </c>
      <c r="N363">
        <v>6</v>
      </c>
      <c r="O363">
        <v>5</v>
      </c>
      <c r="P363">
        <v>2</v>
      </c>
      <c r="Q363">
        <v>4</v>
      </c>
      <c r="R363">
        <v>2</v>
      </c>
    </row>
    <row r="364" spans="1:18" customFormat="1" ht="14.25" customHeight="1" x14ac:dyDescent="0.35">
      <c r="A364">
        <v>1899</v>
      </c>
      <c r="B364">
        <v>5</v>
      </c>
      <c r="C364">
        <v>1</v>
      </c>
      <c r="D364">
        <v>5</v>
      </c>
      <c r="E364">
        <v>1</v>
      </c>
      <c r="F364">
        <v>5</v>
      </c>
      <c r="G364">
        <v>5</v>
      </c>
      <c r="H364">
        <v>5</v>
      </c>
      <c r="I364">
        <v>2</v>
      </c>
      <c r="J364">
        <v>3</v>
      </c>
      <c r="K364">
        <v>3</v>
      </c>
      <c r="L364">
        <v>3</v>
      </c>
      <c r="M364">
        <v>14</v>
      </c>
      <c r="N364">
        <v>6</v>
      </c>
      <c r="O364">
        <v>2</v>
      </c>
      <c r="P364">
        <v>1</v>
      </c>
      <c r="Q364">
        <v>4</v>
      </c>
      <c r="R364">
        <v>1</v>
      </c>
    </row>
    <row r="365" spans="1:18" customFormat="1" ht="14.25" customHeight="1" x14ac:dyDescent="0.35">
      <c r="A365">
        <v>1906</v>
      </c>
      <c r="B365">
        <v>5</v>
      </c>
      <c r="C365">
        <v>5</v>
      </c>
      <c r="D365">
        <v>2</v>
      </c>
      <c r="E365">
        <v>1</v>
      </c>
      <c r="F365">
        <v>1</v>
      </c>
      <c r="G365">
        <v>5</v>
      </c>
      <c r="H365">
        <v>5</v>
      </c>
      <c r="I365">
        <v>2</v>
      </c>
      <c r="J365">
        <v>1</v>
      </c>
      <c r="K365">
        <v>1</v>
      </c>
      <c r="L365">
        <v>2</v>
      </c>
      <c r="M365">
        <v>0</v>
      </c>
      <c r="N365">
        <v>6</v>
      </c>
      <c r="O365">
        <v>4</v>
      </c>
      <c r="P365">
        <v>1</v>
      </c>
      <c r="Q365">
        <v>2</v>
      </c>
      <c r="R365">
        <v>2</v>
      </c>
    </row>
    <row r="366" spans="1:18" customFormat="1" ht="14.25" customHeight="1" x14ac:dyDescent="0.35">
      <c r="A366">
        <v>1914</v>
      </c>
      <c r="B366">
        <v>4</v>
      </c>
      <c r="C366">
        <v>2</v>
      </c>
      <c r="D366">
        <v>4</v>
      </c>
      <c r="E366">
        <v>2</v>
      </c>
      <c r="F366">
        <v>2</v>
      </c>
      <c r="G366">
        <v>4</v>
      </c>
      <c r="H366">
        <v>4</v>
      </c>
      <c r="I366">
        <v>1</v>
      </c>
      <c r="J366">
        <v>1</v>
      </c>
      <c r="K366">
        <v>1</v>
      </c>
      <c r="L366">
        <v>2</v>
      </c>
      <c r="M366">
        <v>0</v>
      </c>
      <c r="N366">
        <v>5</v>
      </c>
      <c r="O366">
        <v>6</v>
      </c>
      <c r="P366">
        <v>2</v>
      </c>
      <c r="Q366">
        <v>2</v>
      </c>
      <c r="R366">
        <v>3</v>
      </c>
    </row>
    <row r="367" spans="1:18" customFormat="1" ht="14.25" customHeight="1" x14ac:dyDescent="0.35">
      <c r="A367">
        <v>1918</v>
      </c>
      <c r="B367">
        <v>4</v>
      </c>
      <c r="C367">
        <v>2</v>
      </c>
      <c r="D367">
        <v>4</v>
      </c>
      <c r="E367">
        <v>2</v>
      </c>
      <c r="F367">
        <v>2</v>
      </c>
      <c r="G367">
        <v>4</v>
      </c>
      <c r="H367">
        <v>4</v>
      </c>
      <c r="I367">
        <v>1</v>
      </c>
      <c r="K367">
        <v>1</v>
      </c>
      <c r="L367">
        <v>2</v>
      </c>
      <c r="M367">
        <v>30</v>
      </c>
      <c r="N367">
        <v>6</v>
      </c>
      <c r="O367">
        <v>6</v>
      </c>
      <c r="P367">
        <v>1</v>
      </c>
      <c r="Q367">
        <v>1</v>
      </c>
      <c r="R367">
        <v>2</v>
      </c>
    </row>
    <row r="368" spans="1:18" customFormat="1" ht="14.25" customHeight="1" x14ac:dyDescent="0.35">
      <c r="A368">
        <v>1923</v>
      </c>
      <c r="B368">
        <v>5</v>
      </c>
      <c r="C368">
        <v>1</v>
      </c>
      <c r="D368">
        <v>5</v>
      </c>
      <c r="E368">
        <v>1</v>
      </c>
      <c r="F368">
        <v>1</v>
      </c>
      <c r="G368">
        <v>5</v>
      </c>
      <c r="H368">
        <v>5</v>
      </c>
      <c r="I368">
        <v>1</v>
      </c>
      <c r="J368">
        <v>1</v>
      </c>
      <c r="K368">
        <v>1</v>
      </c>
      <c r="L368">
        <v>3</v>
      </c>
      <c r="M368">
        <v>2</v>
      </c>
      <c r="N368">
        <v>6</v>
      </c>
      <c r="O368">
        <v>4</v>
      </c>
      <c r="P368">
        <v>1</v>
      </c>
      <c r="Q368">
        <v>1</v>
      </c>
      <c r="R368">
        <v>1</v>
      </c>
    </row>
    <row r="369" spans="1:18" customFormat="1" ht="14.25" customHeight="1" x14ac:dyDescent="0.35">
      <c r="A369">
        <v>1926</v>
      </c>
      <c r="B369">
        <v>5</v>
      </c>
      <c r="C369">
        <v>1</v>
      </c>
      <c r="D369">
        <v>5</v>
      </c>
      <c r="E369">
        <v>1</v>
      </c>
      <c r="F369">
        <v>1</v>
      </c>
      <c r="G369">
        <v>5</v>
      </c>
      <c r="H369">
        <v>5</v>
      </c>
      <c r="I369">
        <v>1</v>
      </c>
      <c r="K369">
        <v>1</v>
      </c>
      <c r="L369">
        <v>2</v>
      </c>
      <c r="M369">
        <v>0</v>
      </c>
      <c r="N369">
        <v>6</v>
      </c>
      <c r="O369">
        <v>6</v>
      </c>
      <c r="P369">
        <v>1</v>
      </c>
      <c r="Q369">
        <v>2</v>
      </c>
      <c r="R369">
        <v>1</v>
      </c>
    </row>
    <row r="370" spans="1:18" customFormat="1" ht="14.25" customHeight="1" x14ac:dyDescent="0.35">
      <c r="A370">
        <v>1928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2</v>
      </c>
      <c r="J370">
        <v>2</v>
      </c>
      <c r="N370">
        <v>6</v>
      </c>
      <c r="O370">
        <v>6</v>
      </c>
      <c r="P370">
        <v>1</v>
      </c>
      <c r="Q370">
        <v>2</v>
      </c>
      <c r="R370">
        <v>1</v>
      </c>
    </row>
    <row r="371" spans="1:18" customFormat="1" ht="14.25" customHeight="1" x14ac:dyDescent="0.35">
      <c r="A371">
        <v>1934</v>
      </c>
      <c r="B371">
        <v>3</v>
      </c>
      <c r="C371">
        <v>3</v>
      </c>
      <c r="D371">
        <v>2</v>
      </c>
      <c r="E371">
        <v>3</v>
      </c>
      <c r="F371">
        <v>1</v>
      </c>
      <c r="G371">
        <v>5</v>
      </c>
      <c r="H371">
        <v>1</v>
      </c>
      <c r="I371">
        <v>1</v>
      </c>
      <c r="N371">
        <v>6</v>
      </c>
      <c r="O371">
        <v>6</v>
      </c>
      <c r="P371">
        <v>3</v>
      </c>
      <c r="Q371">
        <v>3</v>
      </c>
      <c r="R371">
        <v>3</v>
      </c>
    </row>
    <row r="372" spans="1:18" customFormat="1" ht="14.25" customHeight="1" x14ac:dyDescent="0.35">
      <c r="A372">
        <v>1942</v>
      </c>
      <c r="B372">
        <v>5</v>
      </c>
      <c r="C372">
        <v>2</v>
      </c>
      <c r="D372">
        <v>3</v>
      </c>
      <c r="E372">
        <v>5</v>
      </c>
      <c r="F372">
        <v>4</v>
      </c>
      <c r="G372">
        <v>5</v>
      </c>
      <c r="H372">
        <v>4</v>
      </c>
      <c r="I372">
        <v>3</v>
      </c>
      <c r="K372">
        <v>2</v>
      </c>
      <c r="L372">
        <v>3</v>
      </c>
      <c r="M372">
        <v>2</v>
      </c>
      <c r="N372">
        <v>6</v>
      </c>
      <c r="O372">
        <v>5</v>
      </c>
      <c r="P372">
        <v>3</v>
      </c>
      <c r="Q372">
        <v>2</v>
      </c>
      <c r="R372">
        <v>4</v>
      </c>
    </row>
    <row r="373" spans="1:18" customFormat="1" ht="14.25" customHeight="1" x14ac:dyDescent="0.35">
      <c r="A373">
        <v>1955</v>
      </c>
      <c r="B373">
        <v>4</v>
      </c>
      <c r="C373">
        <v>2</v>
      </c>
      <c r="D373">
        <v>5</v>
      </c>
      <c r="E373">
        <v>2</v>
      </c>
      <c r="F373">
        <v>3</v>
      </c>
      <c r="G373">
        <v>5</v>
      </c>
      <c r="H373">
        <v>5</v>
      </c>
      <c r="I373">
        <v>2</v>
      </c>
      <c r="J373">
        <v>1</v>
      </c>
      <c r="K373">
        <v>1</v>
      </c>
      <c r="N373">
        <v>6</v>
      </c>
      <c r="O373">
        <v>6</v>
      </c>
      <c r="P373">
        <v>2</v>
      </c>
      <c r="Q373">
        <v>3</v>
      </c>
      <c r="R373">
        <v>2</v>
      </c>
    </row>
    <row r="374" spans="1:18" customFormat="1" ht="14.25" customHeight="1" x14ac:dyDescent="0.35">
      <c r="A374">
        <v>1958</v>
      </c>
      <c r="B374">
        <v>2</v>
      </c>
      <c r="C374">
        <v>2</v>
      </c>
      <c r="D374">
        <v>3</v>
      </c>
      <c r="E374">
        <v>3</v>
      </c>
      <c r="F374">
        <v>3</v>
      </c>
      <c r="G374">
        <v>3</v>
      </c>
      <c r="H374">
        <v>3</v>
      </c>
      <c r="I374">
        <v>2</v>
      </c>
      <c r="J374">
        <v>1</v>
      </c>
      <c r="K374">
        <v>1</v>
      </c>
      <c r="L374">
        <v>3</v>
      </c>
      <c r="M374">
        <v>0</v>
      </c>
      <c r="N374">
        <v>6</v>
      </c>
      <c r="O374">
        <v>6</v>
      </c>
      <c r="P374">
        <v>2</v>
      </c>
      <c r="Q374">
        <v>2</v>
      </c>
      <c r="R374">
        <v>2</v>
      </c>
    </row>
    <row r="375" spans="1:18" customFormat="1" ht="14.25" customHeight="1" x14ac:dyDescent="0.35">
      <c r="A375">
        <v>1971</v>
      </c>
      <c r="B375">
        <v>4</v>
      </c>
      <c r="C375">
        <v>3</v>
      </c>
      <c r="D375">
        <v>5</v>
      </c>
      <c r="E375">
        <v>2</v>
      </c>
      <c r="F375">
        <v>2</v>
      </c>
      <c r="G375">
        <v>4</v>
      </c>
      <c r="H375">
        <v>4</v>
      </c>
      <c r="I375">
        <v>2</v>
      </c>
      <c r="J375">
        <v>2</v>
      </c>
      <c r="K375">
        <v>1</v>
      </c>
      <c r="L375">
        <v>1</v>
      </c>
      <c r="M375">
        <v>0</v>
      </c>
      <c r="N375">
        <v>6</v>
      </c>
      <c r="O375">
        <v>6</v>
      </c>
      <c r="P375">
        <v>1</v>
      </c>
      <c r="Q375">
        <v>4</v>
      </c>
      <c r="R375">
        <v>1</v>
      </c>
    </row>
    <row r="376" spans="1:18" customFormat="1" ht="14.25" customHeight="1" x14ac:dyDescent="0.35">
      <c r="A376">
        <v>1974</v>
      </c>
      <c r="B376">
        <v>5</v>
      </c>
      <c r="C376">
        <v>1</v>
      </c>
      <c r="D376">
        <v>4</v>
      </c>
      <c r="E376">
        <v>1</v>
      </c>
      <c r="F376">
        <v>1</v>
      </c>
      <c r="G376">
        <v>5</v>
      </c>
      <c r="H376">
        <v>5</v>
      </c>
      <c r="I376">
        <v>1</v>
      </c>
      <c r="J376">
        <v>2</v>
      </c>
      <c r="K376">
        <v>1</v>
      </c>
      <c r="L376">
        <v>4</v>
      </c>
      <c r="M376">
        <v>0</v>
      </c>
      <c r="N376">
        <v>6</v>
      </c>
      <c r="O376">
        <v>3</v>
      </c>
      <c r="P376">
        <v>1</v>
      </c>
      <c r="Q376">
        <v>3</v>
      </c>
      <c r="R376">
        <v>1</v>
      </c>
    </row>
    <row r="377" spans="1:18" customFormat="1" ht="14.25" customHeight="1" x14ac:dyDescent="0.35">
      <c r="A377">
        <v>1983</v>
      </c>
      <c r="B377">
        <v>5</v>
      </c>
      <c r="C377">
        <v>1</v>
      </c>
      <c r="D377">
        <v>5</v>
      </c>
      <c r="E377">
        <v>1</v>
      </c>
      <c r="F377">
        <v>1</v>
      </c>
      <c r="G377">
        <v>5</v>
      </c>
      <c r="H377">
        <v>5</v>
      </c>
      <c r="I377">
        <v>2</v>
      </c>
      <c r="J377">
        <v>1</v>
      </c>
      <c r="K377">
        <v>2</v>
      </c>
      <c r="L377">
        <v>1</v>
      </c>
      <c r="M377">
        <v>3</v>
      </c>
      <c r="N377">
        <v>6</v>
      </c>
      <c r="O377">
        <v>6</v>
      </c>
      <c r="P377">
        <v>1</v>
      </c>
      <c r="Q377">
        <v>4</v>
      </c>
      <c r="R377">
        <v>1</v>
      </c>
    </row>
    <row r="378" spans="1:18" customFormat="1" ht="14.25" customHeight="1" x14ac:dyDescent="0.35">
      <c r="A378">
        <v>1987</v>
      </c>
      <c r="B378">
        <v>4</v>
      </c>
      <c r="C378">
        <v>3</v>
      </c>
      <c r="D378">
        <v>4</v>
      </c>
      <c r="E378">
        <v>2</v>
      </c>
      <c r="F378">
        <v>2</v>
      </c>
      <c r="G378">
        <v>4</v>
      </c>
      <c r="H378">
        <v>4</v>
      </c>
      <c r="I378">
        <v>2</v>
      </c>
      <c r="J378">
        <v>1</v>
      </c>
      <c r="K378">
        <v>1</v>
      </c>
      <c r="L378">
        <v>1</v>
      </c>
      <c r="M378">
        <v>10</v>
      </c>
      <c r="N378">
        <v>6</v>
      </c>
      <c r="O378">
        <v>4</v>
      </c>
      <c r="P378">
        <v>1</v>
      </c>
      <c r="Q378">
        <v>4</v>
      </c>
      <c r="R378">
        <v>2</v>
      </c>
    </row>
    <row r="379" spans="1:18" customFormat="1" ht="14.25" customHeight="1" x14ac:dyDescent="0.35">
      <c r="A379">
        <v>1990</v>
      </c>
      <c r="B379">
        <v>5</v>
      </c>
      <c r="C379">
        <v>1</v>
      </c>
      <c r="D379">
        <v>5</v>
      </c>
      <c r="E379">
        <v>1</v>
      </c>
      <c r="F379">
        <v>1</v>
      </c>
      <c r="G379">
        <v>5</v>
      </c>
      <c r="H379">
        <v>5</v>
      </c>
      <c r="I379">
        <v>1</v>
      </c>
      <c r="J379">
        <v>1</v>
      </c>
      <c r="K379">
        <v>1</v>
      </c>
      <c r="L379">
        <v>2</v>
      </c>
      <c r="M379">
        <v>2</v>
      </c>
      <c r="N379">
        <v>6</v>
      </c>
      <c r="O379">
        <v>3</v>
      </c>
      <c r="P379">
        <v>1</v>
      </c>
      <c r="Q379">
        <v>2</v>
      </c>
      <c r="R379">
        <v>1</v>
      </c>
    </row>
    <row r="380" spans="1:18" customFormat="1" ht="14.25" customHeight="1" x14ac:dyDescent="0.35">
      <c r="A380">
        <v>1999</v>
      </c>
      <c r="B380">
        <v>5</v>
      </c>
      <c r="C380">
        <v>1</v>
      </c>
      <c r="D380">
        <v>5</v>
      </c>
      <c r="E380">
        <v>1</v>
      </c>
      <c r="F380">
        <v>1</v>
      </c>
      <c r="G380">
        <v>5</v>
      </c>
      <c r="H380">
        <v>5</v>
      </c>
      <c r="I380">
        <v>1</v>
      </c>
      <c r="N380">
        <v>6</v>
      </c>
      <c r="O380">
        <v>6</v>
      </c>
      <c r="P380">
        <v>1</v>
      </c>
      <c r="Q380">
        <v>2</v>
      </c>
      <c r="R380">
        <v>2</v>
      </c>
    </row>
    <row r="381" spans="1:18" customFormat="1" ht="14.25" customHeight="1" x14ac:dyDescent="0.35">
      <c r="A381">
        <v>2003</v>
      </c>
      <c r="B381">
        <v>2</v>
      </c>
      <c r="C381">
        <v>1</v>
      </c>
      <c r="D381">
        <v>3</v>
      </c>
      <c r="E381">
        <v>2</v>
      </c>
      <c r="F381">
        <v>1</v>
      </c>
      <c r="G381">
        <v>1</v>
      </c>
      <c r="H381">
        <v>3</v>
      </c>
      <c r="I381">
        <v>2</v>
      </c>
      <c r="N381">
        <v>6</v>
      </c>
      <c r="O381">
        <v>5</v>
      </c>
      <c r="P381">
        <v>1</v>
      </c>
      <c r="Q381">
        <v>4</v>
      </c>
      <c r="R381">
        <v>3</v>
      </c>
    </row>
    <row r="382" spans="1:18" customFormat="1" ht="14.25" customHeight="1" x14ac:dyDescent="0.35">
      <c r="A382">
        <v>2013</v>
      </c>
      <c r="B382">
        <v>2</v>
      </c>
      <c r="C382">
        <v>3</v>
      </c>
      <c r="D382">
        <v>3</v>
      </c>
      <c r="E382">
        <v>3</v>
      </c>
      <c r="F382">
        <v>3</v>
      </c>
      <c r="G382">
        <v>3</v>
      </c>
      <c r="H382">
        <v>3</v>
      </c>
      <c r="I382">
        <v>3</v>
      </c>
      <c r="J382">
        <v>2</v>
      </c>
      <c r="K382">
        <v>1</v>
      </c>
      <c r="L382">
        <v>3</v>
      </c>
      <c r="M382">
        <v>4</v>
      </c>
      <c r="N382">
        <v>6</v>
      </c>
      <c r="O382">
        <v>6</v>
      </c>
      <c r="P382">
        <v>2</v>
      </c>
      <c r="Q382">
        <v>1</v>
      </c>
      <c r="R382">
        <v>3</v>
      </c>
    </row>
    <row r="383" spans="1:18" customFormat="1" ht="14.25" customHeight="1" x14ac:dyDescent="0.35">
      <c r="A383">
        <v>2020</v>
      </c>
      <c r="B383">
        <v>5</v>
      </c>
      <c r="C383">
        <v>1</v>
      </c>
      <c r="D383">
        <v>5</v>
      </c>
      <c r="E383">
        <v>1</v>
      </c>
      <c r="F383">
        <v>1</v>
      </c>
      <c r="G383">
        <v>5</v>
      </c>
      <c r="H383">
        <v>5</v>
      </c>
      <c r="I383">
        <v>3</v>
      </c>
      <c r="N383">
        <v>6</v>
      </c>
      <c r="O383">
        <v>6</v>
      </c>
      <c r="P383">
        <v>1</v>
      </c>
      <c r="Q383">
        <v>2</v>
      </c>
      <c r="R383">
        <v>2</v>
      </c>
    </row>
    <row r="384" spans="1:18" customFormat="1" ht="14.25" customHeight="1" x14ac:dyDescent="0.35">
      <c r="A384">
        <v>2026</v>
      </c>
      <c r="B384">
        <v>4</v>
      </c>
      <c r="C384">
        <v>4</v>
      </c>
      <c r="D384">
        <v>2</v>
      </c>
      <c r="E384">
        <v>4</v>
      </c>
      <c r="F384">
        <v>4</v>
      </c>
      <c r="G384">
        <v>4</v>
      </c>
      <c r="H384">
        <v>1</v>
      </c>
      <c r="I384">
        <v>2</v>
      </c>
      <c r="K384">
        <v>1</v>
      </c>
      <c r="L384">
        <v>2</v>
      </c>
      <c r="M384">
        <v>3</v>
      </c>
      <c r="N384">
        <v>6</v>
      </c>
      <c r="O384">
        <v>6</v>
      </c>
      <c r="P384">
        <v>1</v>
      </c>
      <c r="Q384">
        <v>1</v>
      </c>
      <c r="R384">
        <v>1</v>
      </c>
    </row>
    <row r="385" spans="1:18" customFormat="1" ht="14.25" customHeight="1" x14ac:dyDescent="0.35">
      <c r="A385">
        <v>2032</v>
      </c>
      <c r="B385">
        <v>3</v>
      </c>
      <c r="C385">
        <v>2</v>
      </c>
      <c r="D385">
        <v>4</v>
      </c>
      <c r="E385">
        <v>2</v>
      </c>
      <c r="F385">
        <v>2</v>
      </c>
      <c r="G385">
        <v>4</v>
      </c>
      <c r="H385">
        <v>3</v>
      </c>
      <c r="I385">
        <v>2</v>
      </c>
      <c r="K385">
        <v>3</v>
      </c>
      <c r="L385">
        <v>1</v>
      </c>
      <c r="M385">
        <v>0</v>
      </c>
      <c r="N385">
        <v>5</v>
      </c>
      <c r="O385">
        <v>4</v>
      </c>
      <c r="P385">
        <v>2</v>
      </c>
      <c r="Q385">
        <v>2</v>
      </c>
      <c r="R385">
        <v>3</v>
      </c>
    </row>
    <row r="386" spans="1:18" customFormat="1" ht="14.25" customHeight="1" x14ac:dyDescent="0.35">
      <c r="A386">
        <v>2051</v>
      </c>
      <c r="B386">
        <v>5</v>
      </c>
      <c r="C386">
        <v>1</v>
      </c>
      <c r="D386">
        <v>5</v>
      </c>
      <c r="E386">
        <v>1</v>
      </c>
      <c r="F386">
        <v>1</v>
      </c>
      <c r="G386">
        <v>5</v>
      </c>
      <c r="H386">
        <v>5</v>
      </c>
      <c r="I386">
        <v>1</v>
      </c>
      <c r="J386">
        <v>1</v>
      </c>
      <c r="N386">
        <v>6</v>
      </c>
      <c r="O386">
        <v>4</v>
      </c>
      <c r="P386">
        <v>1</v>
      </c>
      <c r="Q386">
        <v>2</v>
      </c>
      <c r="R386">
        <v>1</v>
      </c>
    </row>
    <row r="387" spans="1:18" customFormat="1" ht="14.25" customHeight="1" x14ac:dyDescent="0.35">
      <c r="A387">
        <v>2066</v>
      </c>
      <c r="B387">
        <v>2</v>
      </c>
      <c r="C387">
        <v>3</v>
      </c>
      <c r="D387">
        <v>4</v>
      </c>
      <c r="E387">
        <v>3</v>
      </c>
      <c r="F387">
        <v>1</v>
      </c>
      <c r="G387">
        <v>3</v>
      </c>
      <c r="H387">
        <v>2</v>
      </c>
      <c r="I387">
        <v>2</v>
      </c>
      <c r="K387">
        <v>1</v>
      </c>
      <c r="L387">
        <v>2</v>
      </c>
      <c r="M387">
        <v>0</v>
      </c>
      <c r="N387">
        <v>6</v>
      </c>
      <c r="O387">
        <v>6</v>
      </c>
      <c r="P387">
        <v>2</v>
      </c>
      <c r="Q387">
        <v>2</v>
      </c>
      <c r="R387">
        <v>2</v>
      </c>
    </row>
    <row r="388" spans="1:18" customFormat="1" ht="14.25" customHeight="1" x14ac:dyDescent="0.35">
      <c r="A388">
        <v>2069</v>
      </c>
      <c r="B388">
        <v>5</v>
      </c>
      <c r="C388">
        <v>1</v>
      </c>
      <c r="D388">
        <v>5</v>
      </c>
      <c r="E388">
        <v>1</v>
      </c>
      <c r="F388">
        <v>1</v>
      </c>
      <c r="G388">
        <v>5</v>
      </c>
      <c r="H388">
        <v>5</v>
      </c>
      <c r="I388">
        <v>2</v>
      </c>
      <c r="J388">
        <v>1</v>
      </c>
      <c r="K388">
        <v>2</v>
      </c>
      <c r="N388">
        <v>6</v>
      </c>
      <c r="O388">
        <v>5</v>
      </c>
      <c r="P388">
        <v>1</v>
      </c>
      <c r="Q388">
        <v>3</v>
      </c>
      <c r="R388">
        <v>2</v>
      </c>
    </row>
    <row r="389" spans="1:18" customFormat="1" ht="14.25" customHeight="1" x14ac:dyDescent="0.35">
      <c r="A389">
        <v>2072</v>
      </c>
      <c r="B389">
        <v>3</v>
      </c>
      <c r="C389">
        <v>1</v>
      </c>
      <c r="D389">
        <v>1</v>
      </c>
      <c r="E389">
        <v>1</v>
      </c>
      <c r="F389">
        <v>2</v>
      </c>
      <c r="G389">
        <v>4</v>
      </c>
      <c r="H389">
        <v>4</v>
      </c>
      <c r="I389">
        <v>1</v>
      </c>
      <c r="J389">
        <v>1</v>
      </c>
      <c r="K389">
        <v>1</v>
      </c>
      <c r="N389">
        <v>6</v>
      </c>
      <c r="O389">
        <v>6</v>
      </c>
      <c r="P389">
        <v>1</v>
      </c>
      <c r="Q389">
        <v>1</v>
      </c>
      <c r="R389">
        <v>3</v>
      </c>
    </row>
    <row r="390" spans="1:18" customFormat="1" ht="14.25" customHeight="1" x14ac:dyDescent="0.35">
      <c r="A390">
        <v>2074</v>
      </c>
      <c r="B390">
        <v>4</v>
      </c>
      <c r="C390">
        <v>2</v>
      </c>
      <c r="D390">
        <v>3</v>
      </c>
      <c r="E390">
        <v>2</v>
      </c>
      <c r="F390">
        <v>2</v>
      </c>
      <c r="G390">
        <v>4</v>
      </c>
      <c r="H390">
        <v>5</v>
      </c>
      <c r="I390">
        <v>2</v>
      </c>
      <c r="K390">
        <v>2</v>
      </c>
      <c r="L390">
        <v>1</v>
      </c>
      <c r="M390">
        <v>0</v>
      </c>
      <c r="N390">
        <v>5</v>
      </c>
      <c r="O390">
        <v>5</v>
      </c>
      <c r="P390">
        <v>1</v>
      </c>
      <c r="Q390">
        <v>3</v>
      </c>
      <c r="R390">
        <v>2</v>
      </c>
    </row>
    <row r="391" spans="1:18" customFormat="1" ht="14.25" customHeight="1" x14ac:dyDescent="0.35">
      <c r="A391">
        <v>2079</v>
      </c>
      <c r="B391">
        <v>4</v>
      </c>
      <c r="C391">
        <v>1</v>
      </c>
      <c r="D391">
        <v>4</v>
      </c>
      <c r="E391">
        <v>1</v>
      </c>
      <c r="F391">
        <v>1</v>
      </c>
      <c r="G391">
        <v>1</v>
      </c>
      <c r="H391">
        <v>5</v>
      </c>
      <c r="I391">
        <v>2</v>
      </c>
      <c r="N391">
        <v>6</v>
      </c>
      <c r="O391">
        <v>6</v>
      </c>
      <c r="P391">
        <v>1</v>
      </c>
      <c r="Q391">
        <v>3</v>
      </c>
      <c r="R391">
        <v>2</v>
      </c>
    </row>
    <row r="392" spans="1:18" customFormat="1" ht="14.25" customHeight="1" x14ac:dyDescent="0.35">
      <c r="A392">
        <v>2084</v>
      </c>
      <c r="B392">
        <v>4</v>
      </c>
      <c r="C392">
        <v>2</v>
      </c>
      <c r="D392">
        <v>2</v>
      </c>
      <c r="E392">
        <v>3</v>
      </c>
      <c r="F392">
        <v>3</v>
      </c>
      <c r="G392">
        <v>4</v>
      </c>
      <c r="H392">
        <v>4</v>
      </c>
      <c r="I392">
        <v>1</v>
      </c>
      <c r="K392">
        <v>1</v>
      </c>
      <c r="L392">
        <v>1</v>
      </c>
      <c r="M392">
        <v>0</v>
      </c>
      <c r="N392">
        <v>6</v>
      </c>
      <c r="O392">
        <v>4</v>
      </c>
      <c r="P392">
        <v>1</v>
      </c>
      <c r="Q392">
        <v>2</v>
      </c>
      <c r="R392">
        <v>2</v>
      </c>
    </row>
    <row r="393" spans="1:18" customFormat="1" ht="14.25" customHeight="1" x14ac:dyDescent="0.35">
      <c r="A393">
        <v>2097</v>
      </c>
      <c r="B393">
        <v>3</v>
      </c>
      <c r="C393">
        <v>3</v>
      </c>
      <c r="D393">
        <v>3</v>
      </c>
      <c r="E393">
        <v>3</v>
      </c>
      <c r="F393">
        <v>3</v>
      </c>
      <c r="G393">
        <v>4</v>
      </c>
      <c r="H393">
        <v>4</v>
      </c>
      <c r="I393">
        <v>2</v>
      </c>
      <c r="K393">
        <v>2</v>
      </c>
      <c r="L393">
        <v>1</v>
      </c>
      <c r="M393">
        <v>0</v>
      </c>
      <c r="N393">
        <v>4</v>
      </c>
      <c r="O393">
        <v>5</v>
      </c>
      <c r="P393">
        <v>2</v>
      </c>
      <c r="Q393">
        <v>3</v>
      </c>
      <c r="R393">
        <v>3</v>
      </c>
    </row>
    <row r="394" spans="1:18" customFormat="1" ht="14.25" customHeight="1" x14ac:dyDescent="0.35">
      <c r="A394">
        <v>2099</v>
      </c>
      <c r="B394">
        <v>5</v>
      </c>
      <c r="C394">
        <v>1</v>
      </c>
      <c r="D394">
        <v>5</v>
      </c>
      <c r="E394">
        <v>2</v>
      </c>
      <c r="F394">
        <v>2</v>
      </c>
      <c r="G394">
        <v>5</v>
      </c>
      <c r="H394">
        <v>5</v>
      </c>
      <c r="I394">
        <v>2</v>
      </c>
      <c r="N394">
        <v>6</v>
      </c>
      <c r="O394">
        <v>6</v>
      </c>
      <c r="P394">
        <v>1</v>
      </c>
      <c r="Q394">
        <v>3</v>
      </c>
      <c r="R394">
        <v>2</v>
      </c>
    </row>
    <row r="395" spans="1:18" customFormat="1" ht="14.25" customHeight="1" x14ac:dyDescent="0.35">
      <c r="A395">
        <v>2108</v>
      </c>
      <c r="B395">
        <v>1</v>
      </c>
      <c r="C395">
        <v>1</v>
      </c>
      <c r="D395">
        <v>5</v>
      </c>
      <c r="E395">
        <v>1</v>
      </c>
      <c r="F395">
        <v>3</v>
      </c>
      <c r="G395">
        <v>5</v>
      </c>
      <c r="H395">
        <v>5</v>
      </c>
      <c r="I395">
        <v>2</v>
      </c>
      <c r="J395">
        <v>2</v>
      </c>
      <c r="K395">
        <v>1</v>
      </c>
      <c r="L395">
        <v>4</v>
      </c>
      <c r="M395">
        <v>0</v>
      </c>
      <c r="N395">
        <v>6</v>
      </c>
      <c r="O395">
        <v>5</v>
      </c>
      <c r="P395">
        <v>2</v>
      </c>
      <c r="Q395">
        <v>1</v>
      </c>
      <c r="R395">
        <v>3</v>
      </c>
    </row>
    <row r="396" spans="1:18" customFormat="1" ht="14.25" customHeight="1" x14ac:dyDescent="0.35">
      <c r="A396">
        <v>2110</v>
      </c>
      <c r="B396">
        <v>2</v>
      </c>
      <c r="C396">
        <v>3</v>
      </c>
      <c r="D396">
        <v>5</v>
      </c>
      <c r="E396">
        <v>2</v>
      </c>
      <c r="F396">
        <v>1</v>
      </c>
      <c r="G396">
        <v>2</v>
      </c>
      <c r="H396">
        <v>5</v>
      </c>
      <c r="I396">
        <v>2</v>
      </c>
      <c r="K396">
        <v>2</v>
      </c>
      <c r="L396">
        <v>4</v>
      </c>
      <c r="M396">
        <v>0</v>
      </c>
      <c r="N396">
        <v>6</v>
      </c>
      <c r="O396">
        <v>5</v>
      </c>
      <c r="P396">
        <v>2</v>
      </c>
      <c r="Q396">
        <v>2</v>
      </c>
      <c r="R396">
        <v>2</v>
      </c>
    </row>
    <row r="397" spans="1:18" customFormat="1" ht="14.25" customHeight="1" x14ac:dyDescent="0.35">
      <c r="A397">
        <v>2116</v>
      </c>
      <c r="B397">
        <v>3</v>
      </c>
      <c r="C397">
        <v>3</v>
      </c>
      <c r="D397">
        <v>5</v>
      </c>
      <c r="E397">
        <v>3</v>
      </c>
      <c r="F397">
        <v>3</v>
      </c>
      <c r="G397">
        <v>1</v>
      </c>
      <c r="H397">
        <v>1</v>
      </c>
      <c r="I397">
        <v>2</v>
      </c>
      <c r="K397">
        <v>1</v>
      </c>
      <c r="L397">
        <v>4</v>
      </c>
      <c r="M397">
        <v>0</v>
      </c>
      <c r="N397">
        <v>5</v>
      </c>
      <c r="O397">
        <v>6</v>
      </c>
      <c r="P397">
        <v>1</v>
      </c>
      <c r="Q397">
        <v>1</v>
      </c>
      <c r="R397">
        <v>1</v>
      </c>
    </row>
    <row r="398" spans="1:18" customFormat="1" ht="14.25" customHeight="1" x14ac:dyDescent="0.35">
      <c r="A398">
        <v>2120</v>
      </c>
      <c r="B398">
        <v>5</v>
      </c>
      <c r="C398">
        <v>1</v>
      </c>
      <c r="D398">
        <v>5</v>
      </c>
      <c r="E398">
        <v>1</v>
      </c>
      <c r="F398">
        <v>1</v>
      </c>
      <c r="G398">
        <v>5</v>
      </c>
      <c r="H398">
        <v>5</v>
      </c>
      <c r="I398">
        <v>1</v>
      </c>
      <c r="J398">
        <v>1</v>
      </c>
      <c r="N398">
        <v>6</v>
      </c>
      <c r="O398">
        <v>4</v>
      </c>
      <c r="P398">
        <v>1</v>
      </c>
      <c r="Q398">
        <v>4</v>
      </c>
      <c r="R398">
        <v>1</v>
      </c>
    </row>
    <row r="399" spans="1:18" customFormat="1" ht="14.25" customHeight="1" x14ac:dyDescent="0.35">
      <c r="A399">
        <v>2126</v>
      </c>
      <c r="B399">
        <v>1</v>
      </c>
      <c r="C399">
        <v>1</v>
      </c>
      <c r="D399">
        <v>1</v>
      </c>
      <c r="E399">
        <v>5</v>
      </c>
      <c r="F399">
        <v>1</v>
      </c>
      <c r="G399">
        <v>1</v>
      </c>
      <c r="H399">
        <v>1</v>
      </c>
      <c r="I399">
        <v>2</v>
      </c>
      <c r="N399">
        <v>6</v>
      </c>
      <c r="O399">
        <v>4</v>
      </c>
      <c r="P399">
        <v>1</v>
      </c>
      <c r="Q399">
        <v>3</v>
      </c>
      <c r="R399">
        <v>1</v>
      </c>
    </row>
    <row r="400" spans="1:18" customFormat="1" ht="14.25" customHeight="1" x14ac:dyDescent="0.35">
      <c r="A400">
        <v>2133</v>
      </c>
      <c r="B400">
        <v>5</v>
      </c>
      <c r="C400">
        <v>3</v>
      </c>
      <c r="D400">
        <v>5</v>
      </c>
      <c r="E400">
        <v>1</v>
      </c>
      <c r="F400">
        <v>3</v>
      </c>
      <c r="G400">
        <v>4</v>
      </c>
      <c r="H400">
        <v>5</v>
      </c>
      <c r="I400">
        <v>2</v>
      </c>
      <c r="J400">
        <v>2</v>
      </c>
      <c r="K400">
        <v>2</v>
      </c>
      <c r="L400">
        <v>2</v>
      </c>
      <c r="M400">
        <v>0</v>
      </c>
      <c r="N400">
        <v>4</v>
      </c>
      <c r="O400">
        <v>6</v>
      </c>
      <c r="P400">
        <v>2</v>
      </c>
      <c r="Q400">
        <v>2</v>
      </c>
      <c r="R400">
        <v>2</v>
      </c>
    </row>
    <row r="401" spans="1:18" customFormat="1" ht="14.25" customHeight="1" x14ac:dyDescent="0.35">
      <c r="A401">
        <v>2136</v>
      </c>
      <c r="B401">
        <v>5</v>
      </c>
      <c r="C401">
        <v>1</v>
      </c>
      <c r="D401">
        <v>5</v>
      </c>
      <c r="E401">
        <v>1</v>
      </c>
      <c r="F401">
        <v>1</v>
      </c>
      <c r="G401">
        <v>5</v>
      </c>
      <c r="H401">
        <v>5</v>
      </c>
      <c r="I401">
        <v>1</v>
      </c>
      <c r="J401">
        <v>1</v>
      </c>
      <c r="N401">
        <v>6</v>
      </c>
      <c r="O401">
        <v>2</v>
      </c>
      <c r="P401">
        <v>1</v>
      </c>
      <c r="Q401">
        <v>1</v>
      </c>
      <c r="R401">
        <v>1</v>
      </c>
    </row>
    <row r="402" spans="1:18" customFormat="1" ht="14.25" customHeight="1" x14ac:dyDescent="0.35">
      <c r="A402">
        <v>2146</v>
      </c>
      <c r="B402">
        <v>5</v>
      </c>
      <c r="C402">
        <v>1</v>
      </c>
      <c r="D402">
        <v>5</v>
      </c>
      <c r="E402">
        <v>2</v>
      </c>
      <c r="F402">
        <v>2</v>
      </c>
      <c r="G402">
        <v>4</v>
      </c>
      <c r="H402">
        <v>4</v>
      </c>
      <c r="I402">
        <v>2</v>
      </c>
      <c r="J402">
        <v>2</v>
      </c>
      <c r="K402">
        <v>1</v>
      </c>
      <c r="L402">
        <v>3</v>
      </c>
      <c r="M402">
        <v>0</v>
      </c>
      <c r="N402">
        <v>6</v>
      </c>
      <c r="O402">
        <v>6</v>
      </c>
      <c r="P402">
        <v>1</v>
      </c>
      <c r="Q402">
        <v>1</v>
      </c>
      <c r="R402">
        <v>1</v>
      </c>
    </row>
    <row r="403" spans="1:18" customFormat="1" ht="14.25" customHeight="1" x14ac:dyDescent="0.35">
      <c r="A403">
        <v>2150</v>
      </c>
      <c r="B403">
        <v>4</v>
      </c>
      <c r="C403">
        <v>2</v>
      </c>
      <c r="D403">
        <v>5</v>
      </c>
      <c r="E403">
        <v>1</v>
      </c>
      <c r="F403">
        <v>2</v>
      </c>
      <c r="G403">
        <v>4</v>
      </c>
      <c r="H403">
        <v>4</v>
      </c>
      <c r="I403">
        <v>2</v>
      </c>
      <c r="J403">
        <v>2</v>
      </c>
      <c r="K403">
        <v>1</v>
      </c>
      <c r="L403">
        <v>3</v>
      </c>
      <c r="M403">
        <v>0</v>
      </c>
      <c r="N403">
        <v>6</v>
      </c>
      <c r="O403">
        <v>6</v>
      </c>
      <c r="P403">
        <v>2</v>
      </c>
      <c r="Q403">
        <v>2</v>
      </c>
      <c r="R403">
        <v>2</v>
      </c>
    </row>
    <row r="404" spans="1:18" customFormat="1" ht="14.25" customHeight="1" x14ac:dyDescent="0.35">
      <c r="A404">
        <v>2158</v>
      </c>
      <c r="B404">
        <v>5</v>
      </c>
      <c r="C404">
        <v>3</v>
      </c>
      <c r="D404">
        <v>5</v>
      </c>
      <c r="E404">
        <v>1</v>
      </c>
      <c r="F404">
        <v>1</v>
      </c>
      <c r="G404">
        <v>5</v>
      </c>
      <c r="H404">
        <v>4</v>
      </c>
      <c r="I404">
        <v>2</v>
      </c>
      <c r="K404">
        <v>1</v>
      </c>
      <c r="L404">
        <v>2</v>
      </c>
      <c r="M404">
        <v>0</v>
      </c>
      <c r="N404">
        <v>6</v>
      </c>
      <c r="O404">
        <v>3</v>
      </c>
      <c r="P404">
        <v>1</v>
      </c>
      <c r="Q404">
        <v>2</v>
      </c>
      <c r="R404">
        <v>1</v>
      </c>
    </row>
    <row r="405" spans="1:18" customFormat="1" ht="14.25" customHeight="1" x14ac:dyDescent="0.35">
      <c r="A405">
        <v>2166</v>
      </c>
      <c r="B405">
        <v>4</v>
      </c>
      <c r="C405">
        <v>2</v>
      </c>
      <c r="D405">
        <v>2</v>
      </c>
      <c r="E405">
        <v>2</v>
      </c>
      <c r="F405">
        <v>3</v>
      </c>
      <c r="G405">
        <v>4</v>
      </c>
      <c r="H405">
        <v>5</v>
      </c>
      <c r="I405">
        <v>1</v>
      </c>
      <c r="J405">
        <v>1</v>
      </c>
      <c r="K405">
        <v>1</v>
      </c>
      <c r="L405">
        <v>2</v>
      </c>
      <c r="M405">
        <v>0</v>
      </c>
      <c r="N405">
        <v>6</v>
      </c>
      <c r="O405">
        <v>4</v>
      </c>
      <c r="P405">
        <v>1</v>
      </c>
      <c r="Q405">
        <v>2</v>
      </c>
      <c r="R405">
        <v>2</v>
      </c>
    </row>
    <row r="406" spans="1:18" customFormat="1" ht="14.25" customHeight="1" x14ac:dyDescent="0.35">
      <c r="A406">
        <v>2171</v>
      </c>
      <c r="B406">
        <v>3</v>
      </c>
      <c r="C406">
        <v>3</v>
      </c>
      <c r="D406">
        <v>4</v>
      </c>
      <c r="E406">
        <v>2</v>
      </c>
      <c r="F406">
        <v>4</v>
      </c>
      <c r="G406">
        <v>3</v>
      </c>
      <c r="H406">
        <v>3</v>
      </c>
      <c r="I406">
        <v>2</v>
      </c>
      <c r="J406">
        <v>1</v>
      </c>
      <c r="K406">
        <v>2</v>
      </c>
      <c r="L406">
        <v>2</v>
      </c>
      <c r="M406">
        <v>0</v>
      </c>
      <c r="N406">
        <v>6</v>
      </c>
      <c r="O406">
        <v>6</v>
      </c>
      <c r="P406">
        <v>2</v>
      </c>
      <c r="Q406">
        <v>2</v>
      </c>
      <c r="R406">
        <v>2</v>
      </c>
    </row>
    <row r="407" spans="1:18" customFormat="1" ht="14.25" customHeight="1" x14ac:dyDescent="0.35">
      <c r="A407">
        <v>2182</v>
      </c>
      <c r="B407">
        <v>5</v>
      </c>
      <c r="C407">
        <v>5</v>
      </c>
      <c r="D407">
        <v>5</v>
      </c>
      <c r="E407">
        <v>3</v>
      </c>
      <c r="F407">
        <v>4</v>
      </c>
      <c r="G407">
        <v>5</v>
      </c>
      <c r="H407">
        <v>5</v>
      </c>
      <c r="I407">
        <v>2</v>
      </c>
      <c r="N407">
        <v>6</v>
      </c>
      <c r="O407">
        <v>6</v>
      </c>
      <c r="P407">
        <v>2</v>
      </c>
      <c r="Q407">
        <v>4</v>
      </c>
      <c r="R407">
        <v>3</v>
      </c>
    </row>
    <row r="408" spans="1:18" customFormat="1" ht="14.25" customHeight="1" x14ac:dyDescent="0.35">
      <c r="A408">
        <v>2188</v>
      </c>
      <c r="B408">
        <v>1</v>
      </c>
      <c r="C408">
        <v>5</v>
      </c>
      <c r="D408">
        <v>1</v>
      </c>
      <c r="E408">
        <v>1</v>
      </c>
      <c r="F408">
        <v>1</v>
      </c>
      <c r="G408">
        <v>5</v>
      </c>
      <c r="H408">
        <v>5</v>
      </c>
      <c r="I408">
        <v>1</v>
      </c>
      <c r="J408">
        <v>2</v>
      </c>
      <c r="K408">
        <v>1</v>
      </c>
      <c r="L408">
        <v>5</v>
      </c>
      <c r="M408">
        <v>15</v>
      </c>
      <c r="N408">
        <v>6</v>
      </c>
      <c r="O408">
        <v>6</v>
      </c>
      <c r="P408">
        <v>1</v>
      </c>
      <c r="Q408">
        <v>1</v>
      </c>
      <c r="R408">
        <v>5</v>
      </c>
    </row>
    <row r="409" spans="1:18" customFormat="1" ht="14.25" customHeight="1" x14ac:dyDescent="0.35">
      <c r="A409">
        <v>2202</v>
      </c>
      <c r="B409">
        <v>1</v>
      </c>
      <c r="C409">
        <v>3</v>
      </c>
      <c r="D409">
        <v>1</v>
      </c>
      <c r="E409">
        <v>3</v>
      </c>
      <c r="F409">
        <v>4</v>
      </c>
      <c r="G409">
        <v>2</v>
      </c>
      <c r="H409">
        <v>3</v>
      </c>
      <c r="I409">
        <v>2</v>
      </c>
      <c r="K409">
        <v>3</v>
      </c>
      <c r="L409">
        <v>4</v>
      </c>
      <c r="M409">
        <v>21</v>
      </c>
      <c r="N409">
        <v>5</v>
      </c>
      <c r="O409">
        <v>6</v>
      </c>
      <c r="P409">
        <v>2</v>
      </c>
      <c r="Q409">
        <v>1</v>
      </c>
      <c r="R409">
        <v>3</v>
      </c>
    </row>
    <row r="410" spans="1:18" customFormat="1" ht="14.25" customHeight="1" x14ac:dyDescent="0.35">
      <c r="A410">
        <v>2209</v>
      </c>
      <c r="B410">
        <v>5</v>
      </c>
      <c r="C410">
        <v>2</v>
      </c>
      <c r="D410">
        <v>5</v>
      </c>
      <c r="E410">
        <v>1</v>
      </c>
      <c r="F410">
        <v>1</v>
      </c>
      <c r="G410">
        <v>5</v>
      </c>
      <c r="H410">
        <v>5</v>
      </c>
      <c r="I410">
        <v>2</v>
      </c>
      <c r="J410">
        <v>1</v>
      </c>
      <c r="K410">
        <v>2</v>
      </c>
      <c r="L410">
        <v>3</v>
      </c>
      <c r="M410">
        <v>3</v>
      </c>
      <c r="N410">
        <v>6</v>
      </c>
      <c r="O410">
        <v>6</v>
      </c>
      <c r="P410">
        <v>1</v>
      </c>
      <c r="Q410">
        <v>4</v>
      </c>
      <c r="R410">
        <v>1</v>
      </c>
    </row>
    <row r="411" spans="1:18" customFormat="1" ht="14.25" customHeight="1" x14ac:dyDescent="0.35">
      <c r="A411">
        <v>2217</v>
      </c>
      <c r="B411">
        <v>5</v>
      </c>
      <c r="C411">
        <v>1</v>
      </c>
      <c r="D411">
        <v>3</v>
      </c>
      <c r="E411">
        <v>1</v>
      </c>
      <c r="F411">
        <v>1</v>
      </c>
      <c r="G411">
        <v>5</v>
      </c>
      <c r="H411">
        <v>5</v>
      </c>
      <c r="I411">
        <v>2</v>
      </c>
      <c r="J411">
        <v>1</v>
      </c>
      <c r="K411">
        <v>2</v>
      </c>
      <c r="L411">
        <v>3</v>
      </c>
      <c r="M411">
        <v>1</v>
      </c>
      <c r="N411">
        <v>6</v>
      </c>
      <c r="O411">
        <v>6</v>
      </c>
      <c r="P411">
        <v>1</v>
      </c>
      <c r="Q411">
        <v>2</v>
      </c>
      <c r="R411">
        <v>3</v>
      </c>
    </row>
    <row r="412" spans="1:18" customFormat="1" ht="14.25" customHeight="1" x14ac:dyDescent="0.35">
      <c r="A412">
        <v>2225</v>
      </c>
      <c r="B412">
        <v>3</v>
      </c>
      <c r="C412">
        <v>4</v>
      </c>
      <c r="D412">
        <v>4</v>
      </c>
      <c r="E412">
        <v>3</v>
      </c>
      <c r="F412">
        <v>1</v>
      </c>
      <c r="G412">
        <v>3</v>
      </c>
      <c r="H412">
        <v>3</v>
      </c>
      <c r="I412">
        <v>2</v>
      </c>
      <c r="K412">
        <v>2</v>
      </c>
      <c r="L412">
        <v>3</v>
      </c>
      <c r="M412">
        <v>2</v>
      </c>
      <c r="N412">
        <v>6</v>
      </c>
      <c r="O412">
        <v>6</v>
      </c>
      <c r="P412">
        <v>2</v>
      </c>
      <c r="Q412">
        <v>3</v>
      </c>
      <c r="R412">
        <v>3</v>
      </c>
    </row>
    <row r="413" spans="1:18" customFormat="1" ht="14.25" customHeight="1" x14ac:dyDescent="0.35">
      <c r="A413">
        <v>2228</v>
      </c>
      <c r="B413">
        <v>3</v>
      </c>
      <c r="C413">
        <v>3</v>
      </c>
      <c r="D413">
        <v>5</v>
      </c>
      <c r="E413">
        <v>3</v>
      </c>
      <c r="F413">
        <v>1</v>
      </c>
      <c r="G413">
        <v>3</v>
      </c>
      <c r="H413">
        <v>3</v>
      </c>
      <c r="I413">
        <v>2</v>
      </c>
      <c r="J413">
        <v>1</v>
      </c>
      <c r="K413">
        <v>1</v>
      </c>
      <c r="L413">
        <v>3</v>
      </c>
      <c r="M413">
        <v>3</v>
      </c>
      <c r="N413">
        <v>6</v>
      </c>
      <c r="O413">
        <v>1</v>
      </c>
      <c r="P413">
        <v>2</v>
      </c>
      <c r="Q413">
        <v>2</v>
      </c>
      <c r="R413">
        <v>3</v>
      </c>
    </row>
    <row r="414" spans="1:18" customFormat="1" ht="14.25" customHeight="1" x14ac:dyDescent="0.35">
      <c r="A414">
        <v>2230</v>
      </c>
      <c r="B414">
        <v>3</v>
      </c>
      <c r="C414">
        <v>3</v>
      </c>
      <c r="D414">
        <v>4</v>
      </c>
      <c r="E414">
        <v>3</v>
      </c>
      <c r="F414">
        <v>2</v>
      </c>
      <c r="G414">
        <v>3</v>
      </c>
      <c r="H414">
        <v>3</v>
      </c>
      <c r="I414">
        <v>1</v>
      </c>
      <c r="K414">
        <v>2</v>
      </c>
      <c r="L414">
        <v>2</v>
      </c>
      <c r="M414">
        <v>7</v>
      </c>
      <c r="N414">
        <v>6</v>
      </c>
      <c r="O414">
        <v>6</v>
      </c>
      <c r="P414">
        <v>3</v>
      </c>
      <c r="Q414">
        <v>3</v>
      </c>
      <c r="R414">
        <v>3</v>
      </c>
    </row>
    <row r="415" spans="1:18" customFormat="1" ht="14.25" customHeight="1" x14ac:dyDescent="0.35">
      <c r="A415">
        <v>2233</v>
      </c>
      <c r="B415">
        <v>4</v>
      </c>
      <c r="C415">
        <v>1</v>
      </c>
      <c r="D415">
        <v>5</v>
      </c>
      <c r="E415">
        <v>4</v>
      </c>
      <c r="F415">
        <v>2</v>
      </c>
      <c r="G415">
        <v>5</v>
      </c>
      <c r="H415">
        <v>4</v>
      </c>
      <c r="I415">
        <v>1</v>
      </c>
      <c r="J415">
        <v>1</v>
      </c>
      <c r="K415">
        <v>1</v>
      </c>
      <c r="L415">
        <v>1</v>
      </c>
      <c r="M415">
        <v>0</v>
      </c>
      <c r="N415">
        <v>6</v>
      </c>
      <c r="O415">
        <v>6</v>
      </c>
      <c r="P415">
        <v>1</v>
      </c>
      <c r="Q415">
        <v>2</v>
      </c>
      <c r="R415">
        <v>3</v>
      </c>
    </row>
    <row r="416" spans="1:18" customFormat="1" ht="14.25" customHeight="1" x14ac:dyDescent="0.35">
      <c r="A416">
        <v>2234</v>
      </c>
      <c r="B416">
        <v>2</v>
      </c>
      <c r="C416">
        <v>3</v>
      </c>
      <c r="D416">
        <v>4</v>
      </c>
      <c r="E416">
        <v>3</v>
      </c>
      <c r="F416">
        <v>2</v>
      </c>
      <c r="G416">
        <v>2</v>
      </c>
      <c r="H416">
        <v>3</v>
      </c>
      <c r="I416">
        <v>2</v>
      </c>
      <c r="J416">
        <v>1</v>
      </c>
      <c r="N416">
        <v>6</v>
      </c>
      <c r="O416">
        <v>4</v>
      </c>
      <c r="P416">
        <v>1</v>
      </c>
      <c r="Q416">
        <v>2</v>
      </c>
      <c r="R416">
        <v>3</v>
      </c>
    </row>
    <row r="417" spans="1:18" customFormat="1" ht="14.25" customHeight="1" x14ac:dyDescent="0.35">
      <c r="A417">
        <v>2239</v>
      </c>
      <c r="B417">
        <v>3</v>
      </c>
      <c r="C417">
        <v>3</v>
      </c>
      <c r="D417">
        <v>4</v>
      </c>
      <c r="E417">
        <v>4</v>
      </c>
      <c r="F417">
        <v>2</v>
      </c>
      <c r="G417">
        <v>2</v>
      </c>
      <c r="H417">
        <v>5</v>
      </c>
      <c r="I417">
        <v>2</v>
      </c>
      <c r="K417">
        <v>2</v>
      </c>
      <c r="L417">
        <v>3</v>
      </c>
      <c r="M417">
        <v>0</v>
      </c>
      <c r="N417">
        <v>6</v>
      </c>
      <c r="O417">
        <v>6</v>
      </c>
      <c r="P417">
        <v>3</v>
      </c>
      <c r="Q417">
        <v>3</v>
      </c>
      <c r="R417">
        <v>2</v>
      </c>
    </row>
    <row r="418" spans="1:18" customFormat="1" ht="14.25" customHeight="1" x14ac:dyDescent="0.35">
      <c r="A418">
        <v>2241</v>
      </c>
      <c r="B418">
        <v>5</v>
      </c>
      <c r="C418">
        <v>2</v>
      </c>
      <c r="D418">
        <v>5</v>
      </c>
      <c r="E418">
        <v>1</v>
      </c>
      <c r="F418">
        <v>1</v>
      </c>
      <c r="G418">
        <v>4</v>
      </c>
      <c r="H418">
        <v>5</v>
      </c>
      <c r="I418">
        <v>1</v>
      </c>
      <c r="J418">
        <v>1</v>
      </c>
      <c r="K418">
        <v>1</v>
      </c>
      <c r="L418">
        <v>5</v>
      </c>
      <c r="M418">
        <v>20</v>
      </c>
      <c r="N418">
        <v>6</v>
      </c>
      <c r="O418">
        <v>6</v>
      </c>
      <c r="P418">
        <v>1</v>
      </c>
      <c r="Q418">
        <v>1</v>
      </c>
      <c r="R418">
        <v>1</v>
      </c>
    </row>
    <row r="419" spans="1:18" customFormat="1" ht="14.25" customHeight="1" x14ac:dyDescent="0.35">
      <c r="A419">
        <v>2245</v>
      </c>
      <c r="B419">
        <v>4</v>
      </c>
      <c r="C419">
        <v>3</v>
      </c>
      <c r="D419">
        <v>5</v>
      </c>
      <c r="E419">
        <v>2</v>
      </c>
      <c r="F419">
        <v>1</v>
      </c>
      <c r="G419">
        <v>4</v>
      </c>
      <c r="H419">
        <v>5</v>
      </c>
      <c r="I419">
        <v>1</v>
      </c>
      <c r="J419">
        <v>2</v>
      </c>
      <c r="K419">
        <v>1</v>
      </c>
      <c r="N419">
        <v>6</v>
      </c>
      <c r="O419">
        <v>4</v>
      </c>
      <c r="P419">
        <v>2</v>
      </c>
      <c r="Q419">
        <v>3</v>
      </c>
      <c r="R419">
        <v>2</v>
      </c>
    </row>
    <row r="420" spans="1:18" customFormat="1" ht="14.25" customHeight="1" x14ac:dyDescent="0.35">
      <c r="A420">
        <v>2256</v>
      </c>
      <c r="B420">
        <v>1</v>
      </c>
      <c r="C420">
        <v>5</v>
      </c>
      <c r="D420">
        <v>1</v>
      </c>
      <c r="E420">
        <v>5</v>
      </c>
      <c r="F420">
        <v>3</v>
      </c>
      <c r="G420">
        <v>1</v>
      </c>
      <c r="H420">
        <v>1</v>
      </c>
      <c r="I420">
        <v>1</v>
      </c>
      <c r="K420">
        <v>2</v>
      </c>
      <c r="N420">
        <v>6</v>
      </c>
      <c r="O420">
        <v>3</v>
      </c>
      <c r="P420">
        <v>1</v>
      </c>
      <c r="Q420">
        <v>2</v>
      </c>
      <c r="R420">
        <v>4</v>
      </c>
    </row>
    <row r="421" spans="1:18" customFormat="1" ht="14.25" customHeight="1" x14ac:dyDescent="0.35">
      <c r="A421">
        <v>2260</v>
      </c>
      <c r="B421">
        <v>5</v>
      </c>
      <c r="C421">
        <v>1</v>
      </c>
      <c r="D421">
        <v>5</v>
      </c>
      <c r="E421">
        <v>1</v>
      </c>
      <c r="F421">
        <v>1</v>
      </c>
      <c r="G421">
        <v>5</v>
      </c>
      <c r="H421">
        <v>5</v>
      </c>
      <c r="I421">
        <v>3</v>
      </c>
      <c r="K421">
        <v>4</v>
      </c>
      <c r="L421">
        <v>4</v>
      </c>
      <c r="M421">
        <v>15</v>
      </c>
      <c r="N421">
        <v>6</v>
      </c>
      <c r="O421">
        <v>3</v>
      </c>
      <c r="P421">
        <v>1</v>
      </c>
      <c r="Q421">
        <v>4</v>
      </c>
      <c r="R421">
        <v>1</v>
      </c>
    </row>
    <row r="422" spans="1:18" customFormat="1" ht="14.25" customHeight="1" x14ac:dyDescent="0.35">
      <c r="A422">
        <v>2287</v>
      </c>
      <c r="B422">
        <v>4</v>
      </c>
      <c r="C422">
        <v>3</v>
      </c>
      <c r="D422">
        <v>2</v>
      </c>
      <c r="E422">
        <v>2</v>
      </c>
      <c r="F422">
        <v>3</v>
      </c>
      <c r="G422">
        <v>2</v>
      </c>
      <c r="H422">
        <v>2</v>
      </c>
      <c r="I422">
        <v>2</v>
      </c>
      <c r="K422">
        <v>1</v>
      </c>
      <c r="L422">
        <v>3</v>
      </c>
      <c r="M422">
        <v>5</v>
      </c>
      <c r="N422">
        <v>6</v>
      </c>
      <c r="O422">
        <v>4</v>
      </c>
      <c r="P422">
        <v>2</v>
      </c>
      <c r="Q422">
        <v>2</v>
      </c>
      <c r="R422">
        <v>2</v>
      </c>
    </row>
    <row r="423" spans="1:18" customFormat="1" ht="14.25" customHeight="1" x14ac:dyDescent="0.35">
      <c r="A423">
        <v>2291</v>
      </c>
      <c r="B423">
        <v>5</v>
      </c>
      <c r="C423">
        <v>3</v>
      </c>
      <c r="D423">
        <v>3</v>
      </c>
      <c r="E423">
        <v>3</v>
      </c>
      <c r="F423">
        <v>1</v>
      </c>
      <c r="G423">
        <v>3</v>
      </c>
      <c r="H423">
        <v>5</v>
      </c>
      <c r="I423">
        <v>1</v>
      </c>
      <c r="K423">
        <v>1</v>
      </c>
      <c r="L423">
        <v>1</v>
      </c>
      <c r="M423">
        <v>0</v>
      </c>
      <c r="N423">
        <v>6</v>
      </c>
      <c r="O423">
        <v>6</v>
      </c>
      <c r="P423">
        <v>1</v>
      </c>
      <c r="Q423">
        <v>3</v>
      </c>
      <c r="R423">
        <v>3</v>
      </c>
    </row>
    <row r="424" spans="1:18" customFormat="1" ht="14.25" customHeight="1" x14ac:dyDescent="0.35">
      <c r="A424">
        <v>2297</v>
      </c>
      <c r="B424">
        <v>3</v>
      </c>
      <c r="C424">
        <v>3</v>
      </c>
      <c r="D424">
        <v>2</v>
      </c>
      <c r="E424">
        <v>4</v>
      </c>
      <c r="F424">
        <v>3</v>
      </c>
      <c r="G424">
        <v>2</v>
      </c>
      <c r="H424">
        <v>2</v>
      </c>
      <c r="I424">
        <v>2</v>
      </c>
      <c r="K424">
        <v>2</v>
      </c>
      <c r="L424">
        <v>2</v>
      </c>
      <c r="M424">
        <v>0</v>
      </c>
      <c r="N424">
        <v>6</v>
      </c>
      <c r="O424">
        <v>5</v>
      </c>
      <c r="P424">
        <v>3</v>
      </c>
      <c r="Q424">
        <v>3</v>
      </c>
      <c r="R424">
        <v>3</v>
      </c>
    </row>
    <row r="425" spans="1:18" customFormat="1" ht="14.25" customHeight="1" x14ac:dyDescent="0.35">
      <c r="A425">
        <v>2303</v>
      </c>
      <c r="B425">
        <v>5</v>
      </c>
      <c r="C425">
        <v>1</v>
      </c>
      <c r="D425">
        <v>5</v>
      </c>
      <c r="E425">
        <v>1</v>
      </c>
      <c r="F425">
        <v>1</v>
      </c>
      <c r="G425">
        <v>5</v>
      </c>
      <c r="H425">
        <v>5</v>
      </c>
      <c r="I425">
        <v>1</v>
      </c>
      <c r="N425">
        <v>6</v>
      </c>
      <c r="O425">
        <v>4</v>
      </c>
      <c r="P425">
        <v>1</v>
      </c>
      <c r="Q425">
        <v>5</v>
      </c>
      <c r="R425">
        <v>1</v>
      </c>
    </row>
    <row r="426" spans="1:18" customFormat="1" ht="14.25" customHeight="1" x14ac:dyDescent="0.35">
      <c r="A426">
        <v>2308</v>
      </c>
      <c r="B426">
        <v>3</v>
      </c>
      <c r="C426">
        <v>3</v>
      </c>
      <c r="D426">
        <v>3</v>
      </c>
      <c r="E426">
        <v>2</v>
      </c>
      <c r="F426">
        <v>3</v>
      </c>
      <c r="G426">
        <v>3</v>
      </c>
      <c r="H426">
        <v>5</v>
      </c>
      <c r="I426">
        <v>2</v>
      </c>
      <c r="J426">
        <v>1</v>
      </c>
      <c r="K426">
        <v>1</v>
      </c>
      <c r="L426">
        <v>3</v>
      </c>
      <c r="M426">
        <v>0</v>
      </c>
      <c r="N426">
        <v>4</v>
      </c>
      <c r="O426">
        <v>4</v>
      </c>
      <c r="P426">
        <v>2</v>
      </c>
      <c r="Q426">
        <v>2</v>
      </c>
      <c r="R426">
        <v>2</v>
      </c>
    </row>
    <row r="427" spans="1:18" customFormat="1" ht="14.25" customHeight="1" x14ac:dyDescent="0.35">
      <c r="A427">
        <v>2313</v>
      </c>
      <c r="B427">
        <v>4</v>
      </c>
      <c r="C427">
        <v>2</v>
      </c>
      <c r="D427">
        <v>4</v>
      </c>
      <c r="E427">
        <v>2</v>
      </c>
      <c r="F427">
        <v>2</v>
      </c>
      <c r="G427">
        <v>5</v>
      </c>
      <c r="H427">
        <v>5</v>
      </c>
      <c r="I427">
        <v>2</v>
      </c>
      <c r="K427">
        <v>3</v>
      </c>
      <c r="L427">
        <v>1</v>
      </c>
      <c r="M427">
        <v>0</v>
      </c>
      <c r="N427">
        <v>6</v>
      </c>
      <c r="O427">
        <v>4</v>
      </c>
      <c r="P427">
        <v>2</v>
      </c>
      <c r="Q427">
        <v>2</v>
      </c>
      <c r="R427">
        <v>2</v>
      </c>
    </row>
    <row r="428" spans="1:18" customFormat="1" ht="14.25" customHeight="1" x14ac:dyDescent="0.35">
      <c r="A428">
        <v>2318</v>
      </c>
      <c r="B428">
        <v>3</v>
      </c>
      <c r="C428">
        <v>3</v>
      </c>
      <c r="D428">
        <v>4</v>
      </c>
      <c r="E428">
        <v>2</v>
      </c>
      <c r="F428">
        <v>2</v>
      </c>
      <c r="G428">
        <v>3</v>
      </c>
      <c r="H428">
        <v>3</v>
      </c>
      <c r="I428">
        <v>2</v>
      </c>
      <c r="J428">
        <v>2</v>
      </c>
      <c r="N428">
        <v>6</v>
      </c>
      <c r="O428">
        <v>4</v>
      </c>
      <c r="P428">
        <v>2</v>
      </c>
      <c r="Q428">
        <v>2</v>
      </c>
      <c r="R428">
        <v>4</v>
      </c>
    </row>
    <row r="429" spans="1:18" customFormat="1" ht="14.25" customHeight="1" x14ac:dyDescent="0.35">
      <c r="A429">
        <v>2323</v>
      </c>
      <c r="B429">
        <v>3</v>
      </c>
      <c r="C429">
        <v>3</v>
      </c>
      <c r="D429">
        <v>5</v>
      </c>
      <c r="E429">
        <v>4</v>
      </c>
      <c r="F429">
        <v>4</v>
      </c>
      <c r="G429">
        <v>2</v>
      </c>
      <c r="H429">
        <v>3</v>
      </c>
      <c r="I429">
        <v>2</v>
      </c>
      <c r="K429">
        <v>2</v>
      </c>
      <c r="L429">
        <v>2</v>
      </c>
      <c r="M429">
        <v>3</v>
      </c>
      <c r="N429">
        <v>6</v>
      </c>
      <c r="O429">
        <v>4</v>
      </c>
      <c r="P429">
        <v>2</v>
      </c>
      <c r="Q429">
        <v>3</v>
      </c>
      <c r="R429">
        <v>2</v>
      </c>
    </row>
    <row r="430" spans="1:18" customFormat="1" ht="14.25" customHeight="1" x14ac:dyDescent="0.35">
      <c r="A430">
        <v>2329</v>
      </c>
      <c r="B430">
        <v>5</v>
      </c>
      <c r="C430">
        <v>2</v>
      </c>
      <c r="D430">
        <v>5</v>
      </c>
      <c r="E430">
        <v>5</v>
      </c>
      <c r="F430">
        <v>2</v>
      </c>
      <c r="G430">
        <v>5</v>
      </c>
      <c r="H430">
        <v>4</v>
      </c>
      <c r="I430">
        <v>2</v>
      </c>
      <c r="J430">
        <v>1</v>
      </c>
      <c r="K430">
        <v>2</v>
      </c>
      <c r="L430">
        <v>3</v>
      </c>
      <c r="M430">
        <v>3</v>
      </c>
      <c r="N430">
        <v>6</v>
      </c>
      <c r="O430">
        <v>4</v>
      </c>
      <c r="P430">
        <v>2</v>
      </c>
      <c r="Q430">
        <v>2</v>
      </c>
      <c r="R430">
        <v>2</v>
      </c>
    </row>
    <row r="431" spans="1:18" customFormat="1" ht="14.25" customHeight="1" x14ac:dyDescent="0.35">
      <c r="A431">
        <v>2334</v>
      </c>
      <c r="B431">
        <v>4</v>
      </c>
      <c r="C431">
        <v>1</v>
      </c>
      <c r="D431">
        <v>5</v>
      </c>
      <c r="E431">
        <v>1</v>
      </c>
      <c r="F431">
        <v>1</v>
      </c>
      <c r="G431">
        <v>1</v>
      </c>
      <c r="H431">
        <v>3</v>
      </c>
      <c r="I431">
        <v>2</v>
      </c>
      <c r="J431">
        <v>2</v>
      </c>
      <c r="K431">
        <v>2</v>
      </c>
      <c r="L431">
        <v>1</v>
      </c>
      <c r="M431">
        <v>3</v>
      </c>
      <c r="N431">
        <v>6</v>
      </c>
      <c r="O431">
        <v>6</v>
      </c>
      <c r="P431">
        <v>2</v>
      </c>
      <c r="Q431">
        <v>4</v>
      </c>
      <c r="R431">
        <v>2</v>
      </c>
    </row>
    <row r="432" spans="1:18" customFormat="1" ht="14.25" customHeight="1" x14ac:dyDescent="0.35">
      <c r="A432">
        <v>2348</v>
      </c>
      <c r="B432">
        <v>4</v>
      </c>
      <c r="C432">
        <v>2</v>
      </c>
      <c r="D432">
        <v>3</v>
      </c>
      <c r="E432">
        <v>4</v>
      </c>
      <c r="F432">
        <v>3</v>
      </c>
      <c r="G432">
        <v>4</v>
      </c>
      <c r="H432">
        <v>4</v>
      </c>
      <c r="I432">
        <v>2</v>
      </c>
      <c r="J432">
        <v>2</v>
      </c>
      <c r="N432">
        <v>6</v>
      </c>
      <c r="O432">
        <v>6</v>
      </c>
      <c r="P432">
        <v>4</v>
      </c>
      <c r="Q432">
        <v>2</v>
      </c>
      <c r="R432">
        <v>4</v>
      </c>
    </row>
    <row r="433" spans="1:18" customFormat="1" ht="14.25" customHeight="1" x14ac:dyDescent="0.35">
      <c r="A433">
        <v>2354</v>
      </c>
      <c r="B433">
        <v>5</v>
      </c>
      <c r="C433">
        <v>5</v>
      </c>
      <c r="D433">
        <v>5</v>
      </c>
      <c r="E433">
        <v>4</v>
      </c>
      <c r="F433">
        <v>1</v>
      </c>
      <c r="G433">
        <v>5</v>
      </c>
      <c r="H433">
        <v>1</v>
      </c>
      <c r="I433">
        <v>2</v>
      </c>
      <c r="J433">
        <v>1</v>
      </c>
      <c r="K433">
        <v>1</v>
      </c>
      <c r="L433">
        <v>1</v>
      </c>
      <c r="M433">
        <v>0</v>
      </c>
      <c r="N433">
        <v>5</v>
      </c>
      <c r="O433">
        <v>4</v>
      </c>
      <c r="P433">
        <v>2</v>
      </c>
      <c r="Q433">
        <v>2</v>
      </c>
      <c r="R433">
        <v>1</v>
      </c>
    </row>
    <row r="434" spans="1:18" customFormat="1" ht="14.25" customHeight="1" x14ac:dyDescent="0.35">
      <c r="A434">
        <v>2358</v>
      </c>
      <c r="B434">
        <v>4</v>
      </c>
      <c r="C434">
        <v>2</v>
      </c>
      <c r="D434">
        <v>5</v>
      </c>
      <c r="E434">
        <v>2</v>
      </c>
      <c r="F434">
        <v>2</v>
      </c>
      <c r="G434">
        <v>5</v>
      </c>
      <c r="H434">
        <v>5</v>
      </c>
      <c r="I434">
        <v>1</v>
      </c>
      <c r="K434">
        <v>3</v>
      </c>
      <c r="L434">
        <v>4</v>
      </c>
      <c r="M434">
        <v>7</v>
      </c>
      <c r="N434">
        <v>6</v>
      </c>
      <c r="O434">
        <v>5</v>
      </c>
      <c r="P434">
        <v>2</v>
      </c>
      <c r="R434">
        <v>2</v>
      </c>
    </row>
    <row r="435" spans="1:18" customFormat="1" ht="14.25" customHeight="1" x14ac:dyDescent="0.35">
      <c r="A435">
        <v>2376</v>
      </c>
      <c r="B435">
        <v>4</v>
      </c>
      <c r="C435">
        <v>3</v>
      </c>
      <c r="D435">
        <v>4</v>
      </c>
      <c r="E435">
        <v>2</v>
      </c>
      <c r="F435">
        <v>2</v>
      </c>
      <c r="G435">
        <v>4</v>
      </c>
      <c r="H435">
        <v>3</v>
      </c>
      <c r="I435">
        <v>1</v>
      </c>
      <c r="J435">
        <v>2</v>
      </c>
      <c r="K435">
        <v>1</v>
      </c>
      <c r="L435">
        <v>3</v>
      </c>
      <c r="M435">
        <v>0</v>
      </c>
      <c r="N435">
        <v>6</v>
      </c>
      <c r="O435">
        <v>6</v>
      </c>
      <c r="P435">
        <v>2</v>
      </c>
      <c r="Q435">
        <v>4</v>
      </c>
      <c r="R435">
        <v>3</v>
      </c>
    </row>
    <row r="436" spans="1:18" customFormat="1" ht="14.25" customHeight="1" x14ac:dyDescent="0.35">
      <c r="A436">
        <v>2380</v>
      </c>
      <c r="B436">
        <v>4</v>
      </c>
      <c r="C436">
        <v>4</v>
      </c>
      <c r="D436">
        <v>5</v>
      </c>
      <c r="E436">
        <v>2</v>
      </c>
      <c r="F436">
        <v>1</v>
      </c>
      <c r="G436">
        <v>1</v>
      </c>
      <c r="H436">
        <v>4</v>
      </c>
      <c r="I436">
        <v>1</v>
      </c>
      <c r="J436">
        <v>1</v>
      </c>
      <c r="K436">
        <v>1</v>
      </c>
      <c r="N436">
        <v>6</v>
      </c>
      <c r="O436">
        <v>6</v>
      </c>
      <c r="P436">
        <v>1</v>
      </c>
      <c r="Q436">
        <v>4</v>
      </c>
      <c r="R436">
        <v>2</v>
      </c>
    </row>
    <row r="437" spans="1:18" customFormat="1" ht="14.25" customHeight="1" x14ac:dyDescent="0.35">
      <c r="A437">
        <v>2383</v>
      </c>
      <c r="B437">
        <v>5</v>
      </c>
      <c r="C437">
        <v>1</v>
      </c>
      <c r="D437">
        <v>5</v>
      </c>
      <c r="E437">
        <v>1</v>
      </c>
      <c r="F437">
        <v>1</v>
      </c>
      <c r="G437">
        <v>5</v>
      </c>
      <c r="H437">
        <v>5</v>
      </c>
      <c r="I437">
        <v>2</v>
      </c>
      <c r="K437">
        <v>1</v>
      </c>
      <c r="N437">
        <v>6</v>
      </c>
      <c r="O437">
        <v>6</v>
      </c>
      <c r="P437">
        <v>2</v>
      </c>
      <c r="Q437">
        <v>2</v>
      </c>
      <c r="R437">
        <v>2</v>
      </c>
    </row>
    <row r="438" spans="1:18" customFormat="1" ht="14.25" customHeight="1" x14ac:dyDescent="0.35">
      <c r="A438">
        <v>2392</v>
      </c>
      <c r="B438">
        <v>5</v>
      </c>
      <c r="C438">
        <v>1</v>
      </c>
      <c r="D438">
        <v>4</v>
      </c>
      <c r="E438">
        <v>1</v>
      </c>
      <c r="F438">
        <v>1</v>
      </c>
      <c r="G438">
        <v>5</v>
      </c>
      <c r="H438">
        <v>5</v>
      </c>
      <c r="I438">
        <v>2</v>
      </c>
      <c r="K438">
        <v>1</v>
      </c>
      <c r="L438">
        <v>3</v>
      </c>
      <c r="M438">
        <v>0</v>
      </c>
      <c r="N438">
        <v>6</v>
      </c>
      <c r="O438">
        <v>2</v>
      </c>
      <c r="P438">
        <v>1</v>
      </c>
      <c r="Q438">
        <v>4</v>
      </c>
      <c r="R438">
        <v>2</v>
      </c>
    </row>
    <row r="439" spans="1:18" customFormat="1" ht="14.25" customHeight="1" x14ac:dyDescent="0.35">
      <c r="A439">
        <v>2398</v>
      </c>
      <c r="B439">
        <v>5</v>
      </c>
      <c r="C439">
        <v>1</v>
      </c>
      <c r="D439">
        <v>5</v>
      </c>
      <c r="E439">
        <v>1</v>
      </c>
      <c r="F439">
        <v>1</v>
      </c>
      <c r="G439">
        <v>5</v>
      </c>
      <c r="H439">
        <v>5</v>
      </c>
      <c r="I439">
        <v>2</v>
      </c>
      <c r="N439">
        <v>6</v>
      </c>
      <c r="O439">
        <v>3</v>
      </c>
      <c r="P439">
        <v>1</v>
      </c>
      <c r="Q439">
        <v>1</v>
      </c>
      <c r="R439">
        <v>1</v>
      </c>
    </row>
    <row r="440" spans="1:18" customFormat="1" ht="14.25" customHeight="1" x14ac:dyDescent="0.35">
      <c r="A440">
        <v>2413</v>
      </c>
      <c r="B440">
        <v>4</v>
      </c>
      <c r="C440">
        <v>2</v>
      </c>
      <c r="D440">
        <v>5</v>
      </c>
      <c r="E440">
        <v>2</v>
      </c>
      <c r="F440">
        <v>2</v>
      </c>
      <c r="G440">
        <v>4</v>
      </c>
      <c r="H440">
        <v>4</v>
      </c>
      <c r="I440">
        <v>3</v>
      </c>
      <c r="J440">
        <v>2</v>
      </c>
      <c r="K440">
        <v>1</v>
      </c>
      <c r="L440">
        <v>3</v>
      </c>
      <c r="M440">
        <v>0</v>
      </c>
      <c r="N440">
        <v>5</v>
      </c>
      <c r="O440">
        <v>6</v>
      </c>
      <c r="P440">
        <v>2</v>
      </c>
      <c r="Q440">
        <v>3</v>
      </c>
      <c r="R440">
        <v>2</v>
      </c>
    </row>
    <row r="441" spans="1:18" customFormat="1" ht="14.25" customHeight="1" x14ac:dyDescent="0.35">
      <c r="A441">
        <v>2422</v>
      </c>
      <c r="B441">
        <v>5</v>
      </c>
      <c r="C441">
        <v>1</v>
      </c>
      <c r="D441">
        <v>5</v>
      </c>
      <c r="E441">
        <v>1</v>
      </c>
      <c r="F441">
        <v>1</v>
      </c>
      <c r="G441">
        <v>5</v>
      </c>
      <c r="H441">
        <v>5</v>
      </c>
      <c r="I441">
        <v>3</v>
      </c>
      <c r="N441">
        <v>6</v>
      </c>
      <c r="O441">
        <v>4</v>
      </c>
      <c r="P441">
        <v>1</v>
      </c>
      <c r="Q441">
        <v>3</v>
      </c>
      <c r="R441">
        <v>1</v>
      </c>
    </row>
    <row r="442" spans="1:18" customFormat="1" ht="14.25" customHeight="1" x14ac:dyDescent="0.35">
      <c r="A442">
        <v>2427</v>
      </c>
      <c r="B442">
        <v>5</v>
      </c>
      <c r="C442">
        <v>1</v>
      </c>
      <c r="D442">
        <v>5</v>
      </c>
      <c r="E442">
        <v>1</v>
      </c>
      <c r="F442">
        <v>1</v>
      </c>
      <c r="G442">
        <v>5</v>
      </c>
      <c r="H442">
        <v>5</v>
      </c>
      <c r="I442">
        <v>1</v>
      </c>
      <c r="K442">
        <v>1</v>
      </c>
      <c r="L442">
        <v>4</v>
      </c>
      <c r="M442">
        <v>0</v>
      </c>
      <c r="N442">
        <v>6</v>
      </c>
      <c r="O442">
        <v>3</v>
      </c>
      <c r="P442">
        <v>1</v>
      </c>
      <c r="Q442">
        <v>3</v>
      </c>
      <c r="R442">
        <v>1</v>
      </c>
    </row>
    <row r="443" spans="1:18" customFormat="1" ht="14.25" customHeight="1" x14ac:dyDescent="0.35">
      <c r="A443">
        <v>2431</v>
      </c>
      <c r="B443">
        <v>5</v>
      </c>
      <c r="C443">
        <v>2</v>
      </c>
      <c r="D443">
        <v>5</v>
      </c>
      <c r="E443">
        <v>1</v>
      </c>
      <c r="F443">
        <v>1</v>
      </c>
      <c r="G443">
        <v>5</v>
      </c>
      <c r="H443">
        <v>5</v>
      </c>
      <c r="I443">
        <v>2</v>
      </c>
      <c r="N443">
        <v>6</v>
      </c>
      <c r="O443">
        <v>5</v>
      </c>
      <c r="P443">
        <v>2</v>
      </c>
      <c r="Q443">
        <v>4</v>
      </c>
      <c r="R443">
        <v>3</v>
      </c>
    </row>
    <row r="444" spans="1:18" customFormat="1" ht="14.25" customHeight="1" x14ac:dyDescent="0.35">
      <c r="A444">
        <v>2438</v>
      </c>
      <c r="B444">
        <v>4</v>
      </c>
      <c r="C444">
        <v>2</v>
      </c>
      <c r="D444">
        <v>4</v>
      </c>
      <c r="E444">
        <v>1</v>
      </c>
      <c r="F444">
        <v>2</v>
      </c>
      <c r="G444">
        <v>5</v>
      </c>
      <c r="H444">
        <v>5</v>
      </c>
      <c r="I444">
        <v>2</v>
      </c>
      <c r="J444">
        <v>1</v>
      </c>
      <c r="K444">
        <v>2</v>
      </c>
      <c r="L444">
        <v>2</v>
      </c>
      <c r="M444">
        <v>30</v>
      </c>
      <c r="N444">
        <v>6</v>
      </c>
      <c r="O444">
        <v>6</v>
      </c>
      <c r="P444">
        <v>1</v>
      </c>
      <c r="Q444">
        <v>2</v>
      </c>
      <c r="R444">
        <v>1</v>
      </c>
    </row>
    <row r="445" spans="1:18" customFormat="1" ht="14.25" customHeight="1" x14ac:dyDescent="0.35">
      <c r="A445">
        <v>2441</v>
      </c>
      <c r="B445">
        <v>3</v>
      </c>
      <c r="C445">
        <v>4</v>
      </c>
      <c r="D445">
        <v>3</v>
      </c>
      <c r="E445">
        <v>3</v>
      </c>
      <c r="F445">
        <v>2</v>
      </c>
      <c r="G445">
        <v>3</v>
      </c>
      <c r="H445">
        <v>4</v>
      </c>
      <c r="I445">
        <v>2</v>
      </c>
      <c r="J445">
        <v>2</v>
      </c>
      <c r="K445">
        <v>2</v>
      </c>
      <c r="L445">
        <v>3</v>
      </c>
      <c r="M445">
        <v>0</v>
      </c>
      <c r="N445">
        <v>6</v>
      </c>
      <c r="O445">
        <v>6</v>
      </c>
      <c r="P445">
        <v>3</v>
      </c>
      <c r="Q445">
        <v>2</v>
      </c>
      <c r="R445">
        <v>4</v>
      </c>
    </row>
    <row r="446" spans="1:18" customFormat="1" ht="14.25" customHeight="1" x14ac:dyDescent="0.35">
      <c r="A446">
        <v>2448</v>
      </c>
      <c r="B446">
        <v>5</v>
      </c>
      <c r="C446">
        <v>1</v>
      </c>
      <c r="D446">
        <v>5</v>
      </c>
      <c r="E446">
        <v>3</v>
      </c>
      <c r="F446">
        <v>1</v>
      </c>
      <c r="G446">
        <v>5</v>
      </c>
      <c r="H446">
        <v>5</v>
      </c>
      <c r="I446">
        <v>1</v>
      </c>
      <c r="K446">
        <v>1</v>
      </c>
      <c r="L446">
        <v>2</v>
      </c>
      <c r="M446">
        <v>0</v>
      </c>
      <c r="N446">
        <v>6</v>
      </c>
      <c r="O446">
        <v>6</v>
      </c>
      <c r="P446">
        <v>2</v>
      </c>
      <c r="Q446">
        <v>4</v>
      </c>
      <c r="R446">
        <v>2</v>
      </c>
    </row>
    <row r="447" spans="1:18" customFormat="1" ht="14.25" customHeight="1" x14ac:dyDescent="0.35">
      <c r="A447">
        <v>2462</v>
      </c>
      <c r="B447">
        <v>5</v>
      </c>
      <c r="C447">
        <v>1</v>
      </c>
      <c r="D447">
        <v>5</v>
      </c>
      <c r="E447">
        <v>1</v>
      </c>
      <c r="F447">
        <v>1</v>
      </c>
      <c r="G447">
        <v>5</v>
      </c>
      <c r="H447">
        <v>5</v>
      </c>
      <c r="I447">
        <v>1</v>
      </c>
      <c r="J447">
        <v>1</v>
      </c>
      <c r="K447">
        <v>1</v>
      </c>
      <c r="N447">
        <v>6</v>
      </c>
      <c r="O447">
        <v>3</v>
      </c>
      <c r="P447">
        <v>5</v>
      </c>
      <c r="Q447">
        <v>1</v>
      </c>
      <c r="R447">
        <v>2</v>
      </c>
    </row>
    <row r="448" spans="1:18" customFormat="1" ht="14.25" customHeight="1" x14ac:dyDescent="0.35">
      <c r="A448">
        <v>2465</v>
      </c>
      <c r="B448">
        <v>3</v>
      </c>
      <c r="C448">
        <v>3</v>
      </c>
      <c r="D448">
        <v>4</v>
      </c>
      <c r="E448">
        <v>3</v>
      </c>
      <c r="F448">
        <v>2</v>
      </c>
      <c r="G448">
        <v>3</v>
      </c>
      <c r="H448">
        <v>3</v>
      </c>
      <c r="I448">
        <v>2</v>
      </c>
      <c r="J448">
        <v>1</v>
      </c>
      <c r="K448">
        <v>2</v>
      </c>
      <c r="L448">
        <v>1</v>
      </c>
      <c r="M448">
        <v>0</v>
      </c>
      <c r="N448">
        <v>6</v>
      </c>
      <c r="O448">
        <v>5</v>
      </c>
      <c r="P448">
        <v>2</v>
      </c>
      <c r="Q448">
        <v>2</v>
      </c>
      <c r="R448">
        <v>4</v>
      </c>
    </row>
    <row r="449" spans="1:18" customFormat="1" ht="14.25" customHeight="1" x14ac:dyDescent="0.35">
      <c r="A449">
        <v>2471</v>
      </c>
      <c r="B449">
        <v>4</v>
      </c>
      <c r="C449">
        <v>4</v>
      </c>
      <c r="D449">
        <v>4</v>
      </c>
      <c r="E449">
        <v>2</v>
      </c>
      <c r="F449">
        <v>2</v>
      </c>
      <c r="G449">
        <v>4</v>
      </c>
      <c r="H449">
        <v>4</v>
      </c>
      <c r="I449">
        <v>2</v>
      </c>
      <c r="J449">
        <v>1</v>
      </c>
      <c r="N449">
        <v>6</v>
      </c>
      <c r="O449">
        <v>4</v>
      </c>
      <c r="P449">
        <v>2</v>
      </c>
      <c r="Q449">
        <v>3</v>
      </c>
      <c r="R449">
        <v>2</v>
      </c>
    </row>
    <row r="450" spans="1:18" customFormat="1" ht="14.25" customHeight="1" x14ac:dyDescent="0.35">
      <c r="A450">
        <v>2482</v>
      </c>
      <c r="B450">
        <v>5</v>
      </c>
      <c r="C450">
        <v>1</v>
      </c>
      <c r="D450">
        <v>5</v>
      </c>
      <c r="E450">
        <v>4</v>
      </c>
      <c r="F450">
        <v>1</v>
      </c>
      <c r="G450">
        <v>5</v>
      </c>
      <c r="H450">
        <v>5</v>
      </c>
      <c r="I450">
        <v>2</v>
      </c>
      <c r="J450">
        <v>2</v>
      </c>
      <c r="K450">
        <v>2</v>
      </c>
      <c r="L450">
        <v>3</v>
      </c>
      <c r="M450">
        <v>30</v>
      </c>
      <c r="N450">
        <v>6</v>
      </c>
      <c r="O450">
        <v>6</v>
      </c>
      <c r="P450">
        <v>1</v>
      </c>
      <c r="Q450">
        <v>2</v>
      </c>
      <c r="R450">
        <v>3</v>
      </c>
    </row>
    <row r="451" spans="1:18" customFormat="1" ht="14.25" customHeight="1" x14ac:dyDescent="0.35">
      <c r="A451">
        <v>2489</v>
      </c>
      <c r="B451">
        <v>5</v>
      </c>
      <c r="C451">
        <v>4</v>
      </c>
      <c r="D451">
        <v>5</v>
      </c>
      <c r="E451">
        <v>3</v>
      </c>
      <c r="F451">
        <v>2</v>
      </c>
      <c r="G451">
        <v>5</v>
      </c>
      <c r="H451">
        <v>5</v>
      </c>
      <c r="I451">
        <v>3</v>
      </c>
      <c r="K451">
        <v>2</v>
      </c>
      <c r="L451">
        <v>2</v>
      </c>
      <c r="M451">
        <v>0</v>
      </c>
      <c r="N451">
        <v>5</v>
      </c>
      <c r="O451">
        <v>4</v>
      </c>
      <c r="P451">
        <v>1</v>
      </c>
      <c r="Q451">
        <v>4</v>
      </c>
      <c r="R451">
        <v>2</v>
      </c>
    </row>
    <row r="452" spans="1:18" customFormat="1" ht="14.25" customHeight="1" x14ac:dyDescent="0.35">
      <c r="A452">
        <v>2493</v>
      </c>
      <c r="B452">
        <v>4</v>
      </c>
      <c r="C452">
        <v>2</v>
      </c>
      <c r="D452">
        <v>4</v>
      </c>
      <c r="E452">
        <v>1</v>
      </c>
      <c r="F452">
        <v>2</v>
      </c>
      <c r="G452">
        <v>5</v>
      </c>
      <c r="H452">
        <v>5</v>
      </c>
      <c r="I452">
        <v>2</v>
      </c>
      <c r="J452">
        <v>1</v>
      </c>
      <c r="K452">
        <v>4</v>
      </c>
      <c r="L452">
        <v>1</v>
      </c>
      <c r="M452">
        <v>0</v>
      </c>
      <c r="N452">
        <v>6</v>
      </c>
      <c r="O452">
        <v>6</v>
      </c>
      <c r="P452">
        <v>1</v>
      </c>
      <c r="Q452">
        <v>3</v>
      </c>
      <c r="R452">
        <v>2</v>
      </c>
    </row>
    <row r="453" spans="1:18" customFormat="1" ht="14.25" customHeight="1" x14ac:dyDescent="0.35">
      <c r="A453">
        <v>2504</v>
      </c>
      <c r="B453">
        <v>5</v>
      </c>
      <c r="C453">
        <v>5</v>
      </c>
      <c r="D453">
        <v>4</v>
      </c>
      <c r="E453">
        <v>5</v>
      </c>
      <c r="F453">
        <v>1</v>
      </c>
      <c r="G453">
        <v>5</v>
      </c>
      <c r="H453">
        <v>5</v>
      </c>
      <c r="I453">
        <v>3</v>
      </c>
      <c r="J453">
        <v>1</v>
      </c>
      <c r="K453">
        <v>2</v>
      </c>
      <c r="L453">
        <v>2</v>
      </c>
      <c r="M453">
        <v>0</v>
      </c>
      <c r="N453">
        <v>6</v>
      </c>
      <c r="O453">
        <v>6</v>
      </c>
      <c r="P453">
        <v>1</v>
      </c>
      <c r="Q453">
        <v>2</v>
      </c>
      <c r="R453">
        <v>2</v>
      </c>
    </row>
    <row r="454" spans="1:18" customFormat="1" ht="14.25" customHeight="1" x14ac:dyDescent="0.35">
      <c r="A454">
        <v>2509</v>
      </c>
      <c r="B454">
        <v>4</v>
      </c>
      <c r="C454">
        <v>5</v>
      </c>
      <c r="D454">
        <v>5</v>
      </c>
      <c r="E454">
        <v>4</v>
      </c>
      <c r="F454">
        <v>3</v>
      </c>
      <c r="G454">
        <v>4</v>
      </c>
      <c r="H454">
        <v>4</v>
      </c>
      <c r="I454">
        <v>2</v>
      </c>
      <c r="K454">
        <v>1</v>
      </c>
      <c r="L454">
        <v>4</v>
      </c>
      <c r="M454">
        <v>0</v>
      </c>
      <c r="N454">
        <v>6</v>
      </c>
      <c r="O454">
        <v>6</v>
      </c>
      <c r="P454">
        <v>3</v>
      </c>
      <c r="Q454">
        <v>4</v>
      </c>
      <c r="R454">
        <v>4</v>
      </c>
    </row>
    <row r="455" spans="1:18" customFormat="1" ht="14.25" customHeight="1" x14ac:dyDescent="0.35">
      <c r="A455">
        <v>2514</v>
      </c>
      <c r="B455">
        <v>4</v>
      </c>
      <c r="C455">
        <v>1</v>
      </c>
      <c r="D455">
        <v>2</v>
      </c>
      <c r="E455">
        <v>2</v>
      </c>
      <c r="F455">
        <v>2</v>
      </c>
      <c r="G455">
        <v>4</v>
      </c>
      <c r="H455">
        <v>4</v>
      </c>
      <c r="I455">
        <v>2</v>
      </c>
      <c r="J455">
        <v>1</v>
      </c>
      <c r="N455">
        <v>6</v>
      </c>
      <c r="O455">
        <v>6</v>
      </c>
      <c r="P455">
        <v>2</v>
      </c>
      <c r="Q455">
        <v>3</v>
      </c>
      <c r="R455">
        <v>2</v>
      </c>
    </row>
    <row r="456" spans="1:18" customFormat="1" ht="14.25" customHeight="1" x14ac:dyDescent="0.35">
      <c r="A456">
        <v>2521</v>
      </c>
      <c r="B456">
        <v>3</v>
      </c>
      <c r="C456">
        <v>2</v>
      </c>
      <c r="D456">
        <v>4</v>
      </c>
      <c r="E456">
        <v>2</v>
      </c>
      <c r="F456">
        <v>2</v>
      </c>
      <c r="G456">
        <v>4</v>
      </c>
      <c r="H456">
        <v>4</v>
      </c>
      <c r="I456">
        <v>2</v>
      </c>
      <c r="N456">
        <v>6</v>
      </c>
      <c r="O456">
        <v>6</v>
      </c>
      <c r="P456">
        <v>2</v>
      </c>
      <c r="Q456">
        <v>2</v>
      </c>
      <c r="R456">
        <v>2</v>
      </c>
    </row>
    <row r="457" spans="1:18" customFormat="1" ht="14.25" customHeight="1" x14ac:dyDescent="0.35">
      <c r="A457">
        <v>2532</v>
      </c>
      <c r="B457">
        <v>5</v>
      </c>
      <c r="C457">
        <v>2</v>
      </c>
      <c r="D457">
        <v>4</v>
      </c>
      <c r="E457">
        <v>1</v>
      </c>
      <c r="F457">
        <v>1</v>
      </c>
      <c r="G457">
        <v>5</v>
      </c>
      <c r="H457">
        <v>4</v>
      </c>
      <c r="I457">
        <v>2</v>
      </c>
      <c r="N457">
        <v>6</v>
      </c>
      <c r="O457">
        <v>6</v>
      </c>
      <c r="P457">
        <v>1</v>
      </c>
      <c r="Q457">
        <v>4</v>
      </c>
      <c r="R457">
        <v>1</v>
      </c>
    </row>
    <row r="458" spans="1:18" customFormat="1" ht="14.25" customHeight="1" x14ac:dyDescent="0.35">
      <c r="A458">
        <v>2535</v>
      </c>
      <c r="B458">
        <v>5</v>
      </c>
      <c r="C458">
        <v>2</v>
      </c>
      <c r="D458">
        <v>5</v>
      </c>
      <c r="E458">
        <v>3</v>
      </c>
      <c r="F458">
        <v>1</v>
      </c>
      <c r="G458">
        <v>5</v>
      </c>
      <c r="H458">
        <v>5</v>
      </c>
      <c r="I458">
        <v>1</v>
      </c>
      <c r="K458">
        <v>1</v>
      </c>
      <c r="L458">
        <v>1</v>
      </c>
      <c r="M458">
        <v>0</v>
      </c>
      <c r="N458">
        <v>6</v>
      </c>
      <c r="O458">
        <v>4</v>
      </c>
      <c r="P458">
        <v>2</v>
      </c>
      <c r="Q458">
        <v>2</v>
      </c>
      <c r="R458">
        <v>2</v>
      </c>
    </row>
    <row r="459" spans="1:18" customFormat="1" ht="14.25" customHeight="1" x14ac:dyDescent="0.35">
      <c r="A459">
        <v>2540</v>
      </c>
      <c r="B459">
        <v>4</v>
      </c>
      <c r="C459">
        <v>3</v>
      </c>
      <c r="D459">
        <v>5</v>
      </c>
      <c r="E459">
        <v>2</v>
      </c>
      <c r="F459">
        <v>3</v>
      </c>
      <c r="G459">
        <v>5</v>
      </c>
      <c r="H459">
        <v>5</v>
      </c>
      <c r="I459">
        <v>2</v>
      </c>
      <c r="J459">
        <v>3</v>
      </c>
      <c r="K459">
        <v>1</v>
      </c>
      <c r="L459">
        <v>3</v>
      </c>
      <c r="M459">
        <v>20</v>
      </c>
      <c r="N459">
        <v>6</v>
      </c>
      <c r="O459">
        <v>6</v>
      </c>
      <c r="P459">
        <v>2</v>
      </c>
      <c r="Q459">
        <v>2</v>
      </c>
      <c r="R459">
        <v>2</v>
      </c>
    </row>
    <row r="460" spans="1:18" customFormat="1" ht="14.25" customHeight="1" x14ac:dyDescent="0.35">
      <c r="A460">
        <v>2544</v>
      </c>
      <c r="B460">
        <v>5</v>
      </c>
      <c r="C460">
        <v>2</v>
      </c>
      <c r="D460">
        <v>4</v>
      </c>
      <c r="E460">
        <v>3</v>
      </c>
      <c r="F460">
        <v>2</v>
      </c>
      <c r="G460">
        <v>3</v>
      </c>
      <c r="H460">
        <v>3</v>
      </c>
      <c r="I460">
        <v>2</v>
      </c>
      <c r="K460">
        <v>2</v>
      </c>
      <c r="L460">
        <v>2</v>
      </c>
      <c r="M460">
        <v>5</v>
      </c>
      <c r="N460">
        <v>6</v>
      </c>
      <c r="O460">
        <v>6</v>
      </c>
      <c r="P460">
        <v>2</v>
      </c>
      <c r="Q460">
        <v>3</v>
      </c>
      <c r="R460">
        <v>3</v>
      </c>
    </row>
    <row r="461" spans="1:18" customFormat="1" ht="14.25" customHeight="1" x14ac:dyDescent="0.35">
      <c r="A461">
        <v>2550</v>
      </c>
      <c r="B461">
        <v>2</v>
      </c>
      <c r="C461">
        <v>2</v>
      </c>
      <c r="D461">
        <v>4</v>
      </c>
      <c r="E461">
        <v>2</v>
      </c>
      <c r="F461">
        <v>3</v>
      </c>
      <c r="G461">
        <v>3</v>
      </c>
      <c r="H461">
        <v>2</v>
      </c>
      <c r="I461">
        <v>1</v>
      </c>
      <c r="J461">
        <v>1</v>
      </c>
      <c r="K461">
        <v>2</v>
      </c>
      <c r="L461">
        <v>1</v>
      </c>
      <c r="M461">
        <v>10</v>
      </c>
      <c r="N461">
        <v>6</v>
      </c>
      <c r="O461">
        <v>5</v>
      </c>
      <c r="P461">
        <v>1</v>
      </c>
      <c r="Q461">
        <v>1</v>
      </c>
      <c r="R461">
        <v>2</v>
      </c>
    </row>
    <row r="462" spans="1:18" customFormat="1" ht="14.25" customHeight="1" x14ac:dyDescent="0.35">
      <c r="A462">
        <v>2557</v>
      </c>
      <c r="B462">
        <v>5</v>
      </c>
      <c r="C462">
        <v>1</v>
      </c>
      <c r="D462">
        <v>5</v>
      </c>
      <c r="E462">
        <v>1</v>
      </c>
      <c r="F462">
        <v>1</v>
      </c>
      <c r="G462">
        <v>5</v>
      </c>
      <c r="H462">
        <v>5</v>
      </c>
      <c r="I462">
        <v>3</v>
      </c>
      <c r="K462">
        <v>3</v>
      </c>
      <c r="L462">
        <v>5</v>
      </c>
      <c r="M462">
        <v>28</v>
      </c>
      <c r="N462">
        <v>6</v>
      </c>
      <c r="O462">
        <v>5</v>
      </c>
      <c r="P462">
        <v>1</v>
      </c>
      <c r="Q462">
        <v>1</v>
      </c>
      <c r="R462">
        <v>2</v>
      </c>
    </row>
    <row r="463" spans="1:18" customFormat="1" ht="14.25" customHeight="1" x14ac:dyDescent="0.35">
      <c r="A463">
        <v>2561</v>
      </c>
      <c r="B463">
        <v>3</v>
      </c>
      <c r="C463">
        <v>1</v>
      </c>
      <c r="D463">
        <v>4</v>
      </c>
      <c r="E463">
        <v>1</v>
      </c>
      <c r="F463">
        <v>1</v>
      </c>
      <c r="G463">
        <v>4</v>
      </c>
      <c r="H463">
        <v>4</v>
      </c>
      <c r="I463">
        <v>2</v>
      </c>
      <c r="K463">
        <v>2</v>
      </c>
      <c r="N463">
        <v>6</v>
      </c>
      <c r="O463">
        <v>6</v>
      </c>
      <c r="P463">
        <v>2</v>
      </c>
      <c r="Q463">
        <v>3</v>
      </c>
      <c r="R463">
        <v>2</v>
      </c>
    </row>
    <row r="464" spans="1:18" customFormat="1" ht="14.25" customHeight="1" x14ac:dyDescent="0.35">
      <c r="A464">
        <v>2562</v>
      </c>
      <c r="B464">
        <v>5</v>
      </c>
      <c r="C464">
        <v>1</v>
      </c>
      <c r="D464">
        <v>5</v>
      </c>
      <c r="E464">
        <v>5</v>
      </c>
      <c r="F464">
        <v>1</v>
      </c>
      <c r="G464">
        <v>4</v>
      </c>
      <c r="H464">
        <v>5</v>
      </c>
      <c r="I464">
        <v>3</v>
      </c>
      <c r="J464">
        <v>2</v>
      </c>
      <c r="N464">
        <v>6</v>
      </c>
      <c r="O464">
        <v>6</v>
      </c>
      <c r="P464">
        <v>1</v>
      </c>
      <c r="Q464">
        <v>3</v>
      </c>
      <c r="R464">
        <v>2</v>
      </c>
    </row>
    <row r="465" spans="1:18" customFormat="1" ht="14.25" customHeight="1" x14ac:dyDescent="0.35">
      <c r="A465">
        <v>2573</v>
      </c>
      <c r="B465">
        <v>5</v>
      </c>
      <c r="C465">
        <v>2</v>
      </c>
      <c r="D465">
        <v>5</v>
      </c>
      <c r="E465">
        <v>1</v>
      </c>
      <c r="F465">
        <v>2</v>
      </c>
      <c r="G465">
        <v>5</v>
      </c>
      <c r="H465">
        <v>5</v>
      </c>
      <c r="I465">
        <v>2</v>
      </c>
      <c r="N465">
        <v>6</v>
      </c>
      <c r="O465">
        <v>6</v>
      </c>
      <c r="P465">
        <v>1</v>
      </c>
      <c r="Q465">
        <v>3</v>
      </c>
      <c r="R465">
        <v>2</v>
      </c>
    </row>
    <row r="466" spans="1:18" customFormat="1" ht="14.25" customHeight="1" x14ac:dyDescent="0.35">
      <c r="A466">
        <v>2576</v>
      </c>
      <c r="B466">
        <v>4</v>
      </c>
      <c r="C466">
        <v>3</v>
      </c>
      <c r="D466">
        <v>5</v>
      </c>
      <c r="E466">
        <v>3</v>
      </c>
      <c r="F466">
        <v>3</v>
      </c>
      <c r="G466">
        <v>5</v>
      </c>
      <c r="H466">
        <v>5</v>
      </c>
      <c r="I466">
        <v>1</v>
      </c>
      <c r="N466">
        <v>4</v>
      </c>
      <c r="O466">
        <v>4</v>
      </c>
      <c r="P466">
        <v>2</v>
      </c>
      <c r="Q466">
        <v>2</v>
      </c>
      <c r="R466">
        <v>2</v>
      </c>
    </row>
    <row r="467" spans="1:18" customFormat="1" ht="14.25" customHeight="1" x14ac:dyDescent="0.35">
      <c r="A467">
        <v>2589</v>
      </c>
      <c r="B467">
        <v>4</v>
      </c>
      <c r="C467">
        <v>3</v>
      </c>
      <c r="D467">
        <v>4</v>
      </c>
      <c r="E467">
        <v>3</v>
      </c>
      <c r="F467">
        <v>2</v>
      </c>
      <c r="G467">
        <v>3</v>
      </c>
      <c r="H467">
        <v>3</v>
      </c>
      <c r="I467">
        <v>2</v>
      </c>
      <c r="K467">
        <v>2</v>
      </c>
      <c r="L467">
        <v>3</v>
      </c>
      <c r="M467">
        <v>0</v>
      </c>
      <c r="N467">
        <v>6</v>
      </c>
      <c r="O467">
        <v>5</v>
      </c>
      <c r="P467">
        <v>1</v>
      </c>
      <c r="Q467">
        <v>2</v>
      </c>
      <c r="R467">
        <v>2</v>
      </c>
    </row>
    <row r="468" spans="1:18" customFormat="1" ht="14.25" customHeight="1" x14ac:dyDescent="0.35">
      <c r="A468">
        <v>2598</v>
      </c>
      <c r="B468">
        <v>4</v>
      </c>
      <c r="C468">
        <v>3</v>
      </c>
      <c r="D468">
        <v>4</v>
      </c>
      <c r="E468">
        <v>2</v>
      </c>
      <c r="F468">
        <v>2</v>
      </c>
      <c r="G468">
        <v>4</v>
      </c>
      <c r="H468">
        <v>4</v>
      </c>
      <c r="I468">
        <v>2</v>
      </c>
      <c r="J468">
        <v>2</v>
      </c>
      <c r="K468">
        <v>3</v>
      </c>
      <c r="L468">
        <v>3</v>
      </c>
      <c r="M468">
        <v>2</v>
      </c>
      <c r="N468">
        <v>6</v>
      </c>
      <c r="O468">
        <v>4</v>
      </c>
      <c r="P468">
        <v>2</v>
      </c>
      <c r="Q468">
        <v>2</v>
      </c>
      <c r="R468">
        <v>3</v>
      </c>
    </row>
    <row r="469" spans="1:18" customFormat="1" ht="14.25" customHeight="1" x14ac:dyDescent="0.35">
      <c r="A469">
        <v>2601</v>
      </c>
      <c r="B469">
        <v>2</v>
      </c>
      <c r="C469">
        <v>4</v>
      </c>
      <c r="D469">
        <v>4</v>
      </c>
      <c r="E469">
        <v>1</v>
      </c>
      <c r="F469">
        <v>4</v>
      </c>
      <c r="G469">
        <v>5</v>
      </c>
      <c r="H469">
        <v>5</v>
      </c>
      <c r="I469">
        <v>2</v>
      </c>
      <c r="J469">
        <v>2</v>
      </c>
      <c r="K469">
        <v>2</v>
      </c>
      <c r="L469">
        <v>3</v>
      </c>
      <c r="M469">
        <v>2</v>
      </c>
      <c r="N469">
        <v>6</v>
      </c>
      <c r="O469">
        <v>5</v>
      </c>
      <c r="P469">
        <v>2</v>
      </c>
      <c r="Q469">
        <v>2</v>
      </c>
      <c r="R469">
        <v>1</v>
      </c>
    </row>
    <row r="470" spans="1:18" customFormat="1" ht="14.25" customHeight="1" x14ac:dyDescent="0.35">
      <c r="A470">
        <v>2608</v>
      </c>
      <c r="B470">
        <v>5</v>
      </c>
      <c r="C470">
        <v>1</v>
      </c>
      <c r="D470">
        <v>5</v>
      </c>
      <c r="E470">
        <v>2</v>
      </c>
      <c r="F470">
        <v>2</v>
      </c>
      <c r="G470">
        <v>5</v>
      </c>
      <c r="H470">
        <v>4</v>
      </c>
      <c r="I470">
        <v>1</v>
      </c>
      <c r="N470">
        <v>6</v>
      </c>
      <c r="O470">
        <v>5</v>
      </c>
      <c r="P470">
        <v>2</v>
      </c>
      <c r="Q470">
        <v>4</v>
      </c>
      <c r="R470">
        <v>2</v>
      </c>
    </row>
    <row r="471" spans="1:18" customFormat="1" ht="14.25" customHeight="1" x14ac:dyDescent="0.35">
      <c r="A471">
        <v>2611</v>
      </c>
      <c r="B471">
        <v>5</v>
      </c>
      <c r="C471">
        <v>1</v>
      </c>
      <c r="D471">
        <v>5</v>
      </c>
      <c r="E471">
        <v>1</v>
      </c>
      <c r="F471">
        <v>1</v>
      </c>
      <c r="G471">
        <v>5</v>
      </c>
      <c r="H471">
        <v>5</v>
      </c>
      <c r="I471">
        <v>2</v>
      </c>
      <c r="J471">
        <v>2</v>
      </c>
      <c r="K471">
        <v>3</v>
      </c>
      <c r="L471">
        <v>2</v>
      </c>
      <c r="M471">
        <v>15</v>
      </c>
      <c r="N471">
        <v>6</v>
      </c>
      <c r="O471">
        <v>4</v>
      </c>
      <c r="P471">
        <v>1</v>
      </c>
      <c r="Q471">
        <v>3</v>
      </c>
      <c r="R471">
        <v>2</v>
      </c>
    </row>
    <row r="472" spans="1:18" customFormat="1" ht="14.25" customHeight="1" x14ac:dyDescent="0.35">
      <c r="A472">
        <v>2613</v>
      </c>
      <c r="B472">
        <v>5</v>
      </c>
      <c r="C472">
        <v>1</v>
      </c>
      <c r="D472">
        <v>5</v>
      </c>
      <c r="E472">
        <v>1</v>
      </c>
      <c r="F472">
        <v>1</v>
      </c>
      <c r="G472">
        <v>5</v>
      </c>
      <c r="H472">
        <v>4</v>
      </c>
      <c r="I472">
        <v>2</v>
      </c>
      <c r="K472">
        <v>1</v>
      </c>
      <c r="L472">
        <v>1</v>
      </c>
      <c r="M472">
        <v>0</v>
      </c>
      <c r="N472">
        <v>6</v>
      </c>
      <c r="O472">
        <v>3</v>
      </c>
      <c r="P472">
        <v>1</v>
      </c>
      <c r="Q472">
        <v>3</v>
      </c>
      <c r="R472">
        <v>1</v>
      </c>
    </row>
    <row r="473" spans="1:18" customFormat="1" ht="14.25" customHeight="1" x14ac:dyDescent="0.35">
      <c r="A473">
        <v>2625</v>
      </c>
      <c r="B473">
        <v>5</v>
      </c>
      <c r="C473">
        <v>1</v>
      </c>
      <c r="D473">
        <v>5</v>
      </c>
      <c r="E473">
        <v>2</v>
      </c>
      <c r="F473">
        <v>1</v>
      </c>
      <c r="G473">
        <v>2</v>
      </c>
      <c r="H473">
        <v>5</v>
      </c>
      <c r="I473">
        <v>1</v>
      </c>
      <c r="N473">
        <v>6</v>
      </c>
      <c r="O473">
        <v>3</v>
      </c>
      <c r="P473">
        <v>1</v>
      </c>
      <c r="Q473">
        <v>2</v>
      </c>
      <c r="R473">
        <v>2</v>
      </c>
    </row>
    <row r="474" spans="1:18" customFormat="1" ht="14.25" customHeight="1" x14ac:dyDescent="0.35">
      <c r="A474">
        <v>2634</v>
      </c>
      <c r="B474">
        <v>4</v>
      </c>
      <c r="C474">
        <v>3</v>
      </c>
      <c r="D474">
        <v>5</v>
      </c>
      <c r="E474">
        <v>4</v>
      </c>
      <c r="F474">
        <v>1</v>
      </c>
      <c r="G474">
        <v>5</v>
      </c>
      <c r="H474">
        <v>5</v>
      </c>
      <c r="I474">
        <v>2</v>
      </c>
      <c r="J474">
        <v>1</v>
      </c>
      <c r="N474">
        <v>6</v>
      </c>
      <c r="O474">
        <v>3</v>
      </c>
      <c r="P474">
        <v>1</v>
      </c>
      <c r="Q474">
        <v>4</v>
      </c>
      <c r="R474">
        <v>3</v>
      </c>
    </row>
    <row r="475" spans="1:18" customFormat="1" ht="14.25" customHeight="1" x14ac:dyDescent="0.35">
      <c r="A475">
        <v>2637</v>
      </c>
      <c r="B475">
        <v>4</v>
      </c>
      <c r="C475">
        <v>2</v>
      </c>
      <c r="D475">
        <v>3</v>
      </c>
      <c r="E475">
        <v>2</v>
      </c>
      <c r="F475">
        <v>2</v>
      </c>
      <c r="G475">
        <v>4</v>
      </c>
      <c r="H475">
        <v>4</v>
      </c>
      <c r="I475">
        <v>2</v>
      </c>
      <c r="J475">
        <v>2</v>
      </c>
      <c r="K475">
        <v>1</v>
      </c>
      <c r="N475">
        <v>6</v>
      </c>
      <c r="O475">
        <v>6</v>
      </c>
      <c r="P475">
        <v>1</v>
      </c>
      <c r="Q475">
        <v>2</v>
      </c>
      <c r="R475">
        <v>3</v>
      </c>
    </row>
    <row r="476" spans="1:18" customFormat="1" ht="14.25" customHeight="1" x14ac:dyDescent="0.35">
      <c r="A476">
        <v>2662</v>
      </c>
      <c r="B476">
        <v>2</v>
      </c>
      <c r="C476">
        <v>3</v>
      </c>
      <c r="D476">
        <v>2</v>
      </c>
      <c r="E476">
        <v>3</v>
      </c>
      <c r="F476">
        <v>3</v>
      </c>
      <c r="G476">
        <v>3</v>
      </c>
      <c r="H476">
        <v>2</v>
      </c>
      <c r="I476">
        <v>1</v>
      </c>
      <c r="K476">
        <v>1</v>
      </c>
      <c r="L476">
        <v>1</v>
      </c>
      <c r="M476">
        <v>0</v>
      </c>
      <c r="N476">
        <v>6</v>
      </c>
      <c r="O476">
        <v>6</v>
      </c>
      <c r="P476">
        <v>2</v>
      </c>
      <c r="Q476">
        <v>2</v>
      </c>
      <c r="R476">
        <v>2</v>
      </c>
    </row>
    <row r="477" spans="1:18" customFormat="1" ht="14.25" customHeight="1" x14ac:dyDescent="0.35">
      <c r="A477">
        <v>2664</v>
      </c>
      <c r="B477">
        <v>5</v>
      </c>
      <c r="C477">
        <v>1</v>
      </c>
      <c r="D477">
        <v>5</v>
      </c>
      <c r="E477">
        <v>1</v>
      </c>
      <c r="F477">
        <v>1</v>
      </c>
      <c r="G477">
        <v>5</v>
      </c>
      <c r="H477">
        <v>5</v>
      </c>
      <c r="I477">
        <v>2</v>
      </c>
      <c r="N477">
        <v>6</v>
      </c>
      <c r="O477">
        <v>4</v>
      </c>
      <c r="P477">
        <v>1</v>
      </c>
      <c r="Q477">
        <v>1</v>
      </c>
      <c r="R477">
        <v>1</v>
      </c>
    </row>
    <row r="478" spans="1:18" customFormat="1" ht="14.25" customHeight="1" x14ac:dyDescent="0.35">
      <c r="A478">
        <v>2667</v>
      </c>
      <c r="B478">
        <v>5</v>
      </c>
      <c r="C478">
        <v>3</v>
      </c>
      <c r="D478">
        <v>5</v>
      </c>
      <c r="E478">
        <v>2</v>
      </c>
      <c r="F478">
        <v>3</v>
      </c>
      <c r="G478">
        <v>5</v>
      </c>
      <c r="H478">
        <v>3</v>
      </c>
      <c r="I478">
        <v>3</v>
      </c>
      <c r="J478">
        <v>2</v>
      </c>
      <c r="K478">
        <v>4</v>
      </c>
      <c r="L478">
        <v>4</v>
      </c>
      <c r="M478">
        <v>0</v>
      </c>
      <c r="N478">
        <v>6</v>
      </c>
      <c r="O478">
        <v>4</v>
      </c>
      <c r="P478">
        <v>2</v>
      </c>
      <c r="Q478">
        <v>2</v>
      </c>
      <c r="R478">
        <v>2</v>
      </c>
    </row>
    <row r="479" spans="1:18" customFormat="1" ht="14.25" customHeight="1" x14ac:dyDescent="0.35">
      <c r="A479">
        <v>2670</v>
      </c>
      <c r="B479">
        <v>3</v>
      </c>
      <c r="C479">
        <v>4</v>
      </c>
      <c r="D479">
        <v>3</v>
      </c>
      <c r="E479">
        <v>4</v>
      </c>
      <c r="F479">
        <v>2</v>
      </c>
      <c r="G479">
        <v>3</v>
      </c>
      <c r="H479">
        <v>1</v>
      </c>
      <c r="I479">
        <v>1</v>
      </c>
      <c r="K479">
        <v>2</v>
      </c>
      <c r="L479">
        <v>3</v>
      </c>
      <c r="M479">
        <v>0</v>
      </c>
      <c r="N479">
        <v>6</v>
      </c>
      <c r="O479">
        <v>6</v>
      </c>
      <c r="P479">
        <v>3</v>
      </c>
      <c r="Q479">
        <v>3</v>
      </c>
      <c r="R479">
        <v>4</v>
      </c>
    </row>
    <row r="480" spans="1:18" customFormat="1" ht="14.25" customHeight="1" x14ac:dyDescent="0.35">
      <c r="A480">
        <v>2672</v>
      </c>
      <c r="B480">
        <v>2</v>
      </c>
      <c r="C480">
        <v>3</v>
      </c>
      <c r="D480">
        <v>3</v>
      </c>
      <c r="E480">
        <v>3</v>
      </c>
      <c r="F480">
        <v>3</v>
      </c>
      <c r="G480">
        <v>2</v>
      </c>
      <c r="H480">
        <v>2</v>
      </c>
      <c r="I480">
        <v>1</v>
      </c>
      <c r="J480">
        <v>1</v>
      </c>
      <c r="K480">
        <v>2</v>
      </c>
      <c r="N480">
        <v>6</v>
      </c>
      <c r="O480">
        <v>5</v>
      </c>
      <c r="P480">
        <v>2</v>
      </c>
      <c r="Q480">
        <v>2</v>
      </c>
      <c r="R480">
        <v>4</v>
      </c>
    </row>
    <row r="481" spans="1:18" customFormat="1" ht="14.25" customHeight="1" x14ac:dyDescent="0.35">
      <c r="A481">
        <v>2696</v>
      </c>
      <c r="B481">
        <v>5</v>
      </c>
      <c r="C481">
        <v>4</v>
      </c>
      <c r="D481">
        <v>5</v>
      </c>
      <c r="E481">
        <v>1</v>
      </c>
      <c r="F481">
        <v>1</v>
      </c>
      <c r="G481">
        <v>5</v>
      </c>
      <c r="H481">
        <v>5</v>
      </c>
      <c r="I481">
        <v>2</v>
      </c>
      <c r="J481">
        <v>2</v>
      </c>
      <c r="N481">
        <v>6</v>
      </c>
      <c r="O481">
        <v>6</v>
      </c>
      <c r="P481">
        <v>1</v>
      </c>
      <c r="Q481">
        <v>2</v>
      </c>
      <c r="R481">
        <v>2</v>
      </c>
    </row>
    <row r="482" spans="1:18" customFormat="1" ht="14.25" customHeight="1" x14ac:dyDescent="0.35">
      <c r="A482">
        <v>2698</v>
      </c>
      <c r="B482">
        <v>3</v>
      </c>
      <c r="C482">
        <v>1</v>
      </c>
      <c r="D482">
        <v>4</v>
      </c>
      <c r="E482">
        <v>3</v>
      </c>
      <c r="F482">
        <v>1</v>
      </c>
      <c r="G482">
        <v>5</v>
      </c>
      <c r="H482">
        <v>4</v>
      </c>
      <c r="I482">
        <v>1</v>
      </c>
      <c r="K482">
        <v>1</v>
      </c>
      <c r="L482">
        <v>2</v>
      </c>
      <c r="M482">
        <v>2</v>
      </c>
      <c r="N482">
        <v>6</v>
      </c>
      <c r="O482">
        <v>5</v>
      </c>
      <c r="P482">
        <v>2</v>
      </c>
      <c r="Q482">
        <v>1</v>
      </c>
      <c r="R482">
        <v>2</v>
      </c>
    </row>
    <row r="483" spans="1:18" customFormat="1" ht="14.25" customHeight="1" x14ac:dyDescent="0.35">
      <c r="A483">
        <v>2700</v>
      </c>
      <c r="B483">
        <v>2</v>
      </c>
      <c r="C483">
        <v>5</v>
      </c>
      <c r="D483">
        <v>2</v>
      </c>
      <c r="E483">
        <v>4</v>
      </c>
      <c r="F483">
        <v>2</v>
      </c>
      <c r="G483">
        <v>2</v>
      </c>
      <c r="H483">
        <v>3</v>
      </c>
      <c r="I483">
        <v>1</v>
      </c>
      <c r="J483">
        <v>1</v>
      </c>
      <c r="K483">
        <v>2</v>
      </c>
      <c r="L483">
        <v>3</v>
      </c>
      <c r="M483">
        <v>0</v>
      </c>
      <c r="N483">
        <v>6</v>
      </c>
      <c r="O483">
        <v>6</v>
      </c>
      <c r="P483">
        <v>2</v>
      </c>
      <c r="Q483">
        <v>2</v>
      </c>
      <c r="R483">
        <v>2</v>
      </c>
    </row>
    <row r="484" spans="1:18" customFormat="1" ht="14.25" customHeight="1" x14ac:dyDescent="0.35">
      <c r="A484">
        <v>2705</v>
      </c>
      <c r="B484">
        <v>4</v>
      </c>
      <c r="C484">
        <v>3</v>
      </c>
      <c r="D484">
        <v>2</v>
      </c>
      <c r="E484">
        <v>3</v>
      </c>
      <c r="F484">
        <v>2</v>
      </c>
      <c r="G484">
        <v>4</v>
      </c>
      <c r="H484">
        <v>4</v>
      </c>
      <c r="I484">
        <v>2</v>
      </c>
      <c r="N484">
        <v>6</v>
      </c>
      <c r="O484">
        <v>6</v>
      </c>
      <c r="P484">
        <v>1</v>
      </c>
      <c r="Q484">
        <v>3</v>
      </c>
      <c r="R484">
        <v>2</v>
      </c>
    </row>
    <row r="485" spans="1:18" customFormat="1" ht="14.25" customHeight="1" x14ac:dyDescent="0.35">
      <c r="A485">
        <v>2708</v>
      </c>
      <c r="B485">
        <v>5</v>
      </c>
      <c r="C485">
        <v>5</v>
      </c>
      <c r="D485">
        <v>5</v>
      </c>
      <c r="E485">
        <v>1</v>
      </c>
      <c r="F485">
        <v>1</v>
      </c>
      <c r="G485">
        <v>5</v>
      </c>
      <c r="H485">
        <v>5</v>
      </c>
      <c r="I485">
        <v>2</v>
      </c>
      <c r="N485">
        <v>6</v>
      </c>
      <c r="O485">
        <v>5</v>
      </c>
      <c r="P485">
        <v>1</v>
      </c>
      <c r="Q485">
        <v>5</v>
      </c>
      <c r="R485">
        <v>2</v>
      </c>
    </row>
    <row r="486" spans="1:18" customFormat="1" ht="14.25" customHeight="1" x14ac:dyDescent="0.35">
      <c r="A486">
        <v>2715</v>
      </c>
      <c r="B486">
        <v>4</v>
      </c>
      <c r="C486">
        <v>4</v>
      </c>
      <c r="D486">
        <v>4</v>
      </c>
      <c r="E486">
        <v>2</v>
      </c>
      <c r="F486">
        <v>2</v>
      </c>
      <c r="G486">
        <v>3</v>
      </c>
      <c r="H486">
        <v>3</v>
      </c>
      <c r="I486">
        <v>2</v>
      </c>
      <c r="K486">
        <v>1</v>
      </c>
      <c r="L486">
        <v>2</v>
      </c>
      <c r="M486">
        <v>0</v>
      </c>
      <c r="N486">
        <v>6</v>
      </c>
      <c r="O486">
        <v>5</v>
      </c>
      <c r="P486">
        <v>2</v>
      </c>
      <c r="Q486">
        <v>2</v>
      </c>
      <c r="R486">
        <v>2</v>
      </c>
    </row>
    <row r="487" spans="1:18" customFormat="1" ht="14.25" customHeight="1" x14ac:dyDescent="0.35">
      <c r="A487">
        <v>2717</v>
      </c>
      <c r="B487">
        <v>4</v>
      </c>
      <c r="C487">
        <v>1</v>
      </c>
      <c r="D487">
        <v>4</v>
      </c>
      <c r="E487">
        <v>2</v>
      </c>
      <c r="F487">
        <v>1</v>
      </c>
      <c r="G487">
        <v>3</v>
      </c>
      <c r="H487">
        <v>5</v>
      </c>
      <c r="I487">
        <v>1</v>
      </c>
      <c r="J487">
        <v>1</v>
      </c>
      <c r="K487">
        <v>1</v>
      </c>
      <c r="L487">
        <v>3</v>
      </c>
      <c r="M487">
        <v>0</v>
      </c>
      <c r="N487">
        <v>6</v>
      </c>
      <c r="O487">
        <v>6</v>
      </c>
      <c r="P487">
        <v>2</v>
      </c>
      <c r="Q487">
        <v>2</v>
      </c>
      <c r="R487">
        <v>3</v>
      </c>
    </row>
    <row r="488" spans="1:18" customFormat="1" ht="14.25" customHeight="1" x14ac:dyDescent="0.35">
      <c r="A488">
        <v>2722</v>
      </c>
      <c r="B488">
        <v>5</v>
      </c>
      <c r="C488">
        <v>4</v>
      </c>
      <c r="D488">
        <v>4</v>
      </c>
      <c r="E488">
        <v>1</v>
      </c>
      <c r="F488">
        <v>1</v>
      </c>
      <c r="G488">
        <v>4</v>
      </c>
      <c r="H488">
        <v>5</v>
      </c>
      <c r="I488">
        <v>2</v>
      </c>
      <c r="K488">
        <v>4</v>
      </c>
      <c r="L488">
        <v>3</v>
      </c>
      <c r="M488">
        <v>2</v>
      </c>
      <c r="N488">
        <v>6</v>
      </c>
      <c r="O488">
        <v>6</v>
      </c>
      <c r="P488">
        <v>2</v>
      </c>
      <c r="Q488">
        <v>3</v>
      </c>
      <c r="R488">
        <v>2</v>
      </c>
    </row>
    <row r="489" spans="1:18" customFormat="1" ht="14.25" customHeight="1" x14ac:dyDescent="0.35">
      <c r="A489">
        <v>2726</v>
      </c>
      <c r="B489">
        <v>5</v>
      </c>
      <c r="C489">
        <v>1</v>
      </c>
      <c r="D489">
        <v>5</v>
      </c>
      <c r="E489">
        <v>1</v>
      </c>
      <c r="F489">
        <v>1</v>
      </c>
      <c r="G489">
        <v>5</v>
      </c>
      <c r="H489">
        <v>5</v>
      </c>
      <c r="I489">
        <v>2</v>
      </c>
      <c r="J489">
        <v>1</v>
      </c>
      <c r="K489">
        <v>2</v>
      </c>
      <c r="L489">
        <v>4</v>
      </c>
      <c r="M489">
        <v>14</v>
      </c>
      <c r="N489">
        <v>6</v>
      </c>
      <c r="O489">
        <v>6</v>
      </c>
      <c r="P489">
        <v>1</v>
      </c>
      <c r="Q489">
        <v>4</v>
      </c>
      <c r="R489">
        <v>1</v>
      </c>
    </row>
    <row r="490" spans="1:18" customFormat="1" ht="14.25" customHeight="1" x14ac:dyDescent="0.35">
      <c r="A490">
        <v>2727</v>
      </c>
      <c r="B490">
        <v>5</v>
      </c>
      <c r="C490">
        <v>1</v>
      </c>
      <c r="D490">
        <v>5</v>
      </c>
      <c r="E490">
        <v>1</v>
      </c>
      <c r="F490">
        <v>1</v>
      </c>
      <c r="G490">
        <v>5</v>
      </c>
      <c r="H490">
        <v>5</v>
      </c>
      <c r="I490">
        <v>1</v>
      </c>
      <c r="K490">
        <v>1</v>
      </c>
      <c r="L490">
        <v>1</v>
      </c>
      <c r="M490">
        <v>0</v>
      </c>
      <c r="N490">
        <v>5</v>
      </c>
      <c r="O490">
        <v>6</v>
      </c>
      <c r="P490">
        <v>1</v>
      </c>
      <c r="Q490">
        <v>1</v>
      </c>
      <c r="R490">
        <v>1</v>
      </c>
    </row>
    <row r="491" spans="1:18" customFormat="1" ht="14.25" customHeight="1" x14ac:dyDescent="0.35">
      <c r="A491">
        <v>2730</v>
      </c>
      <c r="B491">
        <v>5</v>
      </c>
      <c r="C491">
        <v>1</v>
      </c>
      <c r="D491">
        <v>5</v>
      </c>
      <c r="E491">
        <v>2</v>
      </c>
      <c r="F491">
        <v>1</v>
      </c>
      <c r="G491">
        <v>5</v>
      </c>
      <c r="H491">
        <v>5</v>
      </c>
      <c r="I491">
        <v>2</v>
      </c>
      <c r="K491">
        <v>1</v>
      </c>
      <c r="L491">
        <v>1</v>
      </c>
      <c r="M491">
        <v>1</v>
      </c>
      <c r="N491">
        <v>6</v>
      </c>
      <c r="O491">
        <v>5</v>
      </c>
      <c r="P491">
        <v>1</v>
      </c>
      <c r="Q491">
        <v>3</v>
      </c>
      <c r="R491">
        <v>2</v>
      </c>
    </row>
    <row r="492" spans="1:18" customFormat="1" ht="14.25" customHeight="1" x14ac:dyDescent="0.35">
      <c r="A492">
        <v>2731</v>
      </c>
      <c r="B492">
        <v>5</v>
      </c>
      <c r="C492">
        <v>1</v>
      </c>
      <c r="D492">
        <v>5</v>
      </c>
      <c r="E492">
        <v>1</v>
      </c>
      <c r="F492">
        <v>1</v>
      </c>
      <c r="G492">
        <v>5</v>
      </c>
      <c r="H492">
        <v>5</v>
      </c>
      <c r="I492">
        <v>1</v>
      </c>
      <c r="N492">
        <v>6</v>
      </c>
      <c r="O492">
        <v>6</v>
      </c>
      <c r="P492">
        <v>1</v>
      </c>
      <c r="Q492">
        <v>2</v>
      </c>
      <c r="R492">
        <v>4</v>
      </c>
    </row>
    <row r="493" spans="1:18" customFormat="1" ht="14.25" customHeight="1" x14ac:dyDescent="0.35">
      <c r="A493">
        <v>2742</v>
      </c>
      <c r="B493">
        <v>5</v>
      </c>
      <c r="C493">
        <v>3</v>
      </c>
      <c r="D493">
        <v>4</v>
      </c>
      <c r="E493">
        <v>1</v>
      </c>
      <c r="F493">
        <v>1</v>
      </c>
      <c r="G493">
        <v>5</v>
      </c>
      <c r="H493">
        <v>5</v>
      </c>
      <c r="I493">
        <v>2</v>
      </c>
      <c r="J493">
        <v>1</v>
      </c>
      <c r="K493">
        <v>1</v>
      </c>
      <c r="L493">
        <v>1</v>
      </c>
      <c r="M493">
        <v>0</v>
      </c>
      <c r="N493">
        <v>6</v>
      </c>
      <c r="O493">
        <v>3</v>
      </c>
      <c r="P493">
        <v>1</v>
      </c>
      <c r="Q493">
        <v>2</v>
      </c>
      <c r="R493">
        <v>1</v>
      </c>
    </row>
    <row r="494" spans="1:18" customFormat="1" ht="14.25" customHeight="1" x14ac:dyDescent="0.35">
      <c r="A494">
        <v>2746</v>
      </c>
      <c r="B494">
        <v>4</v>
      </c>
      <c r="C494">
        <v>1</v>
      </c>
      <c r="D494">
        <v>5</v>
      </c>
      <c r="E494">
        <v>1</v>
      </c>
      <c r="F494">
        <v>1</v>
      </c>
      <c r="G494">
        <v>3</v>
      </c>
      <c r="H494">
        <v>5</v>
      </c>
      <c r="I494">
        <v>2</v>
      </c>
      <c r="J494">
        <v>2</v>
      </c>
      <c r="N494">
        <v>6</v>
      </c>
      <c r="O494">
        <v>6</v>
      </c>
      <c r="P494">
        <v>1</v>
      </c>
      <c r="Q494">
        <v>3</v>
      </c>
      <c r="R494">
        <v>2</v>
      </c>
    </row>
    <row r="495" spans="1:18" customFormat="1" ht="14.25" customHeight="1" x14ac:dyDescent="0.35">
      <c r="A495">
        <v>2748</v>
      </c>
      <c r="B495">
        <v>5</v>
      </c>
      <c r="C495">
        <v>1</v>
      </c>
      <c r="D495">
        <v>5</v>
      </c>
      <c r="E495">
        <v>1</v>
      </c>
      <c r="F495">
        <v>1</v>
      </c>
      <c r="G495">
        <v>5</v>
      </c>
      <c r="H495">
        <v>5</v>
      </c>
      <c r="I495">
        <v>1</v>
      </c>
      <c r="N495">
        <v>5</v>
      </c>
      <c r="O495">
        <v>6</v>
      </c>
      <c r="P495">
        <v>1</v>
      </c>
      <c r="Q495">
        <v>3</v>
      </c>
      <c r="R495">
        <v>1</v>
      </c>
    </row>
    <row r="496" spans="1:18" customFormat="1" ht="14.25" customHeight="1" x14ac:dyDescent="0.35">
      <c r="A496">
        <v>2754</v>
      </c>
      <c r="B496">
        <v>4</v>
      </c>
      <c r="C496">
        <v>4</v>
      </c>
      <c r="D496">
        <v>4</v>
      </c>
      <c r="E496">
        <v>3</v>
      </c>
      <c r="F496">
        <v>2</v>
      </c>
      <c r="G496">
        <v>4</v>
      </c>
      <c r="H496">
        <v>4</v>
      </c>
      <c r="I496">
        <v>1</v>
      </c>
      <c r="K496">
        <v>1</v>
      </c>
      <c r="L496">
        <v>1</v>
      </c>
      <c r="M496">
        <v>0</v>
      </c>
      <c r="N496">
        <v>6</v>
      </c>
      <c r="O496">
        <v>4</v>
      </c>
      <c r="P496">
        <v>2</v>
      </c>
      <c r="Q496">
        <v>1</v>
      </c>
      <c r="R496">
        <v>2</v>
      </c>
    </row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</sheetData>
  <sortState xmlns:xlrd2="http://schemas.microsoft.com/office/spreadsheetml/2017/richdata2" ref="A2:R496">
    <sortCondition ref="A2:A496"/>
  </sortState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231BB237-58EB-4D96-8B31-2BF09E11DB01}">
          <xm:f>'Lets done do it'!1:1048576</xm:f>
        </x15:webExtension>
        <x15:webExtension appRef="{03918EE1-3D4A-4036-BFF5-7741B00D0583}">
          <xm:f>'Lets done do it'!$J$1:$S$144</xm:f>
        </x15:webExtension>
        <x15:webExtension appRef="{26EFD845-A29E-4EA2-AF2B-B822E1FEAB29}">
          <xm:f>'Lets done do it'!$D$519:$O$530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16" zoomScale="130" zoomScaleNormal="130" workbookViewId="0">
      <selection activeCell="D2" sqref="D2"/>
    </sheetView>
  </sheetViews>
  <sheetFormatPr defaultRowHeight="14.5" x14ac:dyDescent="0.35"/>
  <cols>
    <col min="1" max="1" width="11" style="20" customWidth="1"/>
    <col min="2" max="2" width="17.453125" customWidth="1"/>
    <col min="3" max="3" width="44.54296875" customWidth="1"/>
    <col min="4" max="4" width="104.7265625" style="16" customWidth="1"/>
    <col min="5" max="5" width="30.7265625" customWidth="1"/>
  </cols>
  <sheetData>
    <row r="1" spans="1:4" s="5" customFormat="1" x14ac:dyDescent="0.35">
      <c r="A1" s="41"/>
      <c r="B1" s="5" t="s">
        <v>18</v>
      </c>
      <c r="C1" s="5" t="s">
        <v>19</v>
      </c>
      <c r="D1" s="42" t="s">
        <v>20</v>
      </c>
    </row>
    <row r="2" spans="1:4" ht="72.5" x14ac:dyDescent="0.35">
      <c r="A2" s="19" t="s">
        <v>21</v>
      </c>
      <c r="B2" s="17" t="s">
        <v>1</v>
      </c>
      <c r="C2" s="17" t="s">
        <v>22</v>
      </c>
      <c r="D2" s="18" t="s">
        <v>23</v>
      </c>
    </row>
    <row r="3" spans="1:4" ht="72.5" x14ac:dyDescent="0.35">
      <c r="A3" s="19" t="s">
        <v>24</v>
      </c>
      <c r="B3" s="17" t="s">
        <v>2</v>
      </c>
      <c r="C3" s="17" t="s">
        <v>25</v>
      </c>
      <c r="D3" s="18" t="s">
        <v>26</v>
      </c>
    </row>
    <row r="4" spans="1:4" ht="72.5" x14ac:dyDescent="0.35">
      <c r="A4" s="19" t="s">
        <v>21</v>
      </c>
      <c r="B4" s="17" t="s">
        <v>3</v>
      </c>
      <c r="C4" s="17" t="s">
        <v>27</v>
      </c>
      <c r="D4" s="18" t="s">
        <v>28</v>
      </c>
    </row>
    <row r="5" spans="1:4" ht="72.5" x14ac:dyDescent="0.35">
      <c r="A5" s="19" t="s">
        <v>24</v>
      </c>
      <c r="B5" s="17" t="s">
        <v>4</v>
      </c>
      <c r="C5" s="17" t="s">
        <v>29</v>
      </c>
      <c r="D5" s="18" t="s">
        <v>30</v>
      </c>
    </row>
    <row r="6" spans="1:4" ht="72.5" x14ac:dyDescent="0.35">
      <c r="A6" s="19" t="s">
        <v>24</v>
      </c>
      <c r="B6" s="17" t="s">
        <v>5</v>
      </c>
      <c r="C6" s="17" t="s">
        <v>31</v>
      </c>
      <c r="D6" s="18" t="s">
        <v>32</v>
      </c>
    </row>
    <row r="7" spans="1:4" ht="72.5" x14ac:dyDescent="0.35">
      <c r="A7" s="19" t="s">
        <v>21</v>
      </c>
      <c r="B7" s="17" t="s">
        <v>6</v>
      </c>
      <c r="C7" s="17" t="s">
        <v>33</v>
      </c>
      <c r="D7" s="18" t="s">
        <v>34</v>
      </c>
    </row>
    <row r="8" spans="1:4" ht="72.5" x14ac:dyDescent="0.35">
      <c r="A8" s="19" t="s">
        <v>21</v>
      </c>
      <c r="B8" s="17" t="s">
        <v>7</v>
      </c>
      <c r="C8" s="17" t="s">
        <v>35</v>
      </c>
      <c r="D8" s="18" t="s">
        <v>36</v>
      </c>
    </row>
    <row r="9" spans="1:4" x14ac:dyDescent="0.35">
      <c r="A9" s="21"/>
      <c r="B9" s="22"/>
      <c r="C9" s="22"/>
      <c r="D9" s="23"/>
    </row>
    <row r="10" spans="1:4" ht="29" x14ac:dyDescent="0.35">
      <c r="A10" s="19">
        <v>0</v>
      </c>
      <c r="B10" s="17" t="s">
        <v>8</v>
      </c>
      <c r="C10" s="17" t="s">
        <v>37</v>
      </c>
      <c r="D10" s="18" t="s">
        <v>38</v>
      </c>
    </row>
    <row r="11" spans="1:4" ht="29" x14ac:dyDescent="0.35">
      <c r="A11" s="19">
        <v>0</v>
      </c>
      <c r="B11" s="17" t="s">
        <v>9</v>
      </c>
      <c r="C11" s="17" t="s">
        <v>39</v>
      </c>
      <c r="D11" s="18" t="s">
        <v>40</v>
      </c>
    </row>
    <row r="12" spans="1:4" ht="29" x14ac:dyDescent="0.35">
      <c r="A12" s="19">
        <v>0</v>
      </c>
      <c r="B12" s="17" t="s">
        <v>10</v>
      </c>
      <c r="C12" s="17" t="s">
        <v>41</v>
      </c>
      <c r="D12" s="18" t="s">
        <v>42</v>
      </c>
    </row>
    <row r="13" spans="1:4" x14ac:dyDescent="0.35">
      <c r="A13" s="19">
        <v>0</v>
      </c>
      <c r="B13" s="17" t="s">
        <v>11</v>
      </c>
      <c r="C13" s="17" t="s">
        <v>43</v>
      </c>
      <c r="D13" s="18" t="s">
        <v>44</v>
      </c>
    </row>
    <row r="14" spans="1:4" ht="29" x14ac:dyDescent="0.35">
      <c r="A14" s="19">
        <v>0</v>
      </c>
      <c r="B14" s="17" t="s">
        <v>12</v>
      </c>
      <c r="C14" s="17" t="s">
        <v>45</v>
      </c>
      <c r="D14" s="18" t="s">
        <v>46</v>
      </c>
    </row>
    <row r="15" spans="1:4" x14ac:dyDescent="0.35">
      <c r="A15" s="21"/>
      <c r="B15" s="22"/>
      <c r="C15" s="22"/>
      <c r="D15" s="23"/>
    </row>
    <row r="16" spans="1:4" ht="29" x14ac:dyDescent="0.35">
      <c r="A16" s="19">
        <v>1</v>
      </c>
      <c r="B16" s="17" t="s">
        <v>13</v>
      </c>
      <c r="C16" s="17" t="s">
        <v>47</v>
      </c>
      <c r="D16" s="18" t="s">
        <v>48</v>
      </c>
    </row>
    <row r="17" spans="1:4" ht="29" x14ac:dyDescent="0.35">
      <c r="A17" s="19">
        <v>1</v>
      </c>
      <c r="B17" s="17" t="s">
        <v>14</v>
      </c>
      <c r="C17" s="17" t="s">
        <v>49</v>
      </c>
      <c r="D17" s="18" t="s">
        <v>50</v>
      </c>
    </row>
    <row r="18" spans="1:4" ht="43.5" x14ac:dyDescent="0.35">
      <c r="A18" s="19">
        <v>1</v>
      </c>
      <c r="B18" s="17" t="s">
        <v>15</v>
      </c>
      <c r="C18" s="17" t="s">
        <v>51</v>
      </c>
      <c r="D18" s="18" t="s">
        <v>52</v>
      </c>
    </row>
    <row r="19" spans="1:4" ht="43.5" x14ac:dyDescent="0.35">
      <c r="A19" s="19">
        <v>-1</v>
      </c>
      <c r="B19" s="17" t="s">
        <v>16</v>
      </c>
      <c r="C19" s="17" t="s">
        <v>53</v>
      </c>
      <c r="D19" s="18" t="s">
        <v>54</v>
      </c>
    </row>
    <row r="20" spans="1:4" ht="43.5" x14ac:dyDescent="0.35">
      <c r="A20" s="19">
        <v>1</v>
      </c>
      <c r="B20" s="17" t="s">
        <v>17</v>
      </c>
      <c r="C20" s="17" t="s">
        <v>55</v>
      </c>
      <c r="D20" s="18" t="s">
        <v>56</v>
      </c>
    </row>
    <row r="21" spans="1:4" x14ac:dyDescent="0.35">
      <c r="A21" s="19"/>
      <c r="B21" s="17" t="s">
        <v>0</v>
      </c>
      <c r="C21" s="17" t="s">
        <v>57</v>
      </c>
      <c r="D21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391B-7444-4BEF-8BD6-21D6EDD5CB7E}">
  <dimension ref="A1:AR1362"/>
  <sheetViews>
    <sheetView topLeftCell="V1" zoomScaleNormal="100" workbookViewId="0">
      <selection activeCell="Y17" sqref="Y17"/>
    </sheetView>
  </sheetViews>
  <sheetFormatPr defaultRowHeight="14.5" x14ac:dyDescent="0.35"/>
  <cols>
    <col min="1" max="7" width="10.1796875" bestFit="1" customWidth="1"/>
    <col min="8" max="8" width="12.54296875" style="3" bestFit="1" customWidth="1"/>
    <col min="9" max="9" width="14.453125" style="3" bestFit="1" customWidth="1"/>
    <col min="10" max="10" width="12.54296875" style="3" bestFit="1" customWidth="1"/>
    <col min="11" max="12" width="14.453125" style="3" bestFit="1" customWidth="1"/>
    <col min="13" max="14" width="12.54296875" style="3" bestFit="1" customWidth="1"/>
    <col min="15" max="21" width="5.54296875" style="3" bestFit="1" customWidth="1"/>
    <col min="22" max="22" width="12.81640625" style="38" bestFit="1" customWidth="1"/>
    <col min="23" max="23" width="15" style="3" customWidth="1"/>
    <col min="26" max="32" width="9.26953125" bestFit="1" customWidth="1"/>
    <col min="37" max="38" width="9.26953125" bestFit="1" customWidth="1"/>
    <col min="39" max="40" width="9.453125" bestFit="1" customWidth="1"/>
    <col min="41" max="43" width="9.26953125" bestFit="1" customWidth="1"/>
  </cols>
  <sheetData>
    <row r="1" spans="1:44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4" t="s">
        <v>1</v>
      </c>
      <c r="I1" s="24" t="s">
        <v>58</v>
      </c>
      <c r="J1" s="24" t="s">
        <v>3</v>
      </c>
      <c r="K1" s="24" t="s">
        <v>59</v>
      </c>
      <c r="L1" s="24" t="s">
        <v>60</v>
      </c>
      <c r="M1" s="24" t="s">
        <v>6</v>
      </c>
      <c r="N1" s="24" t="s">
        <v>7</v>
      </c>
      <c r="O1" s="26" t="s">
        <v>61</v>
      </c>
      <c r="P1" s="26" t="s">
        <v>62</v>
      </c>
      <c r="Q1" s="26" t="s">
        <v>63</v>
      </c>
      <c r="R1" s="26" t="s">
        <v>64</v>
      </c>
      <c r="S1" s="26" t="s">
        <v>65</v>
      </c>
      <c r="T1" s="26" t="s">
        <v>66</v>
      </c>
      <c r="U1" s="26" t="s">
        <v>67</v>
      </c>
      <c r="V1" s="27" t="s">
        <v>68</v>
      </c>
      <c r="W1" s="4"/>
      <c r="X1" s="8"/>
      <c r="Y1" s="9" t="s">
        <v>69</v>
      </c>
      <c r="AB1" s="36" t="s">
        <v>70</v>
      </c>
      <c r="AK1" s="5" t="s">
        <v>71</v>
      </c>
      <c r="AM1" s="36" t="s">
        <v>193</v>
      </c>
    </row>
    <row r="2" spans="1:44" x14ac:dyDescent="0.35">
      <c r="A2">
        <v>1</v>
      </c>
      <c r="B2">
        <v>1</v>
      </c>
      <c r="C2">
        <v>1</v>
      </c>
      <c r="D2">
        <v>5</v>
      </c>
      <c r="E2">
        <v>1</v>
      </c>
      <c r="F2">
        <v>1</v>
      </c>
      <c r="G2">
        <v>1</v>
      </c>
      <c r="H2" s="25">
        <f t="shared" ref="H2:H65" si="0">IF(ISBLANK(A2),"",A2)</f>
        <v>1</v>
      </c>
      <c r="I2" s="25">
        <f t="shared" ref="I2:I65" si="1">IF(ISBLANK(B2),"",6-B2)</f>
        <v>5</v>
      </c>
      <c r="J2" s="25">
        <f t="shared" ref="J2:J65" si="2">IF(ISBLANK(C2),"",C2)</f>
        <v>1</v>
      </c>
      <c r="K2" s="25">
        <f t="shared" ref="K2:K65" si="3">IF(ISBLANK(D2),"",6-D2)</f>
        <v>1</v>
      </c>
      <c r="L2" s="25">
        <f t="shared" ref="L2:L65" si="4">IF(ISBLANK(E2),"",6-E2)</f>
        <v>5</v>
      </c>
      <c r="M2" s="25">
        <f t="shared" ref="M2:M65" si="5">IF(ISBLANK(F2),"",F2)</f>
        <v>1</v>
      </c>
      <c r="N2" s="25">
        <f t="shared" ref="N2:N65" si="6">IF(ISBLANK(G2),"",G2)</f>
        <v>1</v>
      </c>
      <c r="O2" s="32">
        <f>IF(ISTEXT(H2),"",STANDARDIZE(H2,H$500,H$501))</f>
        <v>-2.758213894687894</v>
      </c>
      <c r="P2" s="32">
        <f t="shared" ref="P2:P65" si="7">IF(ISTEXT(I2),"",STANDARDIZE(I2,I$500,I$501))</f>
        <v>1.0418053570413823</v>
      </c>
      <c r="Q2" s="32">
        <f t="shared" ref="Q2:Q65" si="8">IF(ISTEXT(J2),"",STANDARDIZE(J2,J$500,J$501))</f>
        <v>-2.8088805663860001</v>
      </c>
      <c r="R2" s="32">
        <f t="shared" ref="R2:R65" si="9">IF(ISTEXT(K2),"",STANDARDIZE(K2,K$500,K$501))</f>
        <v>-2.2884705377570564</v>
      </c>
      <c r="S2" s="32">
        <f t="shared" ref="S2:S65" si="10">IF(ISTEXT(L2),"",STANDARDIZE(L2,L$500,L$501))</f>
        <v>0.86866731645372819</v>
      </c>
      <c r="T2" s="32">
        <f t="shared" ref="T2:T65" si="11">IF(ISTEXT(M2),"",STANDARDIZE(M2,M$500,M$501))</f>
        <v>-2.9370783280215829</v>
      </c>
      <c r="U2" s="32">
        <f t="shared" ref="U2:U65" si="12">IF(ISTEXT(N2),"",STANDARDIZE(N2,N$500,N$501))</f>
        <v>-2.8115072628365891</v>
      </c>
      <c r="V2" s="37">
        <f t="shared" ref="V2:V65" si="13">AVERAGE(O2:U2)</f>
        <v>-1.6705254165991446</v>
      </c>
      <c r="W2" s="32"/>
      <c r="Y2" s="7"/>
      <c r="Z2" s="7" t="s">
        <v>1</v>
      </c>
      <c r="AA2" s="7" t="s">
        <v>58</v>
      </c>
      <c r="AB2" s="7" t="s">
        <v>3</v>
      </c>
      <c r="AC2" s="7" t="s">
        <v>59</v>
      </c>
      <c r="AD2" s="7" t="s">
        <v>60</v>
      </c>
      <c r="AE2" s="7" t="s">
        <v>6</v>
      </c>
      <c r="AF2" s="7" t="s">
        <v>7</v>
      </c>
      <c r="AG2" s="7"/>
      <c r="AH2" s="7"/>
      <c r="AI2" s="7"/>
      <c r="AK2" s="12" t="s">
        <v>72</v>
      </c>
      <c r="AL2" s="12"/>
      <c r="AM2" s="12"/>
      <c r="AN2" s="12"/>
      <c r="AO2" s="12"/>
      <c r="AP2" s="12"/>
      <c r="AQ2" s="12"/>
      <c r="AR2" s="12"/>
    </row>
    <row r="3" spans="1:44" x14ac:dyDescent="0.35">
      <c r="A3">
        <v>4</v>
      </c>
      <c r="B3">
        <v>4</v>
      </c>
      <c r="C3">
        <v>4</v>
      </c>
      <c r="D3">
        <v>5</v>
      </c>
      <c r="E3">
        <v>1</v>
      </c>
      <c r="F3">
        <v>1</v>
      </c>
      <c r="G3">
        <v>1</v>
      </c>
      <c r="H3" s="25">
        <f t="shared" si="0"/>
        <v>4</v>
      </c>
      <c r="I3" s="25">
        <f t="shared" si="1"/>
        <v>2</v>
      </c>
      <c r="J3" s="25">
        <f t="shared" si="2"/>
        <v>4</v>
      </c>
      <c r="K3" s="25">
        <f t="shared" si="3"/>
        <v>1</v>
      </c>
      <c r="L3" s="25">
        <f t="shared" si="4"/>
        <v>5</v>
      </c>
      <c r="M3" s="25">
        <f t="shared" si="5"/>
        <v>1</v>
      </c>
      <c r="N3" s="25">
        <f t="shared" si="6"/>
        <v>1</v>
      </c>
      <c r="O3" s="32">
        <f t="shared" ref="O3:O65" si="14">IF(ISTEXT(H3),"",STANDARDIZE(H3,H$500,H$501))</f>
        <v>-5.6401471461296142E-2</v>
      </c>
      <c r="P3" s="32">
        <f t="shared" si="7"/>
        <v>-1.2927857385104427</v>
      </c>
      <c r="Q3" s="32">
        <f t="shared" si="8"/>
        <v>-9.6984149849158471E-2</v>
      </c>
      <c r="R3" s="32">
        <f t="shared" si="9"/>
        <v>-2.2884705377570564</v>
      </c>
      <c r="S3" s="32">
        <f t="shared" si="10"/>
        <v>0.86866731645372819</v>
      </c>
      <c r="T3" s="32">
        <f t="shared" si="11"/>
        <v>-2.9370783280215829</v>
      </c>
      <c r="U3" s="32">
        <f t="shared" si="12"/>
        <v>-2.8115072628365891</v>
      </c>
      <c r="V3" s="37">
        <f t="shared" si="13"/>
        <v>-1.2306514531403425</v>
      </c>
      <c r="W3"/>
      <c r="Y3" s="7" t="s">
        <v>1</v>
      </c>
      <c r="Z3" s="7">
        <v>1</v>
      </c>
      <c r="AA3" s="7"/>
      <c r="AB3" s="7"/>
      <c r="AC3" s="7"/>
      <c r="AD3" s="7"/>
      <c r="AE3" s="7"/>
      <c r="AF3" s="7"/>
      <c r="AG3" s="7"/>
      <c r="AH3" s="7"/>
      <c r="AI3" s="7"/>
      <c r="AK3" s="12"/>
      <c r="AL3" s="12"/>
      <c r="AM3" s="12"/>
      <c r="AN3" s="12"/>
      <c r="AO3" s="12"/>
      <c r="AP3" s="12"/>
      <c r="AQ3" s="12"/>
      <c r="AR3" s="12"/>
    </row>
    <row r="4" spans="1:44" x14ac:dyDescent="0.35">
      <c r="A4">
        <v>3</v>
      </c>
      <c r="B4">
        <v>3</v>
      </c>
      <c r="C4">
        <v>5</v>
      </c>
      <c r="D4">
        <v>3</v>
      </c>
      <c r="E4">
        <v>3</v>
      </c>
      <c r="F4">
        <v>1</v>
      </c>
      <c r="G4">
        <v>1</v>
      </c>
      <c r="H4" s="25">
        <f t="shared" si="0"/>
        <v>3</v>
      </c>
      <c r="I4" s="25">
        <f t="shared" si="1"/>
        <v>3</v>
      </c>
      <c r="J4" s="25">
        <f t="shared" si="2"/>
        <v>5</v>
      </c>
      <c r="K4" s="25">
        <f t="shared" si="3"/>
        <v>3</v>
      </c>
      <c r="L4" s="25">
        <f t="shared" si="4"/>
        <v>3</v>
      </c>
      <c r="M4" s="25">
        <f t="shared" si="5"/>
        <v>1</v>
      </c>
      <c r="N4" s="25">
        <f t="shared" si="6"/>
        <v>1</v>
      </c>
      <c r="O4" s="32">
        <f t="shared" si="14"/>
        <v>-0.95700561253682881</v>
      </c>
      <c r="P4" s="32">
        <f t="shared" si="7"/>
        <v>-0.51458870665983425</v>
      </c>
      <c r="Q4" s="32">
        <f t="shared" si="8"/>
        <v>0.80698132232978881</v>
      </c>
      <c r="R4" s="32">
        <f t="shared" si="9"/>
        <v>-0.61891576076406762</v>
      </c>
      <c r="S4" s="32">
        <f t="shared" si="10"/>
        <v>-0.82040802109518784</v>
      </c>
      <c r="T4" s="32">
        <f t="shared" si="11"/>
        <v>-2.9370783280215829</v>
      </c>
      <c r="U4" s="32">
        <f t="shared" si="12"/>
        <v>-2.8115072628365891</v>
      </c>
      <c r="V4" s="37">
        <f t="shared" si="13"/>
        <v>-1.1217889099406144</v>
      </c>
      <c r="W4"/>
      <c r="Y4" s="7" t="s">
        <v>58</v>
      </c>
      <c r="Z4" s="7">
        <v>0.172265491124729</v>
      </c>
      <c r="AA4" s="7">
        <v>1</v>
      </c>
      <c r="AB4" s="7"/>
      <c r="AC4" s="7"/>
      <c r="AD4" s="7"/>
      <c r="AE4" s="7"/>
      <c r="AF4" s="7"/>
      <c r="AG4" s="7"/>
      <c r="AH4" s="7"/>
      <c r="AI4" s="7"/>
      <c r="AK4" s="45" t="s">
        <v>73</v>
      </c>
      <c r="AL4" s="45" t="s">
        <v>74</v>
      </c>
      <c r="AM4" s="45" t="s">
        <v>75</v>
      </c>
      <c r="AN4" s="45" t="s">
        <v>76</v>
      </c>
      <c r="AO4" s="45" t="s">
        <v>77</v>
      </c>
      <c r="AP4" s="45"/>
      <c r="AQ4" s="45"/>
      <c r="AR4" s="45"/>
    </row>
    <row r="5" spans="1:44" x14ac:dyDescent="0.35">
      <c r="A5">
        <v>1</v>
      </c>
      <c r="B5">
        <v>5</v>
      </c>
      <c r="C5">
        <v>1</v>
      </c>
      <c r="D5">
        <v>5</v>
      </c>
      <c r="E5">
        <v>3</v>
      </c>
      <c r="F5">
        <v>1</v>
      </c>
      <c r="G5">
        <v>1</v>
      </c>
      <c r="H5" s="25">
        <f t="shared" si="0"/>
        <v>1</v>
      </c>
      <c r="I5" s="25">
        <f t="shared" si="1"/>
        <v>1</v>
      </c>
      <c r="J5" s="25">
        <f t="shared" si="2"/>
        <v>1</v>
      </c>
      <c r="K5" s="25">
        <f t="shared" si="3"/>
        <v>1</v>
      </c>
      <c r="L5" s="25">
        <f t="shared" si="4"/>
        <v>3</v>
      </c>
      <c r="M5" s="25">
        <f t="shared" si="5"/>
        <v>1</v>
      </c>
      <c r="N5" s="25">
        <f t="shared" si="6"/>
        <v>1</v>
      </c>
      <c r="O5" s="32">
        <f t="shared" si="14"/>
        <v>-2.758213894687894</v>
      </c>
      <c r="P5" s="32">
        <f t="shared" si="7"/>
        <v>-2.0709827703610508</v>
      </c>
      <c r="Q5" s="32">
        <f t="shared" si="8"/>
        <v>-2.8088805663860001</v>
      </c>
      <c r="R5" s="32">
        <f t="shared" si="9"/>
        <v>-2.2884705377570564</v>
      </c>
      <c r="S5" s="32">
        <f t="shared" si="10"/>
        <v>-0.82040802109518784</v>
      </c>
      <c r="T5" s="32">
        <f t="shared" si="11"/>
        <v>-2.9370783280215829</v>
      </c>
      <c r="U5" s="32">
        <f t="shared" si="12"/>
        <v>-2.8115072628365891</v>
      </c>
      <c r="V5" s="37">
        <f t="shared" si="13"/>
        <v>-2.3565059115921945</v>
      </c>
      <c r="W5"/>
      <c r="Y5" s="7" t="s">
        <v>3</v>
      </c>
      <c r="Z5" s="7">
        <v>0.40343598000507802</v>
      </c>
      <c r="AA5" s="7">
        <v>0.149665045761636</v>
      </c>
      <c r="AB5" s="7">
        <v>1</v>
      </c>
      <c r="AC5" s="7"/>
      <c r="AD5" s="7"/>
      <c r="AE5" s="7"/>
      <c r="AF5" s="7"/>
      <c r="AG5" s="7"/>
      <c r="AH5" s="7"/>
      <c r="AI5" s="7"/>
      <c r="AK5" s="45" t="s">
        <v>78</v>
      </c>
      <c r="AL5" s="45">
        <v>7</v>
      </c>
      <c r="AM5" s="45">
        <v>15</v>
      </c>
      <c r="AN5" s="45">
        <v>2.1428571430000001</v>
      </c>
      <c r="AO5" s="45">
        <v>3.80952381</v>
      </c>
      <c r="AP5" s="45"/>
      <c r="AQ5" s="45"/>
      <c r="AR5" s="45"/>
    </row>
    <row r="6" spans="1:44" x14ac:dyDescent="0.35">
      <c r="A6">
        <v>4</v>
      </c>
      <c r="B6">
        <v>5</v>
      </c>
      <c r="C6">
        <v>3</v>
      </c>
      <c r="D6">
        <v>5</v>
      </c>
      <c r="E6">
        <v>3</v>
      </c>
      <c r="F6">
        <v>1</v>
      </c>
      <c r="G6">
        <v>1</v>
      </c>
      <c r="H6" s="25">
        <f t="shared" si="0"/>
        <v>4</v>
      </c>
      <c r="I6" s="25">
        <f t="shared" si="1"/>
        <v>1</v>
      </c>
      <c r="J6" s="25">
        <f t="shared" si="2"/>
        <v>3</v>
      </c>
      <c r="K6" s="25">
        <f t="shared" si="3"/>
        <v>1</v>
      </c>
      <c r="L6" s="25">
        <f t="shared" si="4"/>
        <v>3</v>
      </c>
      <c r="M6" s="25">
        <f t="shared" si="5"/>
        <v>1</v>
      </c>
      <c r="N6" s="25">
        <f t="shared" si="6"/>
        <v>1</v>
      </c>
      <c r="O6" s="32">
        <f t="shared" si="14"/>
        <v>-5.6401471461296142E-2</v>
      </c>
      <c r="P6" s="32">
        <f t="shared" si="7"/>
        <v>-2.0709827703610508</v>
      </c>
      <c r="Q6" s="32">
        <f t="shared" si="8"/>
        <v>-1.0009496220281058</v>
      </c>
      <c r="R6" s="32">
        <f t="shared" si="9"/>
        <v>-2.2884705377570564</v>
      </c>
      <c r="S6" s="32">
        <f t="shared" si="10"/>
        <v>-0.82040802109518784</v>
      </c>
      <c r="T6" s="32">
        <f t="shared" si="11"/>
        <v>-2.9370783280215829</v>
      </c>
      <c r="U6" s="32">
        <f t="shared" si="12"/>
        <v>-2.8115072628365891</v>
      </c>
      <c r="V6" s="37">
        <f t="shared" si="13"/>
        <v>-1.7122568590801241</v>
      </c>
      <c r="W6"/>
      <c r="Y6" s="7" t="s">
        <v>59</v>
      </c>
      <c r="Z6" s="7">
        <v>0.26108734073537299</v>
      </c>
      <c r="AA6" s="7">
        <v>0.37935568864465702</v>
      </c>
      <c r="AB6" s="7">
        <v>0.29144789190153703</v>
      </c>
      <c r="AC6" s="7">
        <v>1</v>
      </c>
      <c r="AD6" s="7"/>
      <c r="AE6" s="7"/>
      <c r="AF6" s="7"/>
      <c r="AG6" s="7"/>
      <c r="AH6" s="7"/>
      <c r="AI6" s="7"/>
      <c r="AK6" s="45" t="s">
        <v>78</v>
      </c>
      <c r="AL6" s="45">
        <v>7</v>
      </c>
      <c r="AM6" s="45">
        <v>18</v>
      </c>
      <c r="AN6" s="45">
        <v>2.5714285710000002</v>
      </c>
      <c r="AO6" s="45">
        <v>2.9523809519999999</v>
      </c>
      <c r="AP6" s="45"/>
      <c r="AQ6" s="45"/>
      <c r="AR6" s="45"/>
    </row>
    <row r="7" spans="1:44" x14ac:dyDescent="0.35">
      <c r="A7">
        <v>1</v>
      </c>
      <c r="B7">
        <v>3</v>
      </c>
      <c r="C7">
        <v>5</v>
      </c>
      <c r="D7">
        <v>3</v>
      </c>
      <c r="E7">
        <v>4</v>
      </c>
      <c r="F7">
        <v>1</v>
      </c>
      <c r="G7">
        <v>1</v>
      </c>
      <c r="H7" s="25">
        <f t="shared" si="0"/>
        <v>1</v>
      </c>
      <c r="I7" s="25">
        <f t="shared" si="1"/>
        <v>3</v>
      </c>
      <c r="J7" s="25">
        <f t="shared" si="2"/>
        <v>5</v>
      </c>
      <c r="K7" s="25">
        <f t="shared" si="3"/>
        <v>3</v>
      </c>
      <c r="L7" s="25">
        <f t="shared" si="4"/>
        <v>2</v>
      </c>
      <c r="M7" s="25">
        <f t="shared" si="5"/>
        <v>1</v>
      </c>
      <c r="N7" s="25">
        <f t="shared" si="6"/>
        <v>1</v>
      </c>
      <c r="O7" s="32">
        <f t="shared" si="14"/>
        <v>-2.758213894687894</v>
      </c>
      <c r="P7" s="32">
        <f t="shared" si="7"/>
        <v>-0.51458870665983425</v>
      </c>
      <c r="Q7" s="32">
        <f t="shared" si="8"/>
        <v>0.80698132232978881</v>
      </c>
      <c r="R7" s="32">
        <f t="shared" si="9"/>
        <v>-0.61891576076406762</v>
      </c>
      <c r="S7" s="32">
        <f t="shared" si="10"/>
        <v>-1.664945689869646</v>
      </c>
      <c r="T7" s="32">
        <f t="shared" si="11"/>
        <v>-2.9370783280215829</v>
      </c>
      <c r="U7" s="32">
        <f t="shared" si="12"/>
        <v>-2.8115072628365891</v>
      </c>
      <c r="V7" s="37">
        <f t="shared" si="13"/>
        <v>-1.4997526172156892</v>
      </c>
      <c r="W7"/>
      <c r="Y7" s="7" t="s">
        <v>60</v>
      </c>
      <c r="Z7" s="7">
        <v>0.29977125996249598</v>
      </c>
      <c r="AA7" s="7">
        <v>0.3077817913077</v>
      </c>
      <c r="AB7" s="7">
        <v>0.30038871836021802</v>
      </c>
      <c r="AC7" s="7">
        <v>0.42702124727735302</v>
      </c>
      <c r="AD7" s="7">
        <v>1</v>
      </c>
      <c r="AE7" s="7"/>
      <c r="AF7" s="7"/>
      <c r="AG7" s="7"/>
      <c r="AH7" s="7"/>
      <c r="AI7" s="7"/>
      <c r="AK7" s="45" t="s">
        <v>78</v>
      </c>
      <c r="AL7" s="45">
        <v>7</v>
      </c>
      <c r="AM7" s="45">
        <v>19</v>
      </c>
      <c r="AN7" s="45">
        <v>2.7142857139999998</v>
      </c>
      <c r="AO7" s="45">
        <v>1.904761905</v>
      </c>
      <c r="AP7" s="45"/>
      <c r="AQ7" s="45"/>
      <c r="AR7" s="45"/>
    </row>
    <row r="8" spans="1:44" x14ac:dyDescent="0.35">
      <c r="A8">
        <v>1</v>
      </c>
      <c r="B8">
        <v>5</v>
      </c>
      <c r="C8">
        <v>1</v>
      </c>
      <c r="D8">
        <v>5</v>
      </c>
      <c r="E8">
        <v>5</v>
      </c>
      <c r="F8">
        <v>1</v>
      </c>
      <c r="G8">
        <v>1</v>
      </c>
      <c r="H8" s="25">
        <f t="shared" si="0"/>
        <v>1</v>
      </c>
      <c r="I8" s="25">
        <f t="shared" si="1"/>
        <v>1</v>
      </c>
      <c r="J8" s="25">
        <f t="shared" si="2"/>
        <v>1</v>
      </c>
      <c r="K8" s="25">
        <f t="shared" si="3"/>
        <v>1</v>
      </c>
      <c r="L8" s="25">
        <f t="shared" si="4"/>
        <v>1</v>
      </c>
      <c r="M8" s="25">
        <f t="shared" si="5"/>
        <v>1</v>
      </c>
      <c r="N8" s="25">
        <f t="shared" si="6"/>
        <v>1</v>
      </c>
      <c r="O8" s="32">
        <f t="shared" si="14"/>
        <v>-2.758213894687894</v>
      </c>
      <c r="P8" s="32">
        <f t="shared" si="7"/>
        <v>-2.0709827703610508</v>
      </c>
      <c r="Q8" s="32">
        <f t="shared" si="8"/>
        <v>-2.8088805663860001</v>
      </c>
      <c r="R8" s="32">
        <f t="shared" si="9"/>
        <v>-2.2884705377570564</v>
      </c>
      <c r="S8" s="32">
        <f t="shared" si="10"/>
        <v>-2.5094833586441041</v>
      </c>
      <c r="T8" s="32">
        <f t="shared" si="11"/>
        <v>-2.9370783280215829</v>
      </c>
      <c r="U8" s="32">
        <f t="shared" si="12"/>
        <v>-2.8115072628365891</v>
      </c>
      <c r="V8" s="37">
        <f t="shared" si="13"/>
        <v>-2.5978023883848969</v>
      </c>
      <c r="W8"/>
      <c r="Y8" s="7" t="s">
        <v>6</v>
      </c>
      <c r="Z8" s="7">
        <v>0.504025910295682</v>
      </c>
      <c r="AA8" s="7">
        <v>0.245324703286489</v>
      </c>
      <c r="AB8" s="7">
        <v>0.37137475622312</v>
      </c>
      <c r="AC8" s="7">
        <v>0.30615579455429698</v>
      </c>
      <c r="AD8" s="7">
        <v>0.26123424406163898</v>
      </c>
      <c r="AE8" s="7">
        <v>1</v>
      </c>
      <c r="AF8" s="7"/>
      <c r="AG8" s="7"/>
      <c r="AH8" s="7"/>
      <c r="AI8" s="7"/>
      <c r="AK8" s="45" t="s">
        <v>78</v>
      </c>
      <c r="AL8" s="45">
        <v>7</v>
      </c>
      <c r="AM8" s="45">
        <v>9</v>
      </c>
      <c r="AN8" s="45">
        <v>1.2857142859999999</v>
      </c>
      <c r="AO8" s="45">
        <v>0.571428571</v>
      </c>
      <c r="AP8" s="45"/>
      <c r="AQ8" s="45"/>
      <c r="AR8" s="45"/>
    </row>
    <row r="9" spans="1:44" x14ac:dyDescent="0.35">
      <c r="A9">
        <v>3</v>
      </c>
      <c r="B9">
        <v>3</v>
      </c>
      <c r="C9">
        <v>3</v>
      </c>
      <c r="D9">
        <v>4</v>
      </c>
      <c r="E9">
        <v>2</v>
      </c>
      <c r="F9">
        <v>3</v>
      </c>
      <c r="G9">
        <v>1</v>
      </c>
      <c r="H9" s="25">
        <f t="shared" si="0"/>
        <v>3</v>
      </c>
      <c r="I9" s="25">
        <f t="shared" si="1"/>
        <v>3</v>
      </c>
      <c r="J9" s="25">
        <f t="shared" si="2"/>
        <v>3</v>
      </c>
      <c r="K9" s="25">
        <f t="shared" si="3"/>
        <v>2</v>
      </c>
      <c r="L9" s="25">
        <f t="shared" si="4"/>
        <v>4</v>
      </c>
      <c r="M9" s="25">
        <f t="shared" si="5"/>
        <v>3</v>
      </c>
      <c r="N9" s="25">
        <f t="shared" si="6"/>
        <v>1</v>
      </c>
      <c r="O9" s="32">
        <f t="shared" si="14"/>
        <v>-0.95700561253682881</v>
      </c>
      <c r="P9" s="32">
        <f t="shared" si="7"/>
        <v>-0.51458870665983425</v>
      </c>
      <c r="Q9" s="32">
        <f t="shared" si="8"/>
        <v>-1.0009496220281058</v>
      </c>
      <c r="R9" s="32">
        <f t="shared" si="9"/>
        <v>-1.453693149260562</v>
      </c>
      <c r="S9" s="32">
        <f t="shared" si="10"/>
        <v>2.4129647679270144E-2</v>
      </c>
      <c r="T9" s="32">
        <f t="shared" si="11"/>
        <v>-1.0625089558734409</v>
      </c>
      <c r="U9" s="32">
        <f t="shared" si="12"/>
        <v>-2.8115072628365891</v>
      </c>
      <c r="V9" s="37">
        <f t="shared" si="13"/>
        <v>-1.1108748087880129</v>
      </c>
      <c r="W9"/>
      <c r="Y9" s="7" t="s">
        <v>7</v>
      </c>
      <c r="Z9" s="7">
        <v>0.50982383720022695</v>
      </c>
      <c r="AA9" s="7">
        <v>0.24358869617179699</v>
      </c>
      <c r="AB9" s="7">
        <v>0.36110734346011097</v>
      </c>
      <c r="AC9" s="7">
        <v>0.34456271731543098</v>
      </c>
      <c r="AD9" s="7">
        <v>0.24089467154900601</v>
      </c>
      <c r="AE9" s="7">
        <v>0.59264882420182496</v>
      </c>
      <c r="AF9" s="7">
        <v>1</v>
      </c>
      <c r="AG9" s="7"/>
      <c r="AH9" s="7"/>
      <c r="AI9" s="7"/>
      <c r="AK9" s="45" t="s">
        <v>78</v>
      </c>
      <c r="AL9" s="45">
        <v>7</v>
      </c>
      <c r="AM9" s="45">
        <v>14</v>
      </c>
      <c r="AN9" s="45">
        <v>2</v>
      </c>
      <c r="AO9" s="45">
        <v>1.6666666670000001</v>
      </c>
      <c r="AP9" s="45"/>
      <c r="AQ9" s="45"/>
      <c r="AR9" s="45"/>
    </row>
    <row r="10" spans="1:44" x14ac:dyDescent="0.35">
      <c r="A10">
        <v>3</v>
      </c>
      <c r="B10">
        <v>4</v>
      </c>
      <c r="C10">
        <v>3</v>
      </c>
      <c r="D10">
        <v>4</v>
      </c>
      <c r="E10">
        <v>2</v>
      </c>
      <c r="F10">
        <v>3</v>
      </c>
      <c r="G10">
        <v>1</v>
      </c>
      <c r="H10" s="25">
        <f t="shared" si="0"/>
        <v>3</v>
      </c>
      <c r="I10" s="25">
        <f t="shared" si="1"/>
        <v>2</v>
      </c>
      <c r="J10" s="25">
        <f t="shared" si="2"/>
        <v>3</v>
      </c>
      <c r="K10" s="25">
        <f t="shared" si="3"/>
        <v>2</v>
      </c>
      <c r="L10" s="25">
        <f t="shared" si="4"/>
        <v>4</v>
      </c>
      <c r="M10" s="25">
        <f t="shared" si="5"/>
        <v>3</v>
      </c>
      <c r="N10" s="25">
        <f t="shared" si="6"/>
        <v>1</v>
      </c>
      <c r="O10" s="32">
        <f t="shared" si="14"/>
        <v>-0.95700561253682881</v>
      </c>
      <c r="P10" s="32">
        <f t="shared" si="7"/>
        <v>-1.2927857385104427</v>
      </c>
      <c r="Q10" s="32">
        <f t="shared" si="8"/>
        <v>-1.0009496220281058</v>
      </c>
      <c r="R10" s="32">
        <f t="shared" si="9"/>
        <v>-1.453693149260562</v>
      </c>
      <c r="S10" s="32">
        <f t="shared" si="10"/>
        <v>2.4129647679270144E-2</v>
      </c>
      <c r="T10" s="32">
        <f t="shared" si="11"/>
        <v>-1.0625089558734409</v>
      </c>
      <c r="U10" s="32">
        <f t="shared" si="12"/>
        <v>-2.8115072628365891</v>
      </c>
      <c r="V10" s="37">
        <f t="shared" si="13"/>
        <v>-1.2220458133381</v>
      </c>
      <c r="W10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K10" s="45" t="s">
        <v>78</v>
      </c>
      <c r="AL10" s="45">
        <v>7</v>
      </c>
      <c r="AM10" s="45">
        <v>16</v>
      </c>
      <c r="AN10" s="45">
        <v>2.2857142860000002</v>
      </c>
      <c r="AO10" s="45">
        <v>2.2380952380000001</v>
      </c>
      <c r="AP10" s="45"/>
      <c r="AQ10" s="45"/>
      <c r="AR10" s="45"/>
    </row>
    <row r="11" spans="1:44" x14ac:dyDescent="0.35">
      <c r="A11">
        <v>2</v>
      </c>
      <c r="B11">
        <v>2</v>
      </c>
      <c r="C11">
        <v>2</v>
      </c>
      <c r="D11">
        <v>5</v>
      </c>
      <c r="E11">
        <v>2</v>
      </c>
      <c r="F11">
        <v>3</v>
      </c>
      <c r="G11">
        <v>1</v>
      </c>
      <c r="H11" s="25">
        <f t="shared" si="0"/>
        <v>2</v>
      </c>
      <c r="I11" s="25">
        <f t="shared" si="1"/>
        <v>4</v>
      </c>
      <c r="J11" s="25">
        <f t="shared" si="2"/>
        <v>2</v>
      </c>
      <c r="K11" s="25">
        <f t="shared" si="3"/>
        <v>1</v>
      </c>
      <c r="L11" s="25">
        <f t="shared" si="4"/>
        <v>4</v>
      </c>
      <c r="M11" s="25">
        <f t="shared" si="5"/>
        <v>3</v>
      </c>
      <c r="N11" s="25">
        <f t="shared" si="6"/>
        <v>1</v>
      </c>
      <c r="O11" s="32">
        <f t="shared" si="14"/>
        <v>-1.8576097536123615</v>
      </c>
      <c r="P11" s="32">
        <f t="shared" si="7"/>
        <v>0.26360832519077404</v>
      </c>
      <c r="Q11" s="32">
        <f t="shared" si="8"/>
        <v>-1.904915094207053</v>
      </c>
      <c r="R11" s="32">
        <f t="shared" si="9"/>
        <v>-2.2884705377570564</v>
      </c>
      <c r="S11" s="32">
        <f t="shared" si="10"/>
        <v>2.4129647679270144E-2</v>
      </c>
      <c r="T11" s="32">
        <f t="shared" si="11"/>
        <v>-1.0625089558734409</v>
      </c>
      <c r="U11" s="32">
        <f t="shared" si="12"/>
        <v>-2.8115072628365891</v>
      </c>
      <c r="V11" s="37">
        <f t="shared" si="13"/>
        <v>-1.3767533759166368</v>
      </c>
      <c r="W11"/>
      <c r="Y11" s="7"/>
      <c r="Z11" s="10" t="s">
        <v>79</v>
      </c>
      <c r="AA11" s="10">
        <f>AVERAGE(Z4:Z9,AA5:AA9,AB6:AB9,AC7:AC9,AD8:AD9,AE9)</f>
        <v>0.332045807304781</v>
      </c>
      <c r="AB11" s="10"/>
      <c r="AC11" s="7"/>
      <c r="AD11" s="7"/>
      <c r="AE11" s="7"/>
      <c r="AF11" s="7"/>
      <c r="AG11" s="7"/>
      <c r="AH11" s="7"/>
      <c r="AI11" s="7"/>
      <c r="AK11" s="45" t="s">
        <v>78</v>
      </c>
      <c r="AL11" s="45">
        <v>7</v>
      </c>
      <c r="AM11" s="45">
        <v>7</v>
      </c>
      <c r="AN11" s="45">
        <v>1</v>
      </c>
      <c r="AO11" s="45">
        <v>0</v>
      </c>
      <c r="AP11" s="45"/>
      <c r="AQ11" s="45"/>
      <c r="AR11" s="45"/>
    </row>
    <row r="12" spans="1:44" x14ac:dyDescent="0.35">
      <c r="A12">
        <v>4</v>
      </c>
      <c r="B12">
        <v>3</v>
      </c>
      <c r="C12">
        <v>4</v>
      </c>
      <c r="D12">
        <v>3</v>
      </c>
      <c r="E12">
        <v>4</v>
      </c>
      <c r="F12">
        <v>3</v>
      </c>
      <c r="G12">
        <v>1</v>
      </c>
      <c r="H12" s="25">
        <f t="shared" si="0"/>
        <v>4</v>
      </c>
      <c r="I12" s="25">
        <f t="shared" si="1"/>
        <v>3</v>
      </c>
      <c r="J12" s="25">
        <f t="shared" si="2"/>
        <v>4</v>
      </c>
      <c r="K12" s="25">
        <f t="shared" si="3"/>
        <v>3</v>
      </c>
      <c r="L12" s="25">
        <f t="shared" si="4"/>
        <v>2</v>
      </c>
      <c r="M12" s="25">
        <f t="shared" si="5"/>
        <v>3</v>
      </c>
      <c r="N12" s="25">
        <f t="shared" si="6"/>
        <v>1</v>
      </c>
      <c r="O12" s="32">
        <f t="shared" si="14"/>
        <v>-5.6401471461296142E-2</v>
      </c>
      <c r="P12" s="32">
        <f t="shared" si="7"/>
        <v>-0.51458870665983425</v>
      </c>
      <c r="Q12" s="32">
        <f t="shared" si="8"/>
        <v>-9.6984149849158471E-2</v>
      </c>
      <c r="R12" s="32">
        <f t="shared" si="9"/>
        <v>-0.61891576076406762</v>
      </c>
      <c r="S12" s="32">
        <f t="shared" si="10"/>
        <v>-1.664945689869646</v>
      </c>
      <c r="T12" s="32">
        <f t="shared" si="11"/>
        <v>-1.0625089558734409</v>
      </c>
      <c r="U12" s="32">
        <f t="shared" si="12"/>
        <v>-2.8115072628365891</v>
      </c>
      <c r="V12" s="37">
        <f t="shared" si="13"/>
        <v>-0.97512171390200464</v>
      </c>
      <c r="W12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K12" s="45" t="s">
        <v>78</v>
      </c>
      <c r="AL12" s="45">
        <v>7</v>
      </c>
      <c r="AM12" s="45">
        <v>19</v>
      </c>
      <c r="AN12" s="45">
        <v>2.7142857139999998</v>
      </c>
      <c r="AO12" s="45">
        <v>0.90476190499999998</v>
      </c>
      <c r="AP12" s="45"/>
      <c r="AQ12" s="45"/>
      <c r="AR12" s="45"/>
    </row>
    <row r="13" spans="1:44" x14ac:dyDescent="0.35">
      <c r="A13">
        <v>1</v>
      </c>
      <c r="B13">
        <v>5</v>
      </c>
      <c r="C13">
        <v>1</v>
      </c>
      <c r="D13">
        <v>4</v>
      </c>
      <c r="E13">
        <v>4</v>
      </c>
      <c r="F13">
        <v>3</v>
      </c>
      <c r="G13">
        <v>1</v>
      </c>
      <c r="H13" s="25">
        <f t="shared" si="0"/>
        <v>1</v>
      </c>
      <c r="I13" s="25">
        <f t="shared" si="1"/>
        <v>1</v>
      </c>
      <c r="J13" s="25">
        <f t="shared" si="2"/>
        <v>1</v>
      </c>
      <c r="K13" s="25">
        <f t="shared" si="3"/>
        <v>2</v>
      </c>
      <c r="L13" s="25">
        <f t="shared" si="4"/>
        <v>2</v>
      </c>
      <c r="M13" s="25">
        <f t="shared" si="5"/>
        <v>3</v>
      </c>
      <c r="N13" s="25">
        <f t="shared" si="6"/>
        <v>1</v>
      </c>
      <c r="O13" s="32">
        <f t="shared" si="14"/>
        <v>-2.758213894687894</v>
      </c>
      <c r="P13" s="32">
        <f t="shared" si="7"/>
        <v>-2.0709827703610508</v>
      </c>
      <c r="Q13" s="32">
        <f t="shared" si="8"/>
        <v>-2.8088805663860001</v>
      </c>
      <c r="R13" s="32">
        <f t="shared" si="9"/>
        <v>-1.453693149260562</v>
      </c>
      <c r="S13" s="32">
        <f t="shared" si="10"/>
        <v>-1.664945689869646</v>
      </c>
      <c r="T13" s="32">
        <f t="shared" si="11"/>
        <v>-1.0625089558734409</v>
      </c>
      <c r="U13" s="32">
        <f t="shared" si="12"/>
        <v>-2.8115072628365891</v>
      </c>
      <c r="V13" s="37">
        <f t="shared" si="13"/>
        <v>-2.0901046127535974</v>
      </c>
      <c r="W13"/>
      <c r="Y13" t="s">
        <v>80</v>
      </c>
      <c r="Z13" t="s">
        <v>81</v>
      </c>
      <c r="AK13" s="45" t="s">
        <v>78</v>
      </c>
      <c r="AL13" s="45">
        <v>7</v>
      </c>
      <c r="AM13" s="45">
        <v>18</v>
      </c>
      <c r="AN13" s="45">
        <v>2.5714285710000002</v>
      </c>
      <c r="AO13" s="45">
        <v>0.95238095199999995</v>
      </c>
      <c r="AP13" s="45"/>
      <c r="AQ13" s="45"/>
      <c r="AR13" s="45"/>
    </row>
    <row r="14" spans="1:44" x14ac:dyDescent="0.35">
      <c r="A14">
        <v>4</v>
      </c>
      <c r="B14">
        <v>1</v>
      </c>
      <c r="C14">
        <v>4</v>
      </c>
      <c r="D14">
        <v>1</v>
      </c>
      <c r="E14">
        <v>1</v>
      </c>
      <c r="F14">
        <v>4</v>
      </c>
      <c r="G14">
        <v>1</v>
      </c>
      <c r="H14" s="25">
        <f t="shared" si="0"/>
        <v>4</v>
      </c>
      <c r="I14" s="25">
        <f t="shared" si="1"/>
        <v>5</v>
      </c>
      <c r="J14" s="25">
        <f t="shared" si="2"/>
        <v>4</v>
      </c>
      <c r="K14" s="25">
        <f t="shared" si="3"/>
        <v>5</v>
      </c>
      <c r="L14" s="25">
        <f t="shared" si="4"/>
        <v>5</v>
      </c>
      <c r="M14" s="25">
        <f t="shared" si="5"/>
        <v>4</v>
      </c>
      <c r="N14" s="25">
        <f t="shared" si="6"/>
        <v>1</v>
      </c>
      <c r="O14" s="32">
        <f t="shared" si="14"/>
        <v>-5.6401471461296142E-2</v>
      </c>
      <c r="P14" s="32">
        <f t="shared" si="7"/>
        <v>1.0418053570413823</v>
      </c>
      <c r="Q14" s="32">
        <f t="shared" si="8"/>
        <v>-9.6984149849158471E-2</v>
      </c>
      <c r="R14" s="32">
        <f t="shared" si="9"/>
        <v>1.0506390162289212</v>
      </c>
      <c r="S14" s="32">
        <f t="shared" si="10"/>
        <v>0.86866731645372819</v>
      </c>
      <c r="T14" s="32">
        <f t="shared" si="11"/>
        <v>-0.12522426979936985</v>
      </c>
      <c r="U14" s="32">
        <f t="shared" si="12"/>
        <v>-2.8115072628365891</v>
      </c>
      <c r="V14" s="37">
        <f t="shared" si="13"/>
        <v>-1.8429352031768875E-2</v>
      </c>
      <c r="W14"/>
      <c r="Y14" t="s">
        <v>82</v>
      </c>
      <c r="Z14" t="s">
        <v>83</v>
      </c>
      <c r="AK14" s="45" t="s">
        <v>78</v>
      </c>
      <c r="AL14" s="45">
        <v>7</v>
      </c>
      <c r="AM14" s="45">
        <v>17</v>
      </c>
      <c r="AN14" s="45">
        <v>2.4285714289999998</v>
      </c>
      <c r="AO14" s="45">
        <v>1.619047619</v>
      </c>
      <c r="AP14" s="45"/>
      <c r="AQ14" s="45"/>
      <c r="AR14" s="45"/>
    </row>
    <row r="15" spans="1:44" x14ac:dyDescent="0.35">
      <c r="A15">
        <v>4</v>
      </c>
      <c r="B15">
        <v>4</v>
      </c>
      <c r="C15">
        <v>2</v>
      </c>
      <c r="D15">
        <v>4</v>
      </c>
      <c r="E15">
        <v>4</v>
      </c>
      <c r="F15">
        <v>4</v>
      </c>
      <c r="G15">
        <v>1</v>
      </c>
      <c r="H15" s="25">
        <f t="shared" si="0"/>
        <v>4</v>
      </c>
      <c r="I15" s="25">
        <f t="shared" si="1"/>
        <v>2</v>
      </c>
      <c r="J15" s="25">
        <f t="shared" si="2"/>
        <v>2</v>
      </c>
      <c r="K15" s="25">
        <f t="shared" si="3"/>
        <v>2</v>
      </c>
      <c r="L15" s="25">
        <f t="shared" si="4"/>
        <v>2</v>
      </c>
      <c r="M15" s="25">
        <f t="shared" si="5"/>
        <v>4</v>
      </c>
      <c r="N15" s="25">
        <f t="shared" si="6"/>
        <v>1</v>
      </c>
      <c r="O15" s="32">
        <f t="shared" si="14"/>
        <v>-5.6401471461296142E-2</v>
      </c>
      <c r="P15" s="32">
        <f t="shared" si="7"/>
        <v>-1.2927857385104427</v>
      </c>
      <c r="Q15" s="32">
        <f t="shared" si="8"/>
        <v>-1.904915094207053</v>
      </c>
      <c r="R15" s="32">
        <f t="shared" si="9"/>
        <v>-1.453693149260562</v>
      </c>
      <c r="S15" s="32">
        <f t="shared" si="10"/>
        <v>-1.664945689869646</v>
      </c>
      <c r="T15" s="32">
        <f t="shared" si="11"/>
        <v>-0.12522426979936985</v>
      </c>
      <c r="U15" s="32">
        <f t="shared" si="12"/>
        <v>-2.8115072628365891</v>
      </c>
      <c r="V15" s="37">
        <f t="shared" si="13"/>
        <v>-1.329924667992137</v>
      </c>
      <c r="W15"/>
      <c r="Y15" t="s">
        <v>84</v>
      </c>
      <c r="Z15" t="s">
        <v>85</v>
      </c>
      <c r="AK15" s="45" t="s">
        <v>78</v>
      </c>
      <c r="AL15" s="45">
        <v>7</v>
      </c>
      <c r="AM15" s="45">
        <v>20</v>
      </c>
      <c r="AN15" s="45">
        <v>2.8571428569999999</v>
      </c>
      <c r="AO15" s="45">
        <v>1.1428571430000001</v>
      </c>
      <c r="AP15" s="45"/>
      <c r="AQ15" s="45"/>
      <c r="AR15" s="45"/>
    </row>
    <row r="16" spans="1:44" x14ac:dyDescent="0.35">
      <c r="A16">
        <v>4</v>
      </c>
      <c r="B16">
        <v>1</v>
      </c>
      <c r="C16">
        <v>1</v>
      </c>
      <c r="D16">
        <v>3</v>
      </c>
      <c r="E16">
        <v>1</v>
      </c>
      <c r="F16">
        <v>5</v>
      </c>
      <c r="G16">
        <v>1</v>
      </c>
      <c r="H16" s="25">
        <f t="shared" si="0"/>
        <v>4</v>
      </c>
      <c r="I16" s="25">
        <f t="shared" si="1"/>
        <v>5</v>
      </c>
      <c r="J16" s="25">
        <f t="shared" si="2"/>
        <v>1</v>
      </c>
      <c r="K16" s="25">
        <f t="shared" si="3"/>
        <v>3</v>
      </c>
      <c r="L16" s="25">
        <f t="shared" si="4"/>
        <v>5</v>
      </c>
      <c r="M16" s="25">
        <f t="shared" si="5"/>
        <v>5</v>
      </c>
      <c r="N16" s="25">
        <f t="shared" si="6"/>
        <v>1</v>
      </c>
      <c r="O16" s="32">
        <f t="shared" si="14"/>
        <v>-5.6401471461296142E-2</v>
      </c>
      <c r="P16" s="32">
        <f t="shared" si="7"/>
        <v>1.0418053570413823</v>
      </c>
      <c r="Q16" s="32">
        <f t="shared" si="8"/>
        <v>-2.8088805663860001</v>
      </c>
      <c r="R16" s="32">
        <f t="shared" si="9"/>
        <v>-0.61891576076406762</v>
      </c>
      <c r="S16" s="32">
        <f t="shared" si="10"/>
        <v>0.86866731645372819</v>
      </c>
      <c r="T16" s="32">
        <f t="shared" si="11"/>
        <v>0.81206041627470116</v>
      </c>
      <c r="U16" s="32">
        <f t="shared" si="12"/>
        <v>-2.8115072628365891</v>
      </c>
      <c r="V16" s="37">
        <f t="shared" si="13"/>
        <v>-0.51045313881116294</v>
      </c>
      <c r="W16"/>
      <c r="AK16" s="45" t="s">
        <v>78</v>
      </c>
      <c r="AL16" s="45">
        <v>7</v>
      </c>
      <c r="AM16" s="45">
        <v>11</v>
      </c>
      <c r="AN16" s="45">
        <v>1.571428571</v>
      </c>
      <c r="AO16" s="45">
        <v>0.61904761900000005</v>
      </c>
      <c r="AP16" s="45"/>
      <c r="AQ16" s="45"/>
      <c r="AR16" s="45"/>
    </row>
    <row r="17" spans="1:44" x14ac:dyDescent="0.35">
      <c r="A17">
        <v>3</v>
      </c>
      <c r="B17">
        <v>3</v>
      </c>
      <c r="C17">
        <v>2</v>
      </c>
      <c r="D17">
        <v>3</v>
      </c>
      <c r="E17">
        <v>1</v>
      </c>
      <c r="F17">
        <v>5</v>
      </c>
      <c r="G17">
        <v>1</v>
      </c>
      <c r="H17" s="25">
        <f t="shared" si="0"/>
        <v>3</v>
      </c>
      <c r="I17" s="25">
        <f t="shared" si="1"/>
        <v>3</v>
      </c>
      <c r="J17" s="25">
        <f t="shared" si="2"/>
        <v>2</v>
      </c>
      <c r="K17" s="25">
        <f t="shared" si="3"/>
        <v>3</v>
      </c>
      <c r="L17" s="25">
        <f t="shared" si="4"/>
        <v>5</v>
      </c>
      <c r="M17" s="25">
        <f t="shared" si="5"/>
        <v>5</v>
      </c>
      <c r="N17" s="25">
        <f t="shared" si="6"/>
        <v>1</v>
      </c>
      <c r="O17" s="32">
        <f t="shared" si="14"/>
        <v>-0.95700561253682881</v>
      </c>
      <c r="P17" s="32">
        <f t="shared" si="7"/>
        <v>-0.51458870665983425</v>
      </c>
      <c r="Q17" s="32">
        <f t="shared" si="8"/>
        <v>-1.904915094207053</v>
      </c>
      <c r="R17" s="32">
        <f t="shared" si="9"/>
        <v>-0.61891576076406762</v>
      </c>
      <c r="S17" s="32">
        <f t="shared" si="10"/>
        <v>0.86866731645372819</v>
      </c>
      <c r="T17" s="32">
        <f t="shared" si="11"/>
        <v>0.81206041627470116</v>
      </c>
      <c r="U17" s="32">
        <f t="shared" si="12"/>
        <v>-2.8115072628365891</v>
      </c>
      <c r="V17" s="37">
        <f t="shared" si="13"/>
        <v>-0.73231495775370625</v>
      </c>
      <c r="W17"/>
      <c r="Y17" s="5" t="s">
        <v>86</v>
      </c>
      <c r="Z17" s="5"/>
      <c r="AA17" s="5"/>
      <c r="AB17" s="5"/>
      <c r="AC17" s="36" t="s">
        <v>70</v>
      </c>
      <c r="AD17" s="5"/>
      <c r="AE17" s="5"/>
      <c r="AK17" s="45" t="s">
        <v>78</v>
      </c>
      <c r="AL17" s="45">
        <v>7</v>
      </c>
      <c r="AM17" s="45">
        <v>28</v>
      </c>
      <c r="AN17" s="45">
        <v>4</v>
      </c>
      <c r="AO17" s="45">
        <v>2</v>
      </c>
      <c r="AP17" s="45"/>
      <c r="AQ17" s="45"/>
      <c r="AR17" s="45"/>
    </row>
    <row r="18" spans="1:44" x14ac:dyDescent="0.35">
      <c r="A18">
        <v>5</v>
      </c>
      <c r="B18">
        <v>1</v>
      </c>
      <c r="C18">
        <v>4</v>
      </c>
      <c r="D18">
        <v>3</v>
      </c>
      <c r="E18">
        <v>1</v>
      </c>
      <c r="F18">
        <v>5</v>
      </c>
      <c r="G18">
        <v>1</v>
      </c>
      <c r="H18" s="25">
        <f t="shared" si="0"/>
        <v>5</v>
      </c>
      <c r="I18" s="25">
        <f t="shared" si="1"/>
        <v>5</v>
      </c>
      <c r="J18" s="25">
        <f t="shared" si="2"/>
        <v>4</v>
      </c>
      <c r="K18" s="25">
        <f t="shared" si="3"/>
        <v>3</v>
      </c>
      <c r="L18" s="25">
        <f t="shared" si="4"/>
        <v>5</v>
      </c>
      <c r="M18" s="25">
        <f t="shared" si="5"/>
        <v>5</v>
      </c>
      <c r="N18" s="25">
        <f t="shared" si="6"/>
        <v>1</v>
      </c>
      <c r="O18" s="32">
        <f t="shared" si="14"/>
        <v>0.84420266961423651</v>
      </c>
      <c r="P18" s="32">
        <f t="shared" si="7"/>
        <v>1.0418053570413823</v>
      </c>
      <c r="Q18" s="32">
        <f t="shared" si="8"/>
        <v>-9.6984149849158471E-2</v>
      </c>
      <c r="R18" s="32">
        <f t="shared" si="9"/>
        <v>-0.61891576076406762</v>
      </c>
      <c r="S18" s="32">
        <f t="shared" si="10"/>
        <v>0.86866731645372819</v>
      </c>
      <c r="T18" s="32">
        <f t="shared" si="11"/>
        <v>0.81206041627470116</v>
      </c>
      <c r="U18" s="32">
        <f t="shared" si="12"/>
        <v>-2.8115072628365891</v>
      </c>
      <c r="V18" s="37">
        <f t="shared" si="13"/>
        <v>5.6183694191761346E-3</v>
      </c>
      <c r="W18"/>
      <c r="Y18" s="11" t="s">
        <v>1</v>
      </c>
      <c r="Z18" s="11" t="s">
        <v>2</v>
      </c>
      <c r="AA18" s="11" t="s">
        <v>3</v>
      </c>
      <c r="AB18" s="11" t="s">
        <v>4</v>
      </c>
      <c r="AC18" s="11" t="s">
        <v>5</v>
      </c>
      <c r="AD18" s="11" t="s">
        <v>6</v>
      </c>
      <c r="AE18" s="11" t="s">
        <v>7</v>
      </c>
      <c r="AK18" s="45" t="s">
        <v>78</v>
      </c>
      <c r="AL18" s="45">
        <v>7</v>
      </c>
      <c r="AM18" s="45">
        <v>17</v>
      </c>
      <c r="AN18" s="45">
        <v>2.4285714289999998</v>
      </c>
      <c r="AO18" s="45">
        <v>1.2857142859999999</v>
      </c>
      <c r="AP18" s="45"/>
      <c r="AQ18" s="45"/>
      <c r="AR18" s="45"/>
    </row>
    <row r="19" spans="1:44" x14ac:dyDescent="0.35">
      <c r="A19">
        <v>5</v>
      </c>
      <c r="B19">
        <v>5</v>
      </c>
      <c r="C19">
        <v>5</v>
      </c>
      <c r="D19">
        <v>4</v>
      </c>
      <c r="E19">
        <v>1</v>
      </c>
      <c r="F19">
        <v>5</v>
      </c>
      <c r="G19">
        <v>1</v>
      </c>
      <c r="H19" s="25">
        <f t="shared" si="0"/>
        <v>5</v>
      </c>
      <c r="I19" s="25">
        <f t="shared" si="1"/>
        <v>1</v>
      </c>
      <c r="J19" s="25">
        <f t="shared" si="2"/>
        <v>5</v>
      </c>
      <c r="K19" s="25">
        <f t="shared" si="3"/>
        <v>2</v>
      </c>
      <c r="L19" s="25">
        <f t="shared" si="4"/>
        <v>5</v>
      </c>
      <c r="M19" s="25">
        <f t="shared" si="5"/>
        <v>5</v>
      </c>
      <c r="N19" s="25">
        <f t="shared" si="6"/>
        <v>1</v>
      </c>
      <c r="O19" s="32">
        <f t="shared" si="14"/>
        <v>0.84420266961423651</v>
      </c>
      <c r="P19" s="32">
        <f t="shared" si="7"/>
        <v>-2.0709827703610508</v>
      </c>
      <c r="Q19" s="32">
        <f t="shared" si="8"/>
        <v>0.80698132232978881</v>
      </c>
      <c r="R19" s="32">
        <f t="shared" si="9"/>
        <v>-1.453693149260562</v>
      </c>
      <c r="S19" s="32">
        <f t="shared" si="10"/>
        <v>0.86866731645372819</v>
      </c>
      <c r="T19" s="32">
        <f t="shared" si="11"/>
        <v>0.81206041627470116</v>
      </c>
      <c r="U19" s="32">
        <f t="shared" si="12"/>
        <v>-2.8115072628365891</v>
      </c>
      <c r="V19" s="37">
        <f t="shared" si="13"/>
        <v>-0.42918163682653532</v>
      </c>
      <c r="W19"/>
      <c r="Y19" s="11">
        <f>CORREL(O2:O490,$V2:$V490)</f>
        <v>0.68860961136600363</v>
      </c>
      <c r="Z19" s="11">
        <f t="shared" ref="Z19:AE19" si="15">CORREL(P2:P490,$V2:$V490)</f>
        <v>0.54542513126328207</v>
      </c>
      <c r="AA19" s="11">
        <f t="shared" si="15"/>
        <v>0.62881905459281739</v>
      </c>
      <c r="AB19" s="11">
        <f t="shared" si="15"/>
        <v>0.65724421319687298</v>
      </c>
      <c r="AC19" s="11">
        <f t="shared" si="15"/>
        <v>0.61959903564508589</v>
      </c>
      <c r="AD19" s="11">
        <f t="shared" si="15"/>
        <v>0.71725164434159894</v>
      </c>
      <c r="AE19" s="11">
        <f t="shared" si="15"/>
        <v>0.7197215636763058</v>
      </c>
      <c r="AK19" s="45" t="s">
        <v>78</v>
      </c>
      <c r="AL19" s="45">
        <v>7</v>
      </c>
      <c r="AM19" s="45">
        <v>24</v>
      </c>
      <c r="AN19" s="45">
        <v>3.4285714289999998</v>
      </c>
      <c r="AO19" s="45">
        <v>3.2857142860000002</v>
      </c>
      <c r="AP19" s="45"/>
      <c r="AQ19" s="45"/>
      <c r="AR19" s="45"/>
    </row>
    <row r="20" spans="1:44" x14ac:dyDescent="0.35">
      <c r="A20">
        <v>3</v>
      </c>
      <c r="B20">
        <v>3</v>
      </c>
      <c r="C20">
        <v>1</v>
      </c>
      <c r="D20">
        <v>1</v>
      </c>
      <c r="E20">
        <v>3</v>
      </c>
      <c r="F20">
        <v>1</v>
      </c>
      <c r="G20">
        <v>2</v>
      </c>
      <c r="H20" s="25">
        <f t="shared" si="0"/>
        <v>3</v>
      </c>
      <c r="I20" s="25">
        <f t="shared" si="1"/>
        <v>3</v>
      </c>
      <c r="J20" s="25">
        <f t="shared" si="2"/>
        <v>1</v>
      </c>
      <c r="K20" s="25">
        <f t="shared" si="3"/>
        <v>5</v>
      </c>
      <c r="L20" s="25">
        <f t="shared" si="4"/>
        <v>3</v>
      </c>
      <c r="M20" s="25">
        <f t="shared" si="5"/>
        <v>1</v>
      </c>
      <c r="N20" s="25">
        <f t="shared" si="6"/>
        <v>2</v>
      </c>
      <c r="O20" s="32">
        <f t="shared" si="14"/>
        <v>-0.95700561253682881</v>
      </c>
      <c r="P20" s="32">
        <f t="shared" si="7"/>
        <v>-0.51458870665983425</v>
      </c>
      <c r="Q20" s="32">
        <f t="shared" si="8"/>
        <v>-2.8088805663860001</v>
      </c>
      <c r="R20" s="32">
        <f t="shared" si="9"/>
        <v>1.0506390162289212</v>
      </c>
      <c r="S20" s="32">
        <f t="shared" si="10"/>
        <v>-0.82040802109518784</v>
      </c>
      <c r="T20" s="32">
        <f t="shared" si="11"/>
        <v>-2.9370783280215829</v>
      </c>
      <c r="U20" s="32">
        <f t="shared" si="12"/>
        <v>-1.9072213011055226</v>
      </c>
      <c r="V20" s="37">
        <f t="shared" si="13"/>
        <v>-1.2706490742251479</v>
      </c>
      <c r="W20"/>
      <c r="Y20" s="11"/>
      <c r="Z20" s="11"/>
      <c r="AA20" s="11"/>
      <c r="AB20" s="11"/>
      <c r="AC20" s="11"/>
      <c r="AD20" s="11"/>
      <c r="AE20" s="11"/>
      <c r="AK20" s="45" t="s">
        <v>78</v>
      </c>
      <c r="AL20" s="45">
        <v>7</v>
      </c>
      <c r="AM20" s="45">
        <v>22</v>
      </c>
      <c r="AN20" s="45">
        <v>3.1428571430000001</v>
      </c>
      <c r="AO20" s="45">
        <v>2.1428571430000001</v>
      </c>
      <c r="AP20" s="45"/>
      <c r="AQ20" s="45"/>
      <c r="AR20" s="45"/>
    </row>
    <row r="21" spans="1:44" x14ac:dyDescent="0.35">
      <c r="A21">
        <v>1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 s="25">
        <f t="shared" si="0"/>
        <v>1</v>
      </c>
      <c r="I21" s="25">
        <f t="shared" si="1"/>
        <v>4</v>
      </c>
      <c r="J21" s="25">
        <f t="shared" si="2"/>
        <v>2</v>
      </c>
      <c r="K21" s="25">
        <f t="shared" si="3"/>
        <v>4</v>
      </c>
      <c r="L21" s="25">
        <f t="shared" si="4"/>
        <v>4</v>
      </c>
      <c r="M21" s="25">
        <f t="shared" si="5"/>
        <v>2</v>
      </c>
      <c r="N21" s="25">
        <f t="shared" si="6"/>
        <v>2</v>
      </c>
      <c r="O21" s="32">
        <f t="shared" si="14"/>
        <v>-2.758213894687894</v>
      </c>
      <c r="P21" s="32">
        <f t="shared" si="7"/>
        <v>0.26360832519077404</v>
      </c>
      <c r="Q21" s="32">
        <f t="shared" si="8"/>
        <v>-1.904915094207053</v>
      </c>
      <c r="R21" s="32">
        <f t="shared" si="9"/>
        <v>0.21586162773242673</v>
      </c>
      <c r="S21" s="32">
        <f t="shared" si="10"/>
        <v>2.4129647679270144E-2</v>
      </c>
      <c r="T21" s="32">
        <f t="shared" si="11"/>
        <v>-1.9997936419475117</v>
      </c>
      <c r="U21" s="32">
        <f t="shared" si="12"/>
        <v>-1.9072213011055226</v>
      </c>
      <c r="V21" s="37">
        <f t="shared" si="13"/>
        <v>-1.1523634759065016</v>
      </c>
      <c r="W21"/>
      <c r="Y21" s="13" t="s">
        <v>79</v>
      </c>
      <c r="Z21" s="13"/>
      <c r="AA21" s="13">
        <f>AVERAGE(Y19:AE19)</f>
        <v>0.65381003629742374</v>
      </c>
      <c r="AB21" s="13"/>
      <c r="AC21" s="13"/>
      <c r="AD21" s="13"/>
      <c r="AE21" s="13"/>
      <c r="AK21" s="45" t="s">
        <v>78</v>
      </c>
      <c r="AL21" s="45">
        <v>7</v>
      </c>
      <c r="AM21" s="45">
        <v>28</v>
      </c>
      <c r="AN21" s="45">
        <v>4</v>
      </c>
      <c r="AO21" s="45">
        <v>2.3333333330000001</v>
      </c>
      <c r="AP21" s="45"/>
      <c r="AQ21" s="45"/>
      <c r="AR21" s="45"/>
    </row>
    <row r="22" spans="1:44" x14ac:dyDescent="0.35">
      <c r="A22">
        <v>2</v>
      </c>
      <c r="B22">
        <v>4</v>
      </c>
      <c r="C22">
        <v>4</v>
      </c>
      <c r="D22">
        <v>3</v>
      </c>
      <c r="E22">
        <v>2</v>
      </c>
      <c r="F22">
        <v>2</v>
      </c>
      <c r="G22">
        <v>2</v>
      </c>
      <c r="H22" s="25">
        <f t="shared" si="0"/>
        <v>2</v>
      </c>
      <c r="I22" s="25">
        <f t="shared" si="1"/>
        <v>2</v>
      </c>
      <c r="J22" s="25">
        <f t="shared" si="2"/>
        <v>4</v>
      </c>
      <c r="K22" s="25">
        <f t="shared" si="3"/>
        <v>3</v>
      </c>
      <c r="L22" s="25">
        <f t="shared" si="4"/>
        <v>4</v>
      </c>
      <c r="M22" s="25">
        <f t="shared" si="5"/>
        <v>2</v>
      </c>
      <c r="N22" s="25">
        <f t="shared" si="6"/>
        <v>2</v>
      </c>
      <c r="O22" s="32">
        <f t="shared" si="14"/>
        <v>-1.8576097536123615</v>
      </c>
      <c r="P22" s="32">
        <f t="shared" si="7"/>
        <v>-1.2927857385104427</v>
      </c>
      <c r="Q22" s="32">
        <f t="shared" si="8"/>
        <v>-9.6984149849158471E-2</v>
      </c>
      <c r="R22" s="32">
        <f t="shared" si="9"/>
        <v>-0.61891576076406762</v>
      </c>
      <c r="S22" s="32">
        <f t="shared" si="10"/>
        <v>2.4129647679270144E-2</v>
      </c>
      <c r="T22" s="32">
        <f t="shared" si="11"/>
        <v>-1.9997936419475117</v>
      </c>
      <c r="U22" s="32">
        <f t="shared" si="12"/>
        <v>-1.9072213011055226</v>
      </c>
      <c r="V22" s="37">
        <f t="shared" si="13"/>
        <v>-1.107025814015685</v>
      </c>
      <c r="W22"/>
      <c r="Y22" t="s">
        <v>80</v>
      </c>
      <c r="Z22" t="s">
        <v>81</v>
      </c>
      <c r="AK22" s="45" t="s">
        <v>78</v>
      </c>
      <c r="AL22" s="45">
        <v>7</v>
      </c>
      <c r="AM22" s="45">
        <v>24</v>
      </c>
      <c r="AN22" s="45">
        <v>3.4285714289999998</v>
      </c>
      <c r="AO22" s="45">
        <v>3.9523809519999999</v>
      </c>
      <c r="AP22" s="45"/>
      <c r="AQ22" s="45"/>
      <c r="AR22" s="45"/>
    </row>
    <row r="23" spans="1:44" x14ac:dyDescent="0.35">
      <c r="A23">
        <v>4</v>
      </c>
      <c r="B23">
        <v>3</v>
      </c>
      <c r="C23">
        <v>2</v>
      </c>
      <c r="D23">
        <v>2</v>
      </c>
      <c r="E23">
        <v>3</v>
      </c>
      <c r="F23">
        <v>2</v>
      </c>
      <c r="G23">
        <v>2</v>
      </c>
      <c r="H23" s="25">
        <f t="shared" si="0"/>
        <v>4</v>
      </c>
      <c r="I23" s="25">
        <f t="shared" si="1"/>
        <v>3</v>
      </c>
      <c r="J23" s="25">
        <f t="shared" si="2"/>
        <v>2</v>
      </c>
      <c r="K23" s="25">
        <f t="shared" si="3"/>
        <v>4</v>
      </c>
      <c r="L23" s="25">
        <f t="shared" si="4"/>
        <v>3</v>
      </c>
      <c r="M23" s="25">
        <f t="shared" si="5"/>
        <v>2</v>
      </c>
      <c r="N23" s="25">
        <f t="shared" si="6"/>
        <v>2</v>
      </c>
      <c r="O23" s="32">
        <f t="shared" si="14"/>
        <v>-5.6401471461296142E-2</v>
      </c>
      <c r="P23" s="32">
        <f t="shared" si="7"/>
        <v>-0.51458870665983425</v>
      </c>
      <c r="Q23" s="32">
        <f t="shared" si="8"/>
        <v>-1.904915094207053</v>
      </c>
      <c r="R23" s="32">
        <f t="shared" si="9"/>
        <v>0.21586162773242673</v>
      </c>
      <c r="S23" s="32">
        <f t="shared" si="10"/>
        <v>-0.82040802109518784</v>
      </c>
      <c r="T23" s="32">
        <f t="shared" si="11"/>
        <v>-1.9997936419475117</v>
      </c>
      <c r="U23" s="32">
        <f t="shared" si="12"/>
        <v>-1.9072213011055226</v>
      </c>
      <c r="V23" s="37">
        <f t="shared" si="13"/>
        <v>-0.99820951553485404</v>
      </c>
      <c r="W23"/>
      <c r="Y23" t="s">
        <v>82</v>
      </c>
      <c r="Z23" t="s">
        <v>87</v>
      </c>
      <c r="AK23" s="45" t="s">
        <v>78</v>
      </c>
      <c r="AL23" s="45">
        <v>7</v>
      </c>
      <c r="AM23" s="45">
        <v>18</v>
      </c>
      <c r="AN23" s="45">
        <v>2.5714285710000002</v>
      </c>
      <c r="AO23" s="45">
        <v>1.9523809519999999</v>
      </c>
      <c r="AP23" s="45"/>
      <c r="AQ23" s="45"/>
      <c r="AR23" s="45"/>
    </row>
    <row r="24" spans="1:44" x14ac:dyDescent="0.35">
      <c r="A24">
        <v>2</v>
      </c>
      <c r="B24">
        <v>2</v>
      </c>
      <c r="C24">
        <v>3</v>
      </c>
      <c r="D24">
        <v>2</v>
      </c>
      <c r="E24">
        <v>3</v>
      </c>
      <c r="F24">
        <v>2</v>
      </c>
      <c r="G24">
        <v>2</v>
      </c>
      <c r="H24" s="25">
        <f t="shared" si="0"/>
        <v>2</v>
      </c>
      <c r="I24" s="25">
        <f t="shared" si="1"/>
        <v>4</v>
      </c>
      <c r="J24" s="25">
        <f t="shared" si="2"/>
        <v>3</v>
      </c>
      <c r="K24" s="25">
        <f t="shared" si="3"/>
        <v>4</v>
      </c>
      <c r="L24" s="25">
        <f t="shared" si="4"/>
        <v>3</v>
      </c>
      <c r="M24" s="25">
        <f t="shared" si="5"/>
        <v>2</v>
      </c>
      <c r="N24" s="25">
        <f t="shared" si="6"/>
        <v>2</v>
      </c>
      <c r="O24" s="32">
        <f t="shared" si="14"/>
        <v>-1.8576097536123615</v>
      </c>
      <c r="P24" s="32">
        <f t="shared" si="7"/>
        <v>0.26360832519077404</v>
      </c>
      <c r="Q24" s="32">
        <f t="shared" si="8"/>
        <v>-1.0009496220281058</v>
      </c>
      <c r="R24" s="32">
        <f t="shared" si="9"/>
        <v>0.21586162773242673</v>
      </c>
      <c r="S24" s="32">
        <f t="shared" si="10"/>
        <v>-0.82040802109518784</v>
      </c>
      <c r="T24" s="32">
        <f t="shared" si="11"/>
        <v>-1.9997936419475117</v>
      </c>
      <c r="U24" s="32">
        <f t="shared" si="12"/>
        <v>-1.9072213011055226</v>
      </c>
      <c r="V24" s="37">
        <f t="shared" si="13"/>
        <v>-1.0152160552664984</v>
      </c>
      <c r="W24"/>
      <c r="Y24" t="s">
        <v>88</v>
      </c>
      <c r="Z24" t="s">
        <v>89</v>
      </c>
      <c r="AK24" s="45" t="s">
        <v>78</v>
      </c>
      <c r="AL24" s="45">
        <v>7</v>
      </c>
      <c r="AM24" s="45">
        <v>19</v>
      </c>
      <c r="AN24" s="45">
        <v>2.7142857139999998</v>
      </c>
      <c r="AO24" s="45">
        <v>1.571428571</v>
      </c>
      <c r="AP24" s="45"/>
      <c r="AQ24" s="45"/>
      <c r="AR24" s="45"/>
    </row>
    <row r="25" spans="1:44" x14ac:dyDescent="0.35">
      <c r="A25">
        <v>2</v>
      </c>
      <c r="B25">
        <v>3</v>
      </c>
      <c r="C25">
        <v>3</v>
      </c>
      <c r="D25">
        <v>3</v>
      </c>
      <c r="E25">
        <v>3</v>
      </c>
      <c r="F25">
        <v>2</v>
      </c>
      <c r="G25">
        <v>2</v>
      </c>
      <c r="H25" s="25">
        <f t="shared" si="0"/>
        <v>2</v>
      </c>
      <c r="I25" s="25">
        <f t="shared" si="1"/>
        <v>3</v>
      </c>
      <c r="J25" s="25">
        <f t="shared" si="2"/>
        <v>3</v>
      </c>
      <c r="K25" s="25">
        <f t="shared" si="3"/>
        <v>3</v>
      </c>
      <c r="L25" s="25">
        <f t="shared" si="4"/>
        <v>3</v>
      </c>
      <c r="M25" s="25">
        <f t="shared" si="5"/>
        <v>2</v>
      </c>
      <c r="N25" s="25">
        <f t="shared" si="6"/>
        <v>2</v>
      </c>
      <c r="O25" s="32">
        <f t="shared" si="14"/>
        <v>-1.8576097536123615</v>
      </c>
      <c r="P25" s="32">
        <f t="shared" si="7"/>
        <v>-0.51458870665983425</v>
      </c>
      <c r="Q25" s="32">
        <f t="shared" si="8"/>
        <v>-1.0009496220281058</v>
      </c>
      <c r="R25" s="32">
        <f t="shared" si="9"/>
        <v>-0.61891576076406762</v>
      </c>
      <c r="S25" s="32">
        <f t="shared" si="10"/>
        <v>-0.82040802109518784</v>
      </c>
      <c r="T25" s="32">
        <f t="shared" si="11"/>
        <v>-1.9997936419475117</v>
      </c>
      <c r="U25" s="32">
        <f t="shared" si="12"/>
        <v>-1.9072213011055226</v>
      </c>
      <c r="V25" s="37">
        <f t="shared" si="13"/>
        <v>-1.2456409724589415</v>
      </c>
      <c r="W25"/>
      <c r="AK25" s="45" t="s">
        <v>78</v>
      </c>
      <c r="AL25" s="45">
        <v>7</v>
      </c>
      <c r="AM25" s="45">
        <v>19</v>
      </c>
      <c r="AN25" s="45">
        <v>2.7142857139999998</v>
      </c>
      <c r="AO25" s="45">
        <v>0.90476190499999998</v>
      </c>
      <c r="AP25" s="45"/>
      <c r="AQ25" s="45"/>
      <c r="AR25" s="45"/>
    </row>
    <row r="26" spans="1:44" x14ac:dyDescent="0.35">
      <c r="A26">
        <v>2</v>
      </c>
      <c r="B26">
        <v>3</v>
      </c>
      <c r="C26">
        <v>3</v>
      </c>
      <c r="D26">
        <v>3</v>
      </c>
      <c r="E26">
        <v>3</v>
      </c>
      <c r="F26">
        <v>2</v>
      </c>
      <c r="G26">
        <v>2</v>
      </c>
      <c r="H26" s="25">
        <f t="shared" si="0"/>
        <v>2</v>
      </c>
      <c r="I26" s="25">
        <f t="shared" si="1"/>
        <v>3</v>
      </c>
      <c r="J26" s="25">
        <f t="shared" si="2"/>
        <v>3</v>
      </c>
      <c r="K26" s="25">
        <f t="shared" si="3"/>
        <v>3</v>
      </c>
      <c r="L26" s="25">
        <f t="shared" si="4"/>
        <v>3</v>
      </c>
      <c r="M26" s="25">
        <f t="shared" si="5"/>
        <v>2</v>
      </c>
      <c r="N26" s="25">
        <f t="shared" si="6"/>
        <v>2</v>
      </c>
      <c r="O26" s="32">
        <f t="shared" si="14"/>
        <v>-1.8576097536123615</v>
      </c>
      <c r="P26" s="32">
        <f t="shared" si="7"/>
        <v>-0.51458870665983425</v>
      </c>
      <c r="Q26" s="32">
        <f t="shared" si="8"/>
        <v>-1.0009496220281058</v>
      </c>
      <c r="R26" s="32">
        <f t="shared" si="9"/>
        <v>-0.61891576076406762</v>
      </c>
      <c r="S26" s="32">
        <f t="shared" si="10"/>
        <v>-0.82040802109518784</v>
      </c>
      <c r="T26" s="32">
        <f t="shared" si="11"/>
        <v>-1.9997936419475117</v>
      </c>
      <c r="U26" s="32">
        <f t="shared" si="12"/>
        <v>-1.9072213011055226</v>
      </c>
      <c r="V26" s="37">
        <f t="shared" si="13"/>
        <v>-1.2456409724589415</v>
      </c>
      <c r="W26"/>
      <c r="AK26" s="45" t="s">
        <v>78</v>
      </c>
      <c r="AL26" s="45">
        <v>7</v>
      </c>
      <c r="AM26" s="45">
        <v>20</v>
      </c>
      <c r="AN26" s="45">
        <v>2.8571428569999999</v>
      </c>
      <c r="AO26" s="45">
        <v>0.80952380999999995</v>
      </c>
      <c r="AP26" s="45"/>
      <c r="AQ26" s="45"/>
      <c r="AR26" s="45"/>
    </row>
    <row r="27" spans="1:44" x14ac:dyDescent="0.35">
      <c r="A27">
        <v>3</v>
      </c>
      <c r="B27">
        <v>3</v>
      </c>
      <c r="C27">
        <v>4</v>
      </c>
      <c r="D27">
        <v>3</v>
      </c>
      <c r="E27">
        <v>3</v>
      </c>
      <c r="F27">
        <v>2</v>
      </c>
      <c r="G27">
        <v>2</v>
      </c>
      <c r="H27" s="25">
        <f t="shared" si="0"/>
        <v>3</v>
      </c>
      <c r="I27" s="25">
        <f t="shared" si="1"/>
        <v>3</v>
      </c>
      <c r="J27" s="25">
        <f t="shared" si="2"/>
        <v>4</v>
      </c>
      <c r="K27" s="25">
        <f t="shared" si="3"/>
        <v>3</v>
      </c>
      <c r="L27" s="25">
        <f t="shared" si="4"/>
        <v>3</v>
      </c>
      <c r="M27" s="25">
        <f t="shared" si="5"/>
        <v>2</v>
      </c>
      <c r="N27" s="25">
        <f t="shared" si="6"/>
        <v>2</v>
      </c>
      <c r="O27" s="32">
        <f t="shared" si="14"/>
        <v>-0.95700561253682881</v>
      </c>
      <c r="P27" s="32">
        <f t="shared" si="7"/>
        <v>-0.51458870665983425</v>
      </c>
      <c r="Q27" s="32">
        <f t="shared" si="8"/>
        <v>-9.6984149849158471E-2</v>
      </c>
      <c r="R27" s="32">
        <f t="shared" si="9"/>
        <v>-0.61891576076406762</v>
      </c>
      <c r="S27" s="32">
        <f t="shared" si="10"/>
        <v>-0.82040802109518784</v>
      </c>
      <c r="T27" s="32">
        <f t="shared" si="11"/>
        <v>-1.9997936419475117</v>
      </c>
      <c r="U27" s="32">
        <f t="shared" si="12"/>
        <v>-1.9072213011055226</v>
      </c>
      <c r="V27" s="37">
        <f t="shared" si="13"/>
        <v>-0.9878453134225873</v>
      </c>
      <c r="W27"/>
      <c r="AK27" s="45" t="s">
        <v>78</v>
      </c>
      <c r="AL27" s="45">
        <v>7</v>
      </c>
      <c r="AM27" s="45">
        <v>20</v>
      </c>
      <c r="AN27" s="45">
        <v>2.8571428569999999</v>
      </c>
      <c r="AO27" s="45">
        <v>0.80952380999999995</v>
      </c>
      <c r="AP27" s="45"/>
      <c r="AQ27" s="45"/>
      <c r="AR27" s="45"/>
    </row>
    <row r="28" spans="1:44" x14ac:dyDescent="0.35">
      <c r="A28">
        <v>3</v>
      </c>
      <c r="B28">
        <v>3</v>
      </c>
      <c r="C28">
        <v>2</v>
      </c>
      <c r="D28">
        <v>4</v>
      </c>
      <c r="E28">
        <v>3</v>
      </c>
      <c r="F28">
        <v>2</v>
      </c>
      <c r="G28">
        <v>2</v>
      </c>
      <c r="H28" s="25">
        <f t="shared" si="0"/>
        <v>3</v>
      </c>
      <c r="I28" s="25">
        <f t="shared" si="1"/>
        <v>3</v>
      </c>
      <c r="J28" s="25">
        <f t="shared" si="2"/>
        <v>2</v>
      </c>
      <c r="K28" s="25">
        <f t="shared" si="3"/>
        <v>2</v>
      </c>
      <c r="L28" s="25">
        <f t="shared" si="4"/>
        <v>3</v>
      </c>
      <c r="M28" s="25">
        <f t="shared" si="5"/>
        <v>2</v>
      </c>
      <c r="N28" s="25">
        <f t="shared" si="6"/>
        <v>2</v>
      </c>
      <c r="O28" s="32">
        <f t="shared" si="14"/>
        <v>-0.95700561253682881</v>
      </c>
      <c r="P28" s="32">
        <f t="shared" si="7"/>
        <v>-0.51458870665983425</v>
      </c>
      <c r="Q28" s="32">
        <f t="shared" si="8"/>
        <v>-1.904915094207053</v>
      </c>
      <c r="R28" s="32">
        <f t="shared" si="9"/>
        <v>-1.453693149260562</v>
      </c>
      <c r="S28" s="32">
        <f t="shared" si="10"/>
        <v>-0.82040802109518784</v>
      </c>
      <c r="T28" s="32">
        <f t="shared" si="11"/>
        <v>-1.9997936419475117</v>
      </c>
      <c r="U28" s="32">
        <f t="shared" si="12"/>
        <v>-1.9072213011055226</v>
      </c>
      <c r="V28" s="37">
        <f t="shared" si="13"/>
        <v>-1.3653750752589286</v>
      </c>
      <c r="W28"/>
      <c r="AK28" s="45" t="s">
        <v>78</v>
      </c>
      <c r="AL28" s="45">
        <v>7</v>
      </c>
      <c r="AM28" s="45">
        <v>18</v>
      </c>
      <c r="AN28" s="45">
        <v>2.5714285710000002</v>
      </c>
      <c r="AO28" s="45">
        <v>0.28571428599999998</v>
      </c>
      <c r="AP28" s="45"/>
      <c r="AQ28" s="45"/>
      <c r="AR28" s="45"/>
    </row>
    <row r="29" spans="1:44" x14ac:dyDescent="0.35">
      <c r="A29">
        <v>4</v>
      </c>
      <c r="B29">
        <v>2</v>
      </c>
      <c r="C29">
        <v>5</v>
      </c>
      <c r="D29">
        <v>2</v>
      </c>
      <c r="E29">
        <v>1</v>
      </c>
      <c r="F29">
        <v>3</v>
      </c>
      <c r="G29">
        <v>2</v>
      </c>
      <c r="H29" s="25">
        <f t="shared" si="0"/>
        <v>4</v>
      </c>
      <c r="I29" s="25">
        <f t="shared" si="1"/>
        <v>4</v>
      </c>
      <c r="J29" s="25">
        <f t="shared" si="2"/>
        <v>5</v>
      </c>
      <c r="K29" s="25">
        <f t="shared" si="3"/>
        <v>4</v>
      </c>
      <c r="L29" s="25">
        <f t="shared" si="4"/>
        <v>5</v>
      </c>
      <c r="M29" s="25">
        <f t="shared" si="5"/>
        <v>3</v>
      </c>
      <c r="N29" s="25">
        <f t="shared" si="6"/>
        <v>2</v>
      </c>
      <c r="O29" s="32">
        <f t="shared" si="14"/>
        <v>-5.6401471461296142E-2</v>
      </c>
      <c r="P29" s="32">
        <f t="shared" si="7"/>
        <v>0.26360832519077404</v>
      </c>
      <c r="Q29" s="32">
        <f t="shared" si="8"/>
        <v>0.80698132232978881</v>
      </c>
      <c r="R29" s="32">
        <f t="shared" si="9"/>
        <v>0.21586162773242673</v>
      </c>
      <c r="S29" s="32">
        <f t="shared" si="10"/>
        <v>0.86866731645372819</v>
      </c>
      <c r="T29" s="32">
        <f t="shared" si="11"/>
        <v>-1.0625089558734409</v>
      </c>
      <c r="U29" s="32">
        <f t="shared" si="12"/>
        <v>-1.9072213011055226</v>
      </c>
      <c r="V29" s="37">
        <f t="shared" si="13"/>
        <v>-0.12443044810479173</v>
      </c>
      <c r="W29"/>
      <c r="AK29" s="45" t="s">
        <v>78</v>
      </c>
      <c r="AL29" s="45">
        <v>7</v>
      </c>
      <c r="AM29" s="45">
        <v>18</v>
      </c>
      <c r="AN29" s="45">
        <v>2.5714285710000002</v>
      </c>
      <c r="AO29" s="45">
        <v>0.28571428599999998</v>
      </c>
      <c r="AP29" s="45"/>
      <c r="AQ29" s="45"/>
      <c r="AR29" s="45"/>
    </row>
    <row r="30" spans="1:44" x14ac:dyDescent="0.35">
      <c r="A30">
        <v>2</v>
      </c>
      <c r="B30">
        <v>3</v>
      </c>
      <c r="C30">
        <v>4</v>
      </c>
      <c r="D30">
        <v>3</v>
      </c>
      <c r="E30">
        <v>1</v>
      </c>
      <c r="F30">
        <v>3</v>
      </c>
      <c r="G30">
        <v>2</v>
      </c>
      <c r="H30" s="25">
        <f t="shared" si="0"/>
        <v>2</v>
      </c>
      <c r="I30" s="25">
        <f t="shared" si="1"/>
        <v>3</v>
      </c>
      <c r="J30" s="25">
        <f t="shared" si="2"/>
        <v>4</v>
      </c>
      <c r="K30" s="25">
        <f t="shared" si="3"/>
        <v>3</v>
      </c>
      <c r="L30" s="25">
        <f t="shared" si="4"/>
        <v>5</v>
      </c>
      <c r="M30" s="25">
        <f t="shared" si="5"/>
        <v>3</v>
      </c>
      <c r="N30" s="25">
        <f t="shared" si="6"/>
        <v>2</v>
      </c>
      <c r="O30" s="32">
        <f t="shared" si="14"/>
        <v>-1.8576097536123615</v>
      </c>
      <c r="P30" s="32">
        <f t="shared" si="7"/>
        <v>-0.51458870665983425</v>
      </c>
      <c r="Q30" s="32">
        <f t="shared" si="8"/>
        <v>-9.6984149849158471E-2</v>
      </c>
      <c r="R30" s="32">
        <f t="shared" si="9"/>
        <v>-0.61891576076406762</v>
      </c>
      <c r="S30" s="32">
        <f t="shared" si="10"/>
        <v>0.86866731645372819</v>
      </c>
      <c r="T30" s="32">
        <f t="shared" si="11"/>
        <v>-1.0625089558734409</v>
      </c>
      <c r="U30" s="32">
        <f t="shared" si="12"/>
        <v>-1.9072213011055226</v>
      </c>
      <c r="V30" s="37">
        <f t="shared" si="13"/>
        <v>-0.74130875877295099</v>
      </c>
      <c r="W30"/>
      <c r="AK30" s="45" t="s">
        <v>78</v>
      </c>
      <c r="AL30" s="45">
        <v>7</v>
      </c>
      <c r="AM30" s="45">
        <v>20</v>
      </c>
      <c r="AN30" s="45">
        <v>2.8571428569999999</v>
      </c>
      <c r="AO30" s="45">
        <v>0.47619047599999997</v>
      </c>
      <c r="AP30" s="45"/>
      <c r="AQ30" s="45"/>
      <c r="AR30" s="45"/>
    </row>
    <row r="31" spans="1:44" x14ac:dyDescent="0.35">
      <c r="A31">
        <v>3</v>
      </c>
      <c r="B31">
        <v>3</v>
      </c>
      <c r="C31">
        <v>4</v>
      </c>
      <c r="D31">
        <v>2</v>
      </c>
      <c r="E31">
        <v>2</v>
      </c>
      <c r="F31">
        <v>3</v>
      </c>
      <c r="G31">
        <v>2</v>
      </c>
      <c r="H31" s="25">
        <f t="shared" si="0"/>
        <v>3</v>
      </c>
      <c r="I31" s="25">
        <f t="shared" si="1"/>
        <v>3</v>
      </c>
      <c r="J31" s="25">
        <f t="shared" si="2"/>
        <v>4</v>
      </c>
      <c r="K31" s="25">
        <f t="shared" si="3"/>
        <v>4</v>
      </c>
      <c r="L31" s="25">
        <f t="shared" si="4"/>
        <v>4</v>
      </c>
      <c r="M31" s="25">
        <f t="shared" si="5"/>
        <v>3</v>
      </c>
      <c r="N31" s="25">
        <f t="shared" si="6"/>
        <v>2</v>
      </c>
      <c r="O31" s="32">
        <f t="shared" si="14"/>
        <v>-0.95700561253682881</v>
      </c>
      <c r="P31" s="32">
        <f t="shared" si="7"/>
        <v>-0.51458870665983425</v>
      </c>
      <c r="Q31" s="32">
        <f t="shared" si="8"/>
        <v>-9.6984149849158471E-2</v>
      </c>
      <c r="R31" s="32">
        <f t="shared" si="9"/>
        <v>0.21586162773242673</v>
      </c>
      <c r="S31" s="32">
        <f t="shared" si="10"/>
        <v>2.4129647679270144E-2</v>
      </c>
      <c r="T31" s="32">
        <f t="shared" si="11"/>
        <v>-1.0625089558734409</v>
      </c>
      <c r="U31" s="32">
        <f t="shared" si="12"/>
        <v>-1.9072213011055226</v>
      </c>
      <c r="V31" s="37">
        <f t="shared" si="13"/>
        <v>-0.61404535008758399</v>
      </c>
      <c r="W31"/>
      <c r="AK31" s="45" t="s">
        <v>78</v>
      </c>
      <c r="AL31" s="45">
        <v>7</v>
      </c>
      <c r="AM31" s="45">
        <v>17</v>
      </c>
      <c r="AN31" s="45">
        <v>2.4285714289999998</v>
      </c>
      <c r="AO31" s="45">
        <v>0.28571428599999998</v>
      </c>
      <c r="AP31" s="45"/>
      <c r="AQ31" s="45"/>
      <c r="AR31" s="45"/>
    </row>
    <row r="32" spans="1:44" x14ac:dyDescent="0.35">
      <c r="A32">
        <v>3</v>
      </c>
      <c r="B32">
        <v>3</v>
      </c>
      <c r="C32">
        <v>4</v>
      </c>
      <c r="D32">
        <v>2</v>
      </c>
      <c r="E32">
        <v>2</v>
      </c>
      <c r="F32">
        <v>3</v>
      </c>
      <c r="G32">
        <v>2</v>
      </c>
      <c r="H32" s="25">
        <f t="shared" si="0"/>
        <v>3</v>
      </c>
      <c r="I32" s="25">
        <f t="shared" si="1"/>
        <v>3</v>
      </c>
      <c r="J32" s="25">
        <f t="shared" si="2"/>
        <v>4</v>
      </c>
      <c r="K32" s="25">
        <f t="shared" si="3"/>
        <v>4</v>
      </c>
      <c r="L32" s="25">
        <f t="shared" si="4"/>
        <v>4</v>
      </c>
      <c r="M32" s="25">
        <f t="shared" si="5"/>
        <v>3</v>
      </c>
      <c r="N32" s="25">
        <f t="shared" si="6"/>
        <v>2</v>
      </c>
      <c r="O32" s="32">
        <f t="shared" si="14"/>
        <v>-0.95700561253682881</v>
      </c>
      <c r="P32" s="32">
        <f t="shared" si="7"/>
        <v>-0.51458870665983425</v>
      </c>
      <c r="Q32" s="32">
        <f t="shared" si="8"/>
        <v>-9.6984149849158471E-2</v>
      </c>
      <c r="R32" s="32">
        <f t="shared" si="9"/>
        <v>0.21586162773242673</v>
      </c>
      <c r="S32" s="32">
        <f t="shared" si="10"/>
        <v>2.4129647679270144E-2</v>
      </c>
      <c r="T32" s="32">
        <f t="shared" si="11"/>
        <v>-1.0625089558734409</v>
      </c>
      <c r="U32" s="32">
        <f t="shared" si="12"/>
        <v>-1.9072213011055226</v>
      </c>
      <c r="V32" s="37">
        <f t="shared" si="13"/>
        <v>-0.61404535008758399</v>
      </c>
      <c r="W32"/>
      <c r="AK32" s="45" t="s">
        <v>78</v>
      </c>
      <c r="AL32" s="45">
        <v>7</v>
      </c>
      <c r="AM32" s="45">
        <v>27</v>
      </c>
      <c r="AN32" s="45">
        <v>3.8571428569999999</v>
      </c>
      <c r="AO32" s="45">
        <v>1.1428571430000001</v>
      </c>
      <c r="AP32" s="45"/>
      <c r="AQ32" s="45"/>
      <c r="AR32" s="45"/>
    </row>
    <row r="33" spans="1:44" x14ac:dyDescent="0.35">
      <c r="A33">
        <v>3</v>
      </c>
      <c r="B33">
        <v>2</v>
      </c>
      <c r="C33">
        <v>4</v>
      </c>
      <c r="D33">
        <v>3</v>
      </c>
      <c r="E33">
        <v>2</v>
      </c>
      <c r="F33">
        <v>3</v>
      </c>
      <c r="G33">
        <v>2</v>
      </c>
      <c r="H33" s="25">
        <f t="shared" si="0"/>
        <v>3</v>
      </c>
      <c r="I33" s="25">
        <f t="shared" si="1"/>
        <v>4</v>
      </c>
      <c r="J33" s="25">
        <f t="shared" si="2"/>
        <v>4</v>
      </c>
      <c r="K33" s="25">
        <f t="shared" si="3"/>
        <v>3</v>
      </c>
      <c r="L33" s="25">
        <f t="shared" si="4"/>
        <v>4</v>
      </c>
      <c r="M33" s="25">
        <f t="shared" si="5"/>
        <v>3</v>
      </c>
      <c r="N33" s="25">
        <f t="shared" si="6"/>
        <v>2</v>
      </c>
      <c r="O33" s="32">
        <f t="shared" si="14"/>
        <v>-0.95700561253682881</v>
      </c>
      <c r="P33" s="32">
        <f t="shared" si="7"/>
        <v>0.26360832519077404</v>
      </c>
      <c r="Q33" s="32">
        <f t="shared" si="8"/>
        <v>-9.6984149849158471E-2</v>
      </c>
      <c r="R33" s="32">
        <f t="shared" si="9"/>
        <v>-0.61891576076406762</v>
      </c>
      <c r="S33" s="32">
        <f t="shared" si="10"/>
        <v>2.4129647679270144E-2</v>
      </c>
      <c r="T33" s="32">
        <f t="shared" si="11"/>
        <v>-1.0625089558734409</v>
      </c>
      <c r="U33" s="32">
        <f t="shared" si="12"/>
        <v>-1.9072213011055226</v>
      </c>
      <c r="V33" s="37">
        <f t="shared" si="13"/>
        <v>-0.62212825817985351</v>
      </c>
      <c r="W33"/>
      <c r="AK33" s="45" t="s">
        <v>78</v>
      </c>
      <c r="AL33" s="45">
        <v>7</v>
      </c>
      <c r="AM33" s="45">
        <v>22</v>
      </c>
      <c r="AN33" s="45">
        <v>3.1428571430000001</v>
      </c>
      <c r="AO33" s="45">
        <v>1.1428571430000001</v>
      </c>
      <c r="AP33" s="45"/>
      <c r="AQ33" s="45"/>
      <c r="AR33" s="45"/>
    </row>
    <row r="34" spans="1:44" x14ac:dyDescent="0.35">
      <c r="A34">
        <v>4</v>
      </c>
      <c r="B34">
        <v>4</v>
      </c>
      <c r="C34">
        <v>4</v>
      </c>
      <c r="D34">
        <v>3</v>
      </c>
      <c r="E34">
        <v>2</v>
      </c>
      <c r="F34">
        <v>3</v>
      </c>
      <c r="G34">
        <v>2</v>
      </c>
      <c r="H34" s="25">
        <f t="shared" si="0"/>
        <v>4</v>
      </c>
      <c r="I34" s="25">
        <f t="shared" si="1"/>
        <v>2</v>
      </c>
      <c r="J34" s="25">
        <f t="shared" si="2"/>
        <v>4</v>
      </c>
      <c r="K34" s="25">
        <f t="shared" si="3"/>
        <v>3</v>
      </c>
      <c r="L34" s="25">
        <f t="shared" si="4"/>
        <v>4</v>
      </c>
      <c r="M34" s="25">
        <f t="shared" si="5"/>
        <v>3</v>
      </c>
      <c r="N34" s="25">
        <f t="shared" si="6"/>
        <v>2</v>
      </c>
      <c r="O34" s="32">
        <f t="shared" si="14"/>
        <v>-5.6401471461296142E-2</v>
      </c>
      <c r="P34" s="32">
        <f t="shared" si="7"/>
        <v>-1.2927857385104427</v>
      </c>
      <c r="Q34" s="32">
        <f t="shared" si="8"/>
        <v>-9.6984149849158471E-2</v>
      </c>
      <c r="R34" s="32">
        <f t="shared" si="9"/>
        <v>-0.61891576076406762</v>
      </c>
      <c r="S34" s="32">
        <f t="shared" si="10"/>
        <v>2.4129647679270144E-2</v>
      </c>
      <c r="T34" s="32">
        <f t="shared" si="11"/>
        <v>-1.0625089558734409</v>
      </c>
      <c r="U34" s="32">
        <f t="shared" si="12"/>
        <v>-1.9072213011055226</v>
      </c>
      <c r="V34" s="37">
        <f t="shared" si="13"/>
        <v>-0.71581253284066548</v>
      </c>
      <c r="W34"/>
      <c r="AK34" s="45" t="s">
        <v>78</v>
      </c>
      <c r="AL34" s="45">
        <v>7</v>
      </c>
      <c r="AM34" s="45">
        <v>23</v>
      </c>
      <c r="AN34" s="45">
        <v>3.2857142860000002</v>
      </c>
      <c r="AO34" s="45">
        <v>0.571428571</v>
      </c>
      <c r="AP34" s="45"/>
      <c r="AQ34" s="45"/>
      <c r="AR34" s="45"/>
    </row>
    <row r="35" spans="1:44" x14ac:dyDescent="0.35">
      <c r="A35">
        <v>4</v>
      </c>
      <c r="B35">
        <v>3</v>
      </c>
      <c r="C35">
        <v>4</v>
      </c>
      <c r="D35">
        <v>4</v>
      </c>
      <c r="E35">
        <v>2</v>
      </c>
      <c r="F35">
        <v>3</v>
      </c>
      <c r="G35">
        <v>2</v>
      </c>
      <c r="H35" s="25">
        <f t="shared" si="0"/>
        <v>4</v>
      </c>
      <c r="I35" s="25">
        <f t="shared" si="1"/>
        <v>3</v>
      </c>
      <c r="J35" s="25">
        <f t="shared" si="2"/>
        <v>4</v>
      </c>
      <c r="K35" s="25">
        <f t="shared" si="3"/>
        <v>2</v>
      </c>
      <c r="L35" s="25">
        <f t="shared" si="4"/>
        <v>4</v>
      </c>
      <c r="M35" s="25">
        <f t="shared" si="5"/>
        <v>3</v>
      </c>
      <c r="N35" s="25">
        <f t="shared" si="6"/>
        <v>2</v>
      </c>
      <c r="O35" s="32">
        <f t="shared" si="14"/>
        <v>-5.6401471461296142E-2</v>
      </c>
      <c r="P35" s="32">
        <f t="shared" si="7"/>
        <v>-0.51458870665983425</v>
      </c>
      <c r="Q35" s="32">
        <f t="shared" si="8"/>
        <v>-9.6984149849158471E-2</v>
      </c>
      <c r="R35" s="32">
        <f t="shared" si="9"/>
        <v>-1.453693149260562</v>
      </c>
      <c r="S35" s="32">
        <f t="shared" si="10"/>
        <v>2.4129647679270144E-2</v>
      </c>
      <c r="T35" s="32">
        <f t="shared" si="11"/>
        <v>-1.0625089558734409</v>
      </c>
      <c r="U35" s="32">
        <f t="shared" si="12"/>
        <v>-1.9072213011055226</v>
      </c>
      <c r="V35" s="37">
        <f t="shared" si="13"/>
        <v>-0.7238954409329349</v>
      </c>
      <c r="W35"/>
      <c r="AK35" s="45" t="s">
        <v>78</v>
      </c>
      <c r="AL35" s="45">
        <v>7</v>
      </c>
      <c r="AM35" s="45">
        <v>23</v>
      </c>
      <c r="AN35" s="45">
        <v>3.2857142860000002</v>
      </c>
      <c r="AO35" s="45">
        <v>0.571428571</v>
      </c>
      <c r="AP35" s="45"/>
      <c r="AQ35" s="45"/>
      <c r="AR35" s="45"/>
    </row>
    <row r="36" spans="1:44" x14ac:dyDescent="0.35">
      <c r="A36">
        <v>2</v>
      </c>
      <c r="B36">
        <v>2</v>
      </c>
      <c r="C36">
        <v>4</v>
      </c>
      <c r="D36">
        <v>2</v>
      </c>
      <c r="E36">
        <v>3</v>
      </c>
      <c r="F36">
        <v>3</v>
      </c>
      <c r="G36">
        <v>2</v>
      </c>
      <c r="H36" s="25">
        <f t="shared" si="0"/>
        <v>2</v>
      </c>
      <c r="I36" s="25">
        <f t="shared" si="1"/>
        <v>4</v>
      </c>
      <c r="J36" s="25">
        <f t="shared" si="2"/>
        <v>4</v>
      </c>
      <c r="K36" s="25">
        <f t="shared" si="3"/>
        <v>4</v>
      </c>
      <c r="L36" s="25">
        <f t="shared" si="4"/>
        <v>3</v>
      </c>
      <c r="M36" s="25">
        <f t="shared" si="5"/>
        <v>3</v>
      </c>
      <c r="N36" s="25">
        <f t="shared" si="6"/>
        <v>2</v>
      </c>
      <c r="O36" s="32">
        <f t="shared" si="14"/>
        <v>-1.8576097536123615</v>
      </c>
      <c r="P36" s="32">
        <f t="shared" si="7"/>
        <v>0.26360832519077404</v>
      </c>
      <c r="Q36" s="32">
        <f t="shared" si="8"/>
        <v>-9.6984149849158471E-2</v>
      </c>
      <c r="R36" s="32">
        <f t="shared" si="9"/>
        <v>0.21586162773242673</v>
      </c>
      <c r="S36" s="32">
        <f t="shared" si="10"/>
        <v>-0.82040802109518784</v>
      </c>
      <c r="T36" s="32">
        <f t="shared" si="11"/>
        <v>-1.0625089558734409</v>
      </c>
      <c r="U36" s="32">
        <f t="shared" si="12"/>
        <v>-1.9072213011055226</v>
      </c>
      <c r="V36" s="37">
        <f t="shared" si="13"/>
        <v>-0.75218031837320998</v>
      </c>
      <c r="W36"/>
      <c r="AK36" s="45" t="s">
        <v>78</v>
      </c>
      <c r="AL36" s="45">
        <v>7</v>
      </c>
      <c r="AM36" s="45">
        <v>23</v>
      </c>
      <c r="AN36" s="45">
        <v>3.2857142860000002</v>
      </c>
      <c r="AO36" s="45">
        <v>0.571428571</v>
      </c>
      <c r="AP36" s="45"/>
      <c r="AQ36" s="45"/>
      <c r="AR36" s="45"/>
    </row>
    <row r="37" spans="1:44" x14ac:dyDescent="0.35">
      <c r="A37">
        <v>2</v>
      </c>
      <c r="B37">
        <v>3</v>
      </c>
      <c r="C37">
        <v>2</v>
      </c>
      <c r="D37">
        <v>3</v>
      </c>
      <c r="E37">
        <v>3</v>
      </c>
      <c r="F37">
        <v>3</v>
      </c>
      <c r="G37">
        <v>2</v>
      </c>
      <c r="H37" s="25">
        <f t="shared" si="0"/>
        <v>2</v>
      </c>
      <c r="I37" s="25">
        <f t="shared" si="1"/>
        <v>3</v>
      </c>
      <c r="J37" s="25">
        <f t="shared" si="2"/>
        <v>2</v>
      </c>
      <c r="K37" s="25">
        <f t="shared" si="3"/>
        <v>3</v>
      </c>
      <c r="L37" s="25">
        <f t="shared" si="4"/>
        <v>3</v>
      </c>
      <c r="M37" s="25">
        <f t="shared" si="5"/>
        <v>3</v>
      </c>
      <c r="N37" s="25">
        <f t="shared" si="6"/>
        <v>2</v>
      </c>
      <c r="O37" s="32">
        <f t="shared" si="14"/>
        <v>-1.8576097536123615</v>
      </c>
      <c r="P37" s="32">
        <f t="shared" si="7"/>
        <v>-0.51458870665983425</v>
      </c>
      <c r="Q37" s="32">
        <f t="shared" si="8"/>
        <v>-1.904915094207053</v>
      </c>
      <c r="R37" s="32">
        <f t="shared" si="9"/>
        <v>-0.61891576076406762</v>
      </c>
      <c r="S37" s="32">
        <f t="shared" si="10"/>
        <v>-0.82040802109518784</v>
      </c>
      <c r="T37" s="32">
        <f t="shared" si="11"/>
        <v>-1.0625089558734409</v>
      </c>
      <c r="U37" s="32">
        <f t="shared" si="12"/>
        <v>-1.9072213011055226</v>
      </c>
      <c r="V37" s="37">
        <f t="shared" si="13"/>
        <v>-1.2408810847596381</v>
      </c>
      <c r="W37"/>
      <c r="AK37" s="45" t="s">
        <v>78</v>
      </c>
      <c r="AL37" s="45">
        <v>7</v>
      </c>
      <c r="AM37" s="45">
        <v>22</v>
      </c>
      <c r="AN37" s="45">
        <v>3.1428571430000001</v>
      </c>
      <c r="AO37" s="45">
        <v>0.80952380999999995</v>
      </c>
      <c r="AP37" s="45"/>
      <c r="AQ37" s="45"/>
      <c r="AR37" s="45"/>
    </row>
    <row r="38" spans="1:44" x14ac:dyDescent="0.35">
      <c r="A38">
        <v>3</v>
      </c>
      <c r="B38">
        <v>2</v>
      </c>
      <c r="C38">
        <v>3</v>
      </c>
      <c r="D38">
        <v>4</v>
      </c>
      <c r="E38">
        <v>3</v>
      </c>
      <c r="F38">
        <v>3</v>
      </c>
      <c r="G38">
        <v>2</v>
      </c>
      <c r="H38" s="25">
        <f t="shared" si="0"/>
        <v>3</v>
      </c>
      <c r="I38" s="25">
        <f t="shared" si="1"/>
        <v>4</v>
      </c>
      <c r="J38" s="25">
        <f t="shared" si="2"/>
        <v>3</v>
      </c>
      <c r="K38" s="25">
        <f t="shared" si="3"/>
        <v>2</v>
      </c>
      <c r="L38" s="25">
        <f t="shared" si="4"/>
        <v>3</v>
      </c>
      <c r="M38" s="25">
        <f t="shared" si="5"/>
        <v>3</v>
      </c>
      <c r="N38" s="25">
        <f t="shared" si="6"/>
        <v>2</v>
      </c>
      <c r="O38" s="32">
        <f t="shared" si="14"/>
        <v>-0.95700561253682881</v>
      </c>
      <c r="P38" s="32">
        <f t="shared" si="7"/>
        <v>0.26360832519077404</v>
      </c>
      <c r="Q38" s="32">
        <f t="shared" si="8"/>
        <v>-1.0009496220281058</v>
      </c>
      <c r="R38" s="32">
        <f t="shared" si="9"/>
        <v>-1.453693149260562</v>
      </c>
      <c r="S38" s="32">
        <f t="shared" si="10"/>
        <v>-0.82040802109518784</v>
      </c>
      <c r="T38" s="32">
        <f t="shared" si="11"/>
        <v>-1.0625089558734409</v>
      </c>
      <c r="U38" s="32">
        <f t="shared" si="12"/>
        <v>-1.9072213011055226</v>
      </c>
      <c r="V38" s="37">
        <f t="shared" si="13"/>
        <v>-0.99116833381555336</v>
      </c>
      <c r="W38"/>
      <c r="AK38" s="45" t="s">
        <v>78</v>
      </c>
      <c r="AL38" s="45">
        <v>7</v>
      </c>
      <c r="AM38" s="45">
        <v>22</v>
      </c>
      <c r="AN38" s="45">
        <v>3.1428571430000001</v>
      </c>
      <c r="AO38" s="45">
        <v>0.80952380999999995</v>
      </c>
      <c r="AP38" s="45"/>
      <c r="AQ38" s="45"/>
      <c r="AR38" s="45"/>
    </row>
    <row r="39" spans="1:44" x14ac:dyDescent="0.35">
      <c r="A39">
        <v>2</v>
      </c>
      <c r="B39">
        <v>3</v>
      </c>
      <c r="C39">
        <v>2</v>
      </c>
      <c r="D39">
        <v>2</v>
      </c>
      <c r="E39">
        <v>4</v>
      </c>
      <c r="F39">
        <v>3</v>
      </c>
      <c r="G39">
        <v>2</v>
      </c>
      <c r="H39" s="25">
        <f t="shared" si="0"/>
        <v>2</v>
      </c>
      <c r="I39" s="25">
        <f t="shared" si="1"/>
        <v>3</v>
      </c>
      <c r="J39" s="25">
        <f t="shared" si="2"/>
        <v>2</v>
      </c>
      <c r="K39" s="25">
        <f t="shared" si="3"/>
        <v>4</v>
      </c>
      <c r="L39" s="25">
        <f t="shared" si="4"/>
        <v>2</v>
      </c>
      <c r="M39" s="25">
        <f t="shared" si="5"/>
        <v>3</v>
      </c>
      <c r="N39" s="25">
        <f t="shared" si="6"/>
        <v>2</v>
      </c>
      <c r="O39" s="32">
        <f t="shared" si="14"/>
        <v>-1.8576097536123615</v>
      </c>
      <c r="P39" s="32">
        <f t="shared" si="7"/>
        <v>-0.51458870665983425</v>
      </c>
      <c r="Q39" s="32">
        <f t="shared" si="8"/>
        <v>-1.904915094207053</v>
      </c>
      <c r="R39" s="32">
        <f t="shared" si="9"/>
        <v>0.21586162773242673</v>
      </c>
      <c r="S39" s="32">
        <f t="shared" si="10"/>
        <v>-1.664945689869646</v>
      </c>
      <c r="T39" s="32">
        <f t="shared" si="11"/>
        <v>-1.0625089558734409</v>
      </c>
      <c r="U39" s="32">
        <f t="shared" si="12"/>
        <v>-1.9072213011055226</v>
      </c>
      <c r="V39" s="37">
        <f t="shared" si="13"/>
        <v>-1.2422754105136331</v>
      </c>
      <c r="W39"/>
      <c r="AK39" s="45" t="s">
        <v>78</v>
      </c>
      <c r="AL39" s="45">
        <v>7</v>
      </c>
      <c r="AM39" s="45">
        <v>22</v>
      </c>
      <c r="AN39" s="45">
        <v>3.1428571430000001</v>
      </c>
      <c r="AO39" s="45">
        <v>0.80952380999999995</v>
      </c>
      <c r="AP39" s="45"/>
      <c r="AQ39" s="45"/>
      <c r="AR39" s="45"/>
    </row>
    <row r="40" spans="1:44" x14ac:dyDescent="0.35">
      <c r="A40">
        <v>3</v>
      </c>
      <c r="B40">
        <v>4</v>
      </c>
      <c r="C40">
        <v>4</v>
      </c>
      <c r="D40">
        <v>3</v>
      </c>
      <c r="E40">
        <v>4</v>
      </c>
      <c r="F40">
        <v>3</v>
      </c>
      <c r="G40">
        <v>2</v>
      </c>
      <c r="H40" s="25">
        <f t="shared" si="0"/>
        <v>3</v>
      </c>
      <c r="I40" s="25">
        <f t="shared" si="1"/>
        <v>2</v>
      </c>
      <c r="J40" s="25">
        <f t="shared" si="2"/>
        <v>4</v>
      </c>
      <c r="K40" s="25">
        <f t="shared" si="3"/>
        <v>3</v>
      </c>
      <c r="L40" s="25">
        <f t="shared" si="4"/>
        <v>2</v>
      </c>
      <c r="M40" s="25">
        <f t="shared" si="5"/>
        <v>3</v>
      </c>
      <c r="N40" s="25">
        <f t="shared" si="6"/>
        <v>2</v>
      </c>
      <c r="O40" s="32">
        <f t="shared" si="14"/>
        <v>-0.95700561253682881</v>
      </c>
      <c r="P40" s="32">
        <f t="shared" si="7"/>
        <v>-1.2927857385104427</v>
      </c>
      <c r="Q40" s="32">
        <f t="shared" si="8"/>
        <v>-9.6984149849158471E-2</v>
      </c>
      <c r="R40" s="32">
        <f t="shared" si="9"/>
        <v>-0.61891576076406762</v>
      </c>
      <c r="S40" s="32">
        <f t="shared" si="10"/>
        <v>-1.664945689869646</v>
      </c>
      <c r="T40" s="32">
        <f t="shared" si="11"/>
        <v>-1.0625089558734409</v>
      </c>
      <c r="U40" s="32">
        <f t="shared" si="12"/>
        <v>-1.9072213011055226</v>
      </c>
      <c r="V40" s="37">
        <f t="shared" si="13"/>
        <v>-1.0857667440727297</v>
      </c>
      <c r="W40"/>
      <c r="AK40" s="45" t="s">
        <v>78</v>
      </c>
      <c r="AL40" s="45">
        <v>7</v>
      </c>
      <c r="AM40" s="45">
        <v>18</v>
      </c>
      <c r="AN40" s="45">
        <v>2.5714285710000002</v>
      </c>
      <c r="AO40" s="45">
        <v>0.28571428599999998</v>
      </c>
      <c r="AP40" s="45"/>
      <c r="AQ40" s="45"/>
      <c r="AR40" s="45"/>
    </row>
    <row r="41" spans="1:44" x14ac:dyDescent="0.35">
      <c r="A41">
        <v>4</v>
      </c>
      <c r="B41">
        <v>4</v>
      </c>
      <c r="C41">
        <v>5</v>
      </c>
      <c r="D41">
        <v>3</v>
      </c>
      <c r="E41">
        <v>1</v>
      </c>
      <c r="F41">
        <v>4</v>
      </c>
      <c r="G41">
        <v>2</v>
      </c>
      <c r="H41" s="25">
        <f t="shared" si="0"/>
        <v>4</v>
      </c>
      <c r="I41" s="25">
        <f t="shared" si="1"/>
        <v>2</v>
      </c>
      <c r="J41" s="25">
        <f t="shared" si="2"/>
        <v>5</v>
      </c>
      <c r="K41" s="25">
        <f t="shared" si="3"/>
        <v>3</v>
      </c>
      <c r="L41" s="25">
        <f t="shared" si="4"/>
        <v>5</v>
      </c>
      <c r="M41" s="25">
        <f t="shared" si="5"/>
        <v>4</v>
      </c>
      <c r="N41" s="25">
        <f t="shared" si="6"/>
        <v>2</v>
      </c>
      <c r="O41" s="32">
        <f t="shared" si="14"/>
        <v>-5.6401471461296142E-2</v>
      </c>
      <c r="P41" s="32">
        <f t="shared" si="7"/>
        <v>-1.2927857385104427</v>
      </c>
      <c r="Q41" s="32">
        <f t="shared" si="8"/>
        <v>0.80698132232978881</v>
      </c>
      <c r="R41" s="32">
        <f t="shared" si="9"/>
        <v>-0.61891576076406762</v>
      </c>
      <c r="S41" s="32">
        <f t="shared" si="10"/>
        <v>0.86866731645372819</v>
      </c>
      <c r="T41" s="32">
        <f t="shared" si="11"/>
        <v>-0.12522426979936985</v>
      </c>
      <c r="U41" s="32">
        <f t="shared" si="12"/>
        <v>-1.9072213011055226</v>
      </c>
      <c r="V41" s="37">
        <f t="shared" si="13"/>
        <v>-0.33212855755102594</v>
      </c>
      <c r="W41"/>
      <c r="AK41" s="45" t="s">
        <v>78</v>
      </c>
      <c r="AL41" s="45">
        <v>7</v>
      </c>
      <c r="AM41" s="45">
        <v>20</v>
      </c>
      <c r="AN41" s="45">
        <v>2.8571428569999999</v>
      </c>
      <c r="AO41" s="45">
        <v>0.47619047599999997</v>
      </c>
      <c r="AP41" s="45"/>
      <c r="AQ41" s="45"/>
      <c r="AR41" s="45"/>
    </row>
    <row r="42" spans="1:44" x14ac:dyDescent="0.35">
      <c r="A42">
        <v>2</v>
      </c>
      <c r="B42">
        <v>3</v>
      </c>
      <c r="C42">
        <v>4</v>
      </c>
      <c r="D42">
        <v>1</v>
      </c>
      <c r="E42">
        <v>2</v>
      </c>
      <c r="F42">
        <v>4</v>
      </c>
      <c r="G42">
        <v>2</v>
      </c>
      <c r="H42" s="25">
        <f t="shared" si="0"/>
        <v>2</v>
      </c>
      <c r="I42" s="25">
        <f t="shared" si="1"/>
        <v>3</v>
      </c>
      <c r="J42" s="25">
        <f t="shared" si="2"/>
        <v>4</v>
      </c>
      <c r="K42" s="25">
        <f t="shared" si="3"/>
        <v>5</v>
      </c>
      <c r="L42" s="25">
        <f t="shared" si="4"/>
        <v>4</v>
      </c>
      <c r="M42" s="25">
        <f t="shared" si="5"/>
        <v>4</v>
      </c>
      <c r="N42" s="25">
        <f t="shared" si="6"/>
        <v>2</v>
      </c>
      <c r="O42" s="32">
        <f t="shared" si="14"/>
        <v>-1.8576097536123615</v>
      </c>
      <c r="P42" s="32">
        <f t="shared" si="7"/>
        <v>-0.51458870665983425</v>
      </c>
      <c r="Q42" s="32">
        <f t="shared" si="8"/>
        <v>-9.6984149849158471E-2</v>
      </c>
      <c r="R42" s="32">
        <f t="shared" si="9"/>
        <v>1.0506390162289212</v>
      </c>
      <c r="S42" s="32">
        <f t="shared" si="10"/>
        <v>2.4129647679270144E-2</v>
      </c>
      <c r="T42" s="32">
        <f t="shared" si="11"/>
        <v>-0.12522426979936985</v>
      </c>
      <c r="U42" s="32">
        <f t="shared" si="12"/>
        <v>-1.9072213011055226</v>
      </c>
      <c r="V42" s="37">
        <f t="shared" si="13"/>
        <v>-0.48955135958829354</v>
      </c>
      <c r="W42"/>
      <c r="AK42" s="45" t="s">
        <v>78</v>
      </c>
      <c r="AL42" s="45">
        <v>7</v>
      </c>
      <c r="AM42" s="45">
        <v>18</v>
      </c>
      <c r="AN42" s="45">
        <v>2.5714285710000002</v>
      </c>
      <c r="AO42" s="45">
        <v>0.61904761900000005</v>
      </c>
      <c r="AP42" s="45"/>
      <c r="AQ42" s="45"/>
      <c r="AR42" s="45"/>
    </row>
    <row r="43" spans="1:44" x14ac:dyDescent="0.35">
      <c r="A43">
        <v>3</v>
      </c>
      <c r="B43">
        <v>2</v>
      </c>
      <c r="C43">
        <v>3</v>
      </c>
      <c r="D43">
        <v>2</v>
      </c>
      <c r="E43">
        <v>2</v>
      </c>
      <c r="F43">
        <v>4</v>
      </c>
      <c r="G43">
        <v>2</v>
      </c>
      <c r="H43" s="25">
        <f t="shared" si="0"/>
        <v>3</v>
      </c>
      <c r="I43" s="25">
        <f t="shared" si="1"/>
        <v>4</v>
      </c>
      <c r="J43" s="25">
        <f t="shared" si="2"/>
        <v>3</v>
      </c>
      <c r="K43" s="25">
        <f t="shared" si="3"/>
        <v>4</v>
      </c>
      <c r="L43" s="25">
        <f t="shared" si="4"/>
        <v>4</v>
      </c>
      <c r="M43" s="25">
        <f t="shared" si="5"/>
        <v>4</v>
      </c>
      <c r="N43" s="25">
        <f t="shared" si="6"/>
        <v>2</v>
      </c>
      <c r="O43" s="32">
        <f t="shared" si="14"/>
        <v>-0.95700561253682881</v>
      </c>
      <c r="P43" s="32">
        <f t="shared" si="7"/>
        <v>0.26360832519077404</v>
      </c>
      <c r="Q43" s="32">
        <f t="shared" si="8"/>
        <v>-1.0009496220281058</v>
      </c>
      <c r="R43" s="32">
        <f t="shared" si="9"/>
        <v>0.21586162773242673</v>
      </c>
      <c r="S43" s="32">
        <f t="shared" si="10"/>
        <v>2.4129647679270144E-2</v>
      </c>
      <c r="T43" s="32">
        <f t="shared" si="11"/>
        <v>-0.12522426979936985</v>
      </c>
      <c r="U43" s="32">
        <f t="shared" si="12"/>
        <v>-1.9072213011055226</v>
      </c>
      <c r="V43" s="37">
        <f t="shared" si="13"/>
        <v>-0.49811445783819375</v>
      </c>
      <c r="W43"/>
      <c r="AK43" s="45" t="s">
        <v>78</v>
      </c>
      <c r="AL43" s="45">
        <v>7</v>
      </c>
      <c r="AM43" s="45">
        <v>19</v>
      </c>
      <c r="AN43" s="45">
        <v>2.7142857139999998</v>
      </c>
      <c r="AO43" s="45">
        <v>0.571428571</v>
      </c>
      <c r="AP43" s="45"/>
      <c r="AQ43" s="45"/>
      <c r="AR43" s="45"/>
    </row>
    <row r="44" spans="1:44" x14ac:dyDescent="0.35">
      <c r="A44">
        <v>4</v>
      </c>
      <c r="B44">
        <v>2</v>
      </c>
      <c r="C44">
        <v>4</v>
      </c>
      <c r="D44">
        <v>2</v>
      </c>
      <c r="E44">
        <v>2</v>
      </c>
      <c r="F44">
        <v>4</v>
      </c>
      <c r="G44">
        <v>2</v>
      </c>
      <c r="H44" s="25">
        <f t="shared" si="0"/>
        <v>4</v>
      </c>
      <c r="I44" s="25">
        <f t="shared" si="1"/>
        <v>4</v>
      </c>
      <c r="J44" s="25">
        <f t="shared" si="2"/>
        <v>4</v>
      </c>
      <c r="K44" s="25">
        <f t="shared" si="3"/>
        <v>4</v>
      </c>
      <c r="L44" s="25">
        <f t="shared" si="4"/>
        <v>4</v>
      </c>
      <c r="M44" s="25">
        <f t="shared" si="5"/>
        <v>4</v>
      </c>
      <c r="N44" s="25">
        <f t="shared" si="6"/>
        <v>2</v>
      </c>
      <c r="O44" s="32">
        <f t="shared" si="14"/>
        <v>-5.6401471461296142E-2</v>
      </c>
      <c r="P44" s="32">
        <f t="shared" si="7"/>
        <v>0.26360832519077404</v>
      </c>
      <c r="Q44" s="32">
        <f t="shared" si="8"/>
        <v>-9.6984149849158471E-2</v>
      </c>
      <c r="R44" s="32">
        <f t="shared" si="9"/>
        <v>0.21586162773242673</v>
      </c>
      <c r="S44" s="32">
        <f t="shared" si="10"/>
        <v>2.4129647679270144E-2</v>
      </c>
      <c r="T44" s="32">
        <f t="shared" si="11"/>
        <v>-0.12522426979936985</v>
      </c>
      <c r="U44" s="32">
        <f t="shared" si="12"/>
        <v>-1.9072213011055226</v>
      </c>
      <c r="V44" s="37">
        <f t="shared" si="13"/>
        <v>-0.24031879880183946</v>
      </c>
      <c r="W44"/>
      <c r="AK44" s="45" t="s">
        <v>78</v>
      </c>
      <c r="AL44" s="45">
        <v>7</v>
      </c>
      <c r="AM44" s="45">
        <v>25</v>
      </c>
      <c r="AN44" s="45">
        <v>3.5714285710000002</v>
      </c>
      <c r="AO44" s="45">
        <v>1.619047619</v>
      </c>
      <c r="AP44" s="45"/>
      <c r="AQ44" s="45"/>
      <c r="AR44" s="45"/>
    </row>
    <row r="45" spans="1:44" x14ac:dyDescent="0.35">
      <c r="A45">
        <v>1</v>
      </c>
      <c r="B45">
        <v>4</v>
      </c>
      <c r="C45">
        <v>2</v>
      </c>
      <c r="D45">
        <v>4</v>
      </c>
      <c r="E45">
        <v>4</v>
      </c>
      <c r="F45">
        <v>4</v>
      </c>
      <c r="G45">
        <v>2</v>
      </c>
      <c r="H45" s="25">
        <f t="shared" si="0"/>
        <v>1</v>
      </c>
      <c r="I45" s="25">
        <f t="shared" si="1"/>
        <v>2</v>
      </c>
      <c r="J45" s="25">
        <f t="shared" si="2"/>
        <v>2</v>
      </c>
      <c r="K45" s="25">
        <f t="shared" si="3"/>
        <v>2</v>
      </c>
      <c r="L45" s="25">
        <f t="shared" si="4"/>
        <v>2</v>
      </c>
      <c r="M45" s="25">
        <f t="shared" si="5"/>
        <v>4</v>
      </c>
      <c r="N45" s="25">
        <f t="shared" si="6"/>
        <v>2</v>
      </c>
      <c r="O45" s="32">
        <f t="shared" si="14"/>
        <v>-2.758213894687894</v>
      </c>
      <c r="P45" s="32">
        <f t="shared" si="7"/>
        <v>-1.2927857385104427</v>
      </c>
      <c r="Q45" s="32">
        <f t="shared" si="8"/>
        <v>-1.904915094207053</v>
      </c>
      <c r="R45" s="32">
        <f t="shared" si="9"/>
        <v>-1.453693149260562</v>
      </c>
      <c r="S45" s="32">
        <f t="shared" si="10"/>
        <v>-1.664945689869646</v>
      </c>
      <c r="T45" s="32">
        <f t="shared" si="11"/>
        <v>-0.12522426979936985</v>
      </c>
      <c r="U45" s="32">
        <f t="shared" si="12"/>
        <v>-1.9072213011055226</v>
      </c>
      <c r="V45" s="37">
        <f t="shared" si="13"/>
        <v>-1.5867141624914984</v>
      </c>
      <c r="W45"/>
      <c r="AK45" s="45" t="s">
        <v>78</v>
      </c>
      <c r="AL45" s="45">
        <v>7</v>
      </c>
      <c r="AM45" s="45">
        <v>24</v>
      </c>
      <c r="AN45" s="45">
        <v>3.4285714289999998</v>
      </c>
      <c r="AO45" s="45">
        <v>1.2857142859999999</v>
      </c>
      <c r="AP45" s="45"/>
      <c r="AQ45" s="45"/>
      <c r="AR45" s="45"/>
    </row>
    <row r="46" spans="1:44" x14ac:dyDescent="0.35">
      <c r="A46">
        <v>4</v>
      </c>
      <c r="B46">
        <v>1</v>
      </c>
      <c r="C46">
        <v>5</v>
      </c>
      <c r="D46">
        <v>1</v>
      </c>
      <c r="E46">
        <v>1</v>
      </c>
      <c r="F46">
        <v>5</v>
      </c>
      <c r="G46">
        <v>2</v>
      </c>
      <c r="H46" s="25">
        <f t="shared" si="0"/>
        <v>4</v>
      </c>
      <c r="I46" s="25">
        <f t="shared" si="1"/>
        <v>5</v>
      </c>
      <c r="J46" s="25">
        <f t="shared" si="2"/>
        <v>5</v>
      </c>
      <c r="K46" s="25">
        <f t="shared" si="3"/>
        <v>5</v>
      </c>
      <c r="L46" s="25">
        <f t="shared" si="4"/>
        <v>5</v>
      </c>
      <c r="M46" s="25">
        <f t="shared" si="5"/>
        <v>5</v>
      </c>
      <c r="N46" s="25">
        <f t="shared" si="6"/>
        <v>2</v>
      </c>
      <c r="O46" s="32">
        <f t="shared" si="14"/>
        <v>-5.6401471461296142E-2</v>
      </c>
      <c r="P46" s="32">
        <f t="shared" si="7"/>
        <v>1.0418053570413823</v>
      </c>
      <c r="Q46" s="32">
        <f t="shared" si="8"/>
        <v>0.80698132232978881</v>
      </c>
      <c r="R46" s="32">
        <f t="shared" si="9"/>
        <v>1.0506390162289212</v>
      </c>
      <c r="S46" s="32">
        <f t="shared" si="10"/>
        <v>0.86866731645372819</v>
      </c>
      <c r="T46" s="32">
        <f t="shared" si="11"/>
        <v>0.81206041627470116</v>
      </c>
      <c r="U46" s="32">
        <f t="shared" si="12"/>
        <v>-1.9072213011055226</v>
      </c>
      <c r="V46" s="37">
        <f t="shared" si="13"/>
        <v>0.37379009368024335</v>
      </c>
      <c r="W46"/>
      <c r="AK46" s="45" t="s">
        <v>78</v>
      </c>
      <c r="AL46" s="45">
        <v>7</v>
      </c>
      <c r="AM46" s="45">
        <v>24</v>
      </c>
      <c r="AN46" s="45">
        <v>3.4285714289999998</v>
      </c>
      <c r="AO46" s="45">
        <v>0.61904761900000005</v>
      </c>
      <c r="AP46" s="45"/>
      <c r="AQ46" s="45"/>
      <c r="AR46" s="45"/>
    </row>
    <row r="47" spans="1:44" x14ac:dyDescent="0.35">
      <c r="A47">
        <v>5</v>
      </c>
      <c r="B47">
        <v>1</v>
      </c>
      <c r="C47">
        <v>5</v>
      </c>
      <c r="D47">
        <v>1</v>
      </c>
      <c r="E47">
        <v>1</v>
      </c>
      <c r="F47">
        <v>5</v>
      </c>
      <c r="G47">
        <v>2</v>
      </c>
      <c r="H47" s="25">
        <f t="shared" si="0"/>
        <v>5</v>
      </c>
      <c r="I47" s="25">
        <f t="shared" si="1"/>
        <v>5</v>
      </c>
      <c r="J47" s="25">
        <f t="shared" si="2"/>
        <v>5</v>
      </c>
      <c r="K47" s="25">
        <f t="shared" si="3"/>
        <v>5</v>
      </c>
      <c r="L47" s="25">
        <f t="shared" si="4"/>
        <v>5</v>
      </c>
      <c r="M47" s="25">
        <f t="shared" si="5"/>
        <v>5</v>
      </c>
      <c r="N47" s="25">
        <f t="shared" si="6"/>
        <v>2</v>
      </c>
      <c r="O47" s="32">
        <f t="shared" si="14"/>
        <v>0.84420266961423651</v>
      </c>
      <c r="P47" s="32">
        <f t="shared" si="7"/>
        <v>1.0418053570413823</v>
      </c>
      <c r="Q47" s="32">
        <f t="shared" si="8"/>
        <v>0.80698132232978881</v>
      </c>
      <c r="R47" s="32">
        <f t="shared" si="9"/>
        <v>1.0506390162289212</v>
      </c>
      <c r="S47" s="32">
        <f t="shared" si="10"/>
        <v>0.86866731645372819</v>
      </c>
      <c r="T47" s="32">
        <f t="shared" si="11"/>
        <v>0.81206041627470116</v>
      </c>
      <c r="U47" s="32">
        <f t="shared" si="12"/>
        <v>-1.9072213011055226</v>
      </c>
      <c r="V47" s="37">
        <f t="shared" si="13"/>
        <v>0.50244782811960498</v>
      </c>
      <c r="W47"/>
      <c r="AK47" s="45" t="s">
        <v>78</v>
      </c>
      <c r="AL47" s="45">
        <v>7</v>
      </c>
      <c r="AM47" s="45">
        <v>26</v>
      </c>
      <c r="AN47" s="45">
        <v>3.7142857139999998</v>
      </c>
      <c r="AO47" s="45">
        <v>0.571428571</v>
      </c>
      <c r="AP47" s="45"/>
      <c r="AQ47" s="45"/>
      <c r="AR47" s="45"/>
    </row>
    <row r="48" spans="1:44" x14ac:dyDescent="0.35">
      <c r="A48">
        <v>4</v>
      </c>
      <c r="B48">
        <v>1</v>
      </c>
      <c r="C48">
        <v>5</v>
      </c>
      <c r="D48">
        <v>1</v>
      </c>
      <c r="E48">
        <v>1</v>
      </c>
      <c r="F48">
        <v>1</v>
      </c>
      <c r="G48">
        <v>3</v>
      </c>
      <c r="H48" s="25">
        <f t="shared" si="0"/>
        <v>4</v>
      </c>
      <c r="I48" s="25">
        <f t="shared" si="1"/>
        <v>5</v>
      </c>
      <c r="J48" s="25">
        <f t="shared" si="2"/>
        <v>5</v>
      </c>
      <c r="K48" s="25">
        <f t="shared" si="3"/>
        <v>5</v>
      </c>
      <c r="L48" s="25">
        <f t="shared" si="4"/>
        <v>5</v>
      </c>
      <c r="M48" s="25">
        <f t="shared" si="5"/>
        <v>1</v>
      </c>
      <c r="N48" s="25">
        <f t="shared" si="6"/>
        <v>3</v>
      </c>
      <c r="O48" s="32">
        <f t="shared" si="14"/>
        <v>-5.6401471461296142E-2</v>
      </c>
      <c r="P48" s="32">
        <f t="shared" si="7"/>
        <v>1.0418053570413823</v>
      </c>
      <c r="Q48" s="32">
        <f t="shared" si="8"/>
        <v>0.80698132232978881</v>
      </c>
      <c r="R48" s="32">
        <f t="shared" si="9"/>
        <v>1.0506390162289212</v>
      </c>
      <c r="S48" s="32">
        <f t="shared" si="10"/>
        <v>0.86866731645372819</v>
      </c>
      <c r="T48" s="32">
        <f t="shared" si="11"/>
        <v>-2.9370783280215829</v>
      </c>
      <c r="U48" s="32">
        <f t="shared" si="12"/>
        <v>-1.002935339374456</v>
      </c>
      <c r="V48" s="37">
        <f t="shared" si="13"/>
        <v>-3.2617446686216321E-2</v>
      </c>
      <c r="W48"/>
      <c r="AK48" s="45" t="s">
        <v>78</v>
      </c>
      <c r="AL48" s="45">
        <v>7</v>
      </c>
      <c r="AM48" s="45">
        <v>15</v>
      </c>
      <c r="AN48" s="45">
        <v>2.1428571430000001</v>
      </c>
      <c r="AO48" s="45">
        <v>0.80952380999999995</v>
      </c>
      <c r="AP48" s="45"/>
      <c r="AQ48" s="45"/>
      <c r="AR48" s="45"/>
    </row>
    <row r="49" spans="1:44" x14ac:dyDescent="0.35">
      <c r="A49">
        <v>2</v>
      </c>
      <c r="B49">
        <v>1</v>
      </c>
      <c r="C49">
        <v>3</v>
      </c>
      <c r="D49">
        <v>2</v>
      </c>
      <c r="E49">
        <v>1</v>
      </c>
      <c r="F49">
        <v>1</v>
      </c>
      <c r="G49">
        <v>3</v>
      </c>
      <c r="H49" s="25">
        <f t="shared" si="0"/>
        <v>2</v>
      </c>
      <c r="I49" s="25">
        <f t="shared" si="1"/>
        <v>5</v>
      </c>
      <c r="J49" s="25">
        <f t="shared" si="2"/>
        <v>3</v>
      </c>
      <c r="K49" s="25">
        <f t="shared" si="3"/>
        <v>4</v>
      </c>
      <c r="L49" s="25">
        <f t="shared" si="4"/>
        <v>5</v>
      </c>
      <c r="M49" s="25">
        <f t="shared" si="5"/>
        <v>1</v>
      </c>
      <c r="N49" s="25">
        <f t="shared" si="6"/>
        <v>3</v>
      </c>
      <c r="O49" s="32">
        <f t="shared" si="14"/>
        <v>-1.8576097536123615</v>
      </c>
      <c r="P49" s="32">
        <f t="shared" si="7"/>
        <v>1.0418053570413823</v>
      </c>
      <c r="Q49" s="32">
        <f t="shared" si="8"/>
        <v>-1.0009496220281058</v>
      </c>
      <c r="R49" s="32">
        <f t="shared" si="9"/>
        <v>0.21586162773242673</v>
      </c>
      <c r="S49" s="32">
        <f t="shared" si="10"/>
        <v>0.86866731645372819</v>
      </c>
      <c r="T49" s="32">
        <f t="shared" si="11"/>
        <v>-2.9370783280215829</v>
      </c>
      <c r="U49" s="32">
        <f t="shared" si="12"/>
        <v>-1.002935339374456</v>
      </c>
      <c r="V49" s="37">
        <f t="shared" si="13"/>
        <v>-0.66746267740128118</v>
      </c>
      <c r="W49"/>
      <c r="AK49" s="45" t="s">
        <v>78</v>
      </c>
      <c r="AL49" s="45">
        <v>7</v>
      </c>
      <c r="AM49" s="45">
        <v>31</v>
      </c>
      <c r="AN49" s="45">
        <v>4.4285714289999998</v>
      </c>
      <c r="AO49" s="45">
        <v>1.2857142859999999</v>
      </c>
      <c r="AP49" s="45"/>
      <c r="AQ49" s="45"/>
      <c r="AR49" s="45"/>
    </row>
    <row r="50" spans="1:44" x14ac:dyDescent="0.35">
      <c r="A50">
        <v>5</v>
      </c>
      <c r="B50">
        <v>1</v>
      </c>
      <c r="C50">
        <v>1</v>
      </c>
      <c r="D50">
        <v>1</v>
      </c>
      <c r="E50">
        <v>5</v>
      </c>
      <c r="F50">
        <v>1</v>
      </c>
      <c r="G50">
        <v>3</v>
      </c>
      <c r="H50" s="25">
        <f t="shared" si="0"/>
        <v>5</v>
      </c>
      <c r="I50" s="25">
        <f t="shared" si="1"/>
        <v>5</v>
      </c>
      <c r="J50" s="25">
        <f t="shared" si="2"/>
        <v>1</v>
      </c>
      <c r="K50" s="25">
        <f t="shared" si="3"/>
        <v>5</v>
      </c>
      <c r="L50" s="25">
        <f t="shared" si="4"/>
        <v>1</v>
      </c>
      <c r="M50" s="25">
        <f t="shared" si="5"/>
        <v>1</v>
      </c>
      <c r="N50" s="25">
        <f t="shared" si="6"/>
        <v>3</v>
      </c>
      <c r="O50" s="32">
        <f t="shared" si="14"/>
        <v>0.84420266961423651</v>
      </c>
      <c r="P50" s="32">
        <f t="shared" si="7"/>
        <v>1.0418053570413823</v>
      </c>
      <c r="Q50" s="32">
        <f t="shared" si="8"/>
        <v>-2.8088805663860001</v>
      </c>
      <c r="R50" s="32">
        <f t="shared" si="9"/>
        <v>1.0506390162289212</v>
      </c>
      <c r="S50" s="32">
        <f t="shared" si="10"/>
        <v>-2.5094833586441041</v>
      </c>
      <c r="T50" s="32">
        <f t="shared" si="11"/>
        <v>-2.9370783280215829</v>
      </c>
      <c r="U50" s="32">
        <f t="shared" si="12"/>
        <v>-1.002935339374456</v>
      </c>
      <c r="V50" s="37">
        <f t="shared" si="13"/>
        <v>-0.90310436422022911</v>
      </c>
      <c r="W50"/>
      <c r="AK50" s="45" t="s">
        <v>78</v>
      </c>
      <c r="AL50" s="45">
        <v>7</v>
      </c>
      <c r="AM50" s="45">
        <v>32</v>
      </c>
      <c r="AN50" s="45">
        <v>4.5714285710000002</v>
      </c>
      <c r="AO50" s="45">
        <v>1.2857142859999999</v>
      </c>
      <c r="AP50" s="45"/>
      <c r="AQ50" s="45"/>
      <c r="AR50" s="45"/>
    </row>
    <row r="51" spans="1:44" x14ac:dyDescent="0.35">
      <c r="A51">
        <v>2</v>
      </c>
      <c r="B51">
        <v>1</v>
      </c>
      <c r="C51">
        <v>2</v>
      </c>
      <c r="D51">
        <v>2</v>
      </c>
      <c r="E51">
        <v>2</v>
      </c>
      <c r="F51">
        <v>2</v>
      </c>
      <c r="G51">
        <v>3</v>
      </c>
      <c r="H51" s="25">
        <f t="shared" si="0"/>
        <v>2</v>
      </c>
      <c r="I51" s="25">
        <f t="shared" si="1"/>
        <v>5</v>
      </c>
      <c r="J51" s="25">
        <f t="shared" si="2"/>
        <v>2</v>
      </c>
      <c r="K51" s="25">
        <f t="shared" si="3"/>
        <v>4</v>
      </c>
      <c r="L51" s="25">
        <f t="shared" si="4"/>
        <v>4</v>
      </c>
      <c r="M51" s="25">
        <f t="shared" si="5"/>
        <v>2</v>
      </c>
      <c r="N51" s="25">
        <f t="shared" si="6"/>
        <v>3</v>
      </c>
      <c r="O51" s="32">
        <f t="shared" si="14"/>
        <v>-1.8576097536123615</v>
      </c>
      <c r="P51" s="32">
        <f t="shared" si="7"/>
        <v>1.0418053570413823</v>
      </c>
      <c r="Q51" s="32">
        <f t="shared" si="8"/>
        <v>-1.904915094207053</v>
      </c>
      <c r="R51" s="32">
        <f t="shared" si="9"/>
        <v>0.21586162773242673</v>
      </c>
      <c r="S51" s="32">
        <f t="shared" si="10"/>
        <v>2.4129647679270144E-2</v>
      </c>
      <c r="T51" s="32">
        <f t="shared" si="11"/>
        <v>-1.9997936419475117</v>
      </c>
      <c r="U51" s="32">
        <f t="shared" si="12"/>
        <v>-1.002935339374456</v>
      </c>
      <c r="V51" s="37">
        <f t="shared" si="13"/>
        <v>-0.78335102809832891</v>
      </c>
      <c r="W51"/>
      <c r="AK51" s="45" t="s">
        <v>78</v>
      </c>
      <c r="AL51" s="45">
        <v>7</v>
      </c>
      <c r="AM51" s="45">
        <v>28</v>
      </c>
      <c r="AN51" s="45">
        <v>4</v>
      </c>
      <c r="AO51" s="45">
        <v>2.3333333330000001</v>
      </c>
      <c r="AP51" s="45"/>
      <c r="AQ51" s="45"/>
      <c r="AR51" s="45"/>
    </row>
    <row r="52" spans="1:44" x14ac:dyDescent="0.35">
      <c r="A52">
        <v>2</v>
      </c>
      <c r="B52">
        <v>3</v>
      </c>
      <c r="C52">
        <v>4</v>
      </c>
      <c r="D52">
        <v>3</v>
      </c>
      <c r="E52">
        <v>2</v>
      </c>
      <c r="F52">
        <v>2</v>
      </c>
      <c r="G52">
        <v>3</v>
      </c>
      <c r="H52" s="25">
        <f t="shared" si="0"/>
        <v>2</v>
      </c>
      <c r="I52" s="25">
        <f t="shared" si="1"/>
        <v>3</v>
      </c>
      <c r="J52" s="25">
        <f t="shared" si="2"/>
        <v>4</v>
      </c>
      <c r="K52" s="25">
        <f t="shared" si="3"/>
        <v>3</v>
      </c>
      <c r="L52" s="25">
        <f t="shared" si="4"/>
        <v>4</v>
      </c>
      <c r="M52" s="25">
        <f t="shared" si="5"/>
        <v>2</v>
      </c>
      <c r="N52" s="25">
        <f t="shared" si="6"/>
        <v>3</v>
      </c>
      <c r="O52" s="32">
        <f t="shared" si="14"/>
        <v>-1.8576097536123615</v>
      </c>
      <c r="P52" s="32">
        <f t="shared" si="7"/>
        <v>-0.51458870665983425</v>
      </c>
      <c r="Q52" s="32">
        <f t="shared" si="8"/>
        <v>-9.6984149849158471E-2</v>
      </c>
      <c r="R52" s="32">
        <f t="shared" si="9"/>
        <v>-0.61891576076406762</v>
      </c>
      <c r="S52" s="32">
        <f t="shared" si="10"/>
        <v>2.4129647679270144E-2</v>
      </c>
      <c r="T52" s="32">
        <f t="shared" si="11"/>
        <v>-1.9997936419475117</v>
      </c>
      <c r="U52" s="32">
        <f t="shared" si="12"/>
        <v>-1.002935339374456</v>
      </c>
      <c r="V52" s="37">
        <f t="shared" si="13"/>
        <v>-0.86667110064687414</v>
      </c>
      <c r="W52"/>
      <c r="AK52" s="45" t="s">
        <v>78</v>
      </c>
      <c r="AL52" s="45">
        <v>7</v>
      </c>
      <c r="AM52" s="45">
        <v>23</v>
      </c>
      <c r="AN52" s="45">
        <v>3.2857142860000002</v>
      </c>
      <c r="AO52" s="45">
        <v>2.2380952380000001</v>
      </c>
      <c r="AP52" s="45"/>
      <c r="AQ52" s="45"/>
      <c r="AR52" s="45"/>
    </row>
    <row r="53" spans="1:44" x14ac:dyDescent="0.35">
      <c r="A53">
        <v>2</v>
      </c>
      <c r="B53">
        <v>5</v>
      </c>
      <c r="C53">
        <v>2</v>
      </c>
      <c r="D53">
        <v>4</v>
      </c>
      <c r="E53">
        <v>2</v>
      </c>
      <c r="F53">
        <v>2</v>
      </c>
      <c r="G53">
        <v>3</v>
      </c>
      <c r="H53" s="25">
        <f t="shared" si="0"/>
        <v>2</v>
      </c>
      <c r="I53" s="25">
        <f t="shared" si="1"/>
        <v>1</v>
      </c>
      <c r="J53" s="25">
        <f t="shared" si="2"/>
        <v>2</v>
      </c>
      <c r="K53" s="25">
        <f t="shared" si="3"/>
        <v>2</v>
      </c>
      <c r="L53" s="25">
        <f t="shared" si="4"/>
        <v>4</v>
      </c>
      <c r="M53" s="25">
        <f t="shared" si="5"/>
        <v>2</v>
      </c>
      <c r="N53" s="25">
        <f t="shared" si="6"/>
        <v>3</v>
      </c>
      <c r="O53" s="32">
        <f t="shared" si="14"/>
        <v>-1.8576097536123615</v>
      </c>
      <c r="P53" s="32">
        <f t="shared" si="7"/>
        <v>-2.0709827703610508</v>
      </c>
      <c r="Q53" s="32">
        <f t="shared" si="8"/>
        <v>-1.904915094207053</v>
      </c>
      <c r="R53" s="32">
        <f t="shared" si="9"/>
        <v>-1.453693149260562</v>
      </c>
      <c r="S53" s="32">
        <f t="shared" si="10"/>
        <v>2.4129647679270144E-2</v>
      </c>
      <c r="T53" s="32">
        <f t="shared" si="11"/>
        <v>-1.9997936419475117</v>
      </c>
      <c r="U53" s="32">
        <f t="shared" si="12"/>
        <v>-1.002935339374456</v>
      </c>
      <c r="V53" s="37">
        <f t="shared" si="13"/>
        <v>-1.4665428715833893</v>
      </c>
      <c r="W53"/>
      <c r="AK53" s="45" t="s">
        <v>78</v>
      </c>
      <c r="AL53" s="45">
        <v>7</v>
      </c>
      <c r="AM53" s="45">
        <v>21</v>
      </c>
      <c r="AN53" s="45">
        <v>3</v>
      </c>
      <c r="AO53" s="45">
        <v>4</v>
      </c>
      <c r="AP53" s="45"/>
      <c r="AQ53" s="45"/>
      <c r="AR53" s="45"/>
    </row>
    <row r="54" spans="1:44" x14ac:dyDescent="0.35">
      <c r="A54">
        <v>5</v>
      </c>
      <c r="B54">
        <v>4</v>
      </c>
      <c r="C54">
        <v>2</v>
      </c>
      <c r="D54">
        <v>2</v>
      </c>
      <c r="E54">
        <v>3</v>
      </c>
      <c r="F54">
        <v>2</v>
      </c>
      <c r="G54">
        <v>3</v>
      </c>
      <c r="H54" s="25">
        <f t="shared" si="0"/>
        <v>5</v>
      </c>
      <c r="I54" s="25">
        <f t="shared" si="1"/>
        <v>2</v>
      </c>
      <c r="J54" s="25">
        <f t="shared" si="2"/>
        <v>2</v>
      </c>
      <c r="K54" s="25">
        <f t="shared" si="3"/>
        <v>4</v>
      </c>
      <c r="L54" s="25">
        <f t="shared" si="4"/>
        <v>3</v>
      </c>
      <c r="M54" s="25">
        <f t="shared" si="5"/>
        <v>2</v>
      </c>
      <c r="N54" s="25">
        <f t="shared" si="6"/>
        <v>3</v>
      </c>
      <c r="O54" s="32">
        <f t="shared" si="14"/>
        <v>0.84420266961423651</v>
      </c>
      <c r="P54" s="32">
        <f t="shared" si="7"/>
        <v>-1.2927857385104427</v>
      </c>
      <c r="Q54" s="32">
        <f t="shared" si="8"/>
        <v>-1.904915094207053</v>
      </c>
      <c r="R54" s="32">
        <f t="shared" si="9"/>
        <v>0.21586162773242673</v>
      </c>
      <c r="S54" s="32">
        <f t="shared" si="10"/>
        <v>-0.82040802109518784</v>
      </c>
      <c r="T54" s="32">
        <f t="shared" si="11"/>
        <v>-1.9997936419475117</v>
      </c>
      <c r="U54" s="32">
        <f t="shared" si="12"/>
        <v>-1.002935339374456</v>
      </c>
      <c r="V54" s="37">
        <f t="shared" si="13"/>
        <v>-0.85153907682685548</v>
      </c>
      <c r="W54"/>
      <c r="AK54" s="45" t="s">
        <v>78</v>
      </c>
      <c r="AL54" s="45">
        <v>7</v>
      </c>
      <c r="AM54" s="45">
        <v>22</v>
      </c>
      <c r="AN54" s="45">
        <v>3.1428571430000001</v>
      </c>
      <c r="AO54" s="45">
        <v>1.476190476</v>
      </c>
      <c r="AP54" s="45"/>
      <c r="AQ54" s="45"/>
      <c r="AR54" s="45"/>
    </row>
    <row r="55" spans="1:44" x14ac:dyDescent="0.35">
      <c r="A55">
        <v>3</v>
      </c>
      <c r="B55">
        <v>3</v>
      </c>
      <c r="C55">
        <v>3</v>
      </c>
      <c r="D55">
        <v>3</v>
      </c>
      <c r="E55">
        <v>3</v>
      </c>
      <c r="F55">
        <v>2</v>
      </c>
      <c r="G55">
        <v>3</v>
      </c>
      <c r="H55" s="25">
        <f t="shared" si="0"/>
        <v>3</v>
      </c>
      <c r="I55" s="25">
        <f t="shared" si="1"/>
        <v>3</v>
      </c>
      <c r="J55" s="25">
        <f t="shared" si="2"/>
        <v>3</v>
      </c>
      <c r="K55" s="25">
        <f t="shared" si="3"/>
        <v>3</v>
      </c>
      <c r="L55" s="25">
        <f t="shared" si="4"/>
        <v>3</v>
      </c>
      <c r="M55" s="25">
        <f t="shared" si="5"/>
        <v>2</v>
      </c>
      <c r="N55" s="25">
        <f t="shared" si="6"/>
        <v>3</v>
      </c>
      <c r="O55" s="32">
        <f t="shared" si="14"/>
        <v>-0.95700561253682881</v>
      </c>
      <c r="P55" s="32">
        <f t="shared" si="7"/>
        <v>-0.51458870665983425</v>
      </c>
      <c r="Q55" s="32">
        <f t="shared" si="8"/>
        <v>-1.0009496220281058</v>
      </c>
      <c r="R55" s="32">
        <f t="shared" si="9"/>
        <v>-0.61891576076406762</v>
      </c>
      <c r="S55" s="32">
        <f t="shared" si="10"/>
        <v>-0.82040802109518784</v>
      </c>
      <c r="T55" s="32">
        <f t="shared" si="11"/>
        <v>-1.9997936419475117</v>
      </c>
      <c r="U55" s="32">
        <f t="shared" si="12"/>
        <v>-1.002935339374456</v>
      </c>
      <c r="V55" s="37">
        <f t="shared" si="13"/>
        <v>-0.98779952920085612</v>
      </c>
      <c r="W55"/>
      <c r="AK55" s="45" t="s">
        <v>78</v>
      </c>
      <c r="AL55" s="45">
        <v>7</v>
      </c>
      <c r="AM55" s="45">
        <v>21</v>
      </c>
      <c r="AN55" s="45">
        <v>3</v>
      </c>
      <c r="AO55" s="45">
        <v>0.66666666699999999</v>
      </c>
      <c r="AP55" s="45"/>
      <c r="AQ55" s="45"/>
      <c r="AR55" s="45"/>
    </row>
    <row r="56" spans="1:44" x14ac:dyDescent="0.35">
      <c r="A56">
        <v>3</v>
      </c>
      <c r="B56">
        <v>2</v>
      </c>
      <c r="C56">
        <v>4</v>
      </c>
      <c r="D56">
        <v>3</v>
      </c>
      <c r="E56">
        <v>3</v>
      </c>
      <c r="F56">
        <v>2</v>
      </c>
      <c r="G56">
        <v>3</v>
      </c>
      <c r="H56" s="25">
        <f t="shared" si="0"/>
        <v>3</v>
      </c>
      <c r="I56" s="25">
        <f t="shared" si="1"/>
        <v>4</v>
      </c>
      <c r="J56" s="25">
        <f t="shared" si="2"/>
        <v>4</v>
      </c>
      <c r="K56" s="25">
        <f t="shared" si="3"/>
        <v>3</v>
      </c>
      <c r="L56" s="25">
        <f t="shared" si="4"/>
        <v>3</v>
      </c>
      <c r="M56" s="25">
        <f t="shared" si="5"/>
        <v>2</v>
      </c>
      <c r="N56" s="25">
        <f t="shared" si="6"/>
        <v>3</v>
      </c>
      <c r="O56" s="32">
        <f t="shared" si="14"/>
        <v>-0.95700561253682881</v>
      </c>
      <c r="P56" s="32">
        <f t="shared" si="7"/>
        <v>0.26360832519077404</v>
      </c>
      <c r="Q56" s="32">
        <f t="shared" si="8"/>
        <v>-9.6984149849158471E-2</v>
      </c>
      <c r="R56" s="32">
        <f t="shared" si="9"/>
        <v>-0.61891576076406762</v>
      </c>
      <c r="S56" s="32">
        <f t="shared" si="10"/>
        <v>-0.82040802109518784</v>
      </c>
      <c r="T56" s="32">
        <f t="shared" si="11"/>
        <v>-1.9997936419475117</v>
      </c>
      <c r="U56" s="32">
        <f t="shared" si="12"/>
        <v>-1.002935339374456</v>
      </c>
      <c r="V56" s="37">
        <f t="shared" si="13"/>
        <v>-0.74749060005377665</v>
      </c>
      <c r="W56"/>
      <c r="AK56" s="45" t="s">
        <v>78</v>
      </c>
      <c r="AL56" s="45">
        <v>7</v>
      </c>
      <c r="AM56" s="45">
        <v>16</v>
      </c>
      <c r="AN56" s="45">
        <v>2.2857142860000002</v>
      </c>
      <c r="AO56" s="45">
        <v>0.90476190499999998</v>
      </c>
      <c r="AP56" s="45"/>
      <c r="AQ56" s="45"/>
      <c r="AR56" s="45"/>
    </row>
    <row r="57" spans="1:44" x14ac:dyDescent="0.35">
      <c r="A57">
        <v>1</v>
      </c>
      <c r="B57">
        <v>3</v>
      </c>
      <c r="C57">
        <v>1</v>
      </c>
      <c r="D57">
        <v>3</v>
      </c>
      <c r="E57">
        <v>4</v>
      </c>
      <c r="F57">
        <v>2</v>
      </c>
      <c r="G57">
        <v>3</v>
      </c>
      <c r="H57" s="25">
        <f t="shared" si="0"/>
        <v>1</v>
      </c>
      <c r="I57" s="25">
        <f t="shared" si="1"/>
        <v>3</v>
      </c>
      <c r="J57" s="25">
        <f t="shared" si="2"/>
        <v>1</v>
      </c>
      <c r="K57" s="25">
        <f t="shared" si="3"/>
        <v>3</v>
      </c>
      <c r="L57" s="25">
        <f t="shared" si="4"/>
        <v>2</v>
      </c>
      <c r="M57" s="25">
        <f t="shared" si="5"/>
        <v>2</v>
      </c>
      <c r="N57" s="25">
        <f t="shared" si="6"/>
        <v>3</v>
      </c>
      <c r="O57" s="32">
        <f t="shared" si="14"/>
        <v>-2.758213894687894</v>
      </c>
      <c r="P57" s="32">
        <f t="shared" si="7"/>
        <v>-0.51458870665983425</v>
      </c>
      <c r="Q57" s="32">
        <f t="shared" si="8"/>
        <v>-2.8088805663860001</v>
      </c>
      <c r="R57" s="32">
        <f t="shared" si="9"/>
        <v>-0.61891576076406762</v>
      </c>
      <c r="S57" s="32">
        <f t="shared" si="10"/>
        <v>-1.664945689869646</v>
      </c>
      <c r="T57" s="32">
        <f t="shared" si="11"/>
        <v>-1.9997936419475117</v>
      </c>
      <c r="U57" s="32">
        <f t="shared" si="12"/>
        <v>-1.002935339374456</v>
      </c>
      <c r="V57" s="37">
        <f t="shared" si="13"/>
        <v>-1.6240390856699158</v>
      </c>
      <c r="W57"/>
      <c r="AK57" s="45" t="s">
        <v>78</v>
      </c>
      <c r="AL57" s="45">
        <v>7</v>
      </c>
      <c r="AM57" s="45">
        <v>21</v>
      </c>
      <c r="AN57" s="45">
        <v>3</v>
      </c>
      <c r="AO57" s="45">
        <v>1.3333333329999999</v>
      </c>
      <c r="AP57" s="45"/>
      <c r="AQ57" s="45"/>
      <c r="AR57" s="45"/>
    </row>
    <row r="58" spans="1:44" x14ac:dyDescent="0.35">
      <c r="A58">
        <v>3</v>
      </c>
      <c r="B58">
        <v>3</v>
      </c>
      <c r="C58">
        <v>5</v>
      </c>
      <c r="D58">
        <v>4</v>
      </c>
      <c r="E58">
        <v>4</v>
      </c>
      <c r="F58">
        <v>2</v>
      </c>
      <c r="G58">
        <v>3</v>
      </c>
      <c r="H58" s="25">
        <f t="shared" si="0"/>
        <v>3</v>
      </c>
      <c r="I58" s="25">
        <f t="shared" si="1"/>
        <v>3</v>
      </c>
      <c r="J58" s="25">
        <f t="shared" si="2"/>
        <v>5</v>
      </c>
      <c r="K58" s="25">
        <f t="shared" si="3"/>
        <v>2</v>
      </c>
      <c r="L58" s="25">
        <f t="shared" si="4"/>
        <v>2</v>
      </c>
      <c r="M58" s="25">
        <f t="shared" si="5"/>
        <v>2</v>
      </c>
      <c r="N58" s="25">
        <f t="shared" si="6"/>
        <v>3</v>
      </c>
      <c r="O58" s="32">
        <f t="shared" si="14"/>
        <v>-0.95700561253682881</v>
      </c>
      <c r="P58" s="32">
        <f t="shared" si="7"/>
        <v>-0.51458870665983425</v>
      </c>
      <c r="Q58" s="32">
        <f t="shared" si="8"/>
        <v>0.80698132232978881</v>
      </c>
      <c r="R58" s="32">
        <f t="shared" si="9"/>
        <v>-1.453693149260562</v>
      </c>
      <c r="S58" s="32">
        <f t="shared" si="10"/>
        <v>-1.664945689869646</v>
      </c>
      <c r="T58" s="32">
        <f t="shared" si="11"/>
        <v>-1.9997936419475117</v>
      </c>
      <c r="U58" s="32">
        <f t="shared" si="12"/>
        <v>-1.002935339374456</v>
      </c>
      <c r="V58" s="37">
        <f t="shared" si="13"/>
        <v>-0.96942583104557856</v>
      </c>
      <c r="W58"/>
      <c r="AK58" s="45" t="s">
        <v>78</v>
      </c>
      <c r="AL58" s="45">
        <v>7</v>
      </c>
      <c r="AM58" s="45">
        <v>20</v>
      </c>
      <c r="AN58" s="45">
        <v>2.8571428569999999</v>
      </c>
      <c r="AO58" s="45">
        <v>0.14285714299999999</v>
      </c>
      <c r="AP58" s="45"/>
      <c r="AQ58" s="45"/>
      <c r="AR58" s="45"/>
    </row>
    <row r="59" spans="1:44" x14ac:dyDescent="0.35">
      <c r="A59">
        <v>4</v>
      </c>
      <c r="B59">
        <v>2</v>
      </c>
      <c r="C59">
        <v>4</v>
      </c>
      <c r="D59">
        <v>1</v>
      </c>
      <c r="E59">
        <v>1</v>
      </c>
      <c r="F59">
        <v>3</v>
      </c>
      <c r="G59">
        <v>3</v>
      </c>
      <c r="H59" s="25">
        <f t="shared" si="0"/>
        <v>4</v>
      </c>
      <c r="I59" s="25">
        <f t="shared" si="1"/>
        <v>4</v>
      </c>
      <c r="J59" s="25">
        <f t="shared" si="2"/>
        <v>4</v>
      </c>
      <c r="K59" s="25">
        <f t="shared" si="3"/>
        <v>5</v>
      </c>
      <c r="L59" s="25">
        <f t="shared" si="4"/>
        <v>5</v>
      </c>
      <c r="M59" s="25">
        <f t="shared" si="5"/>
        <v>3</v>
      </c>
      <c r="N59" s="25">
        <f t="shared" si="6"/>
        <v>3</v>
      </c>
      <c r="O59" s="32">
        <f t="shared" si="14"/>
        <v>-5.6401471461296142E-2</v>
      </c>
      <c r="P59" s="32">
        <f t="shared" si="7"/>
        <v>0.26360832519077404</v>
      </c>
      <c r="Q59" s="32">
        <f t="shared" si="8"/>
        <v>-9.6984149849158471E-2</v>
      </c>
      <c r="R59" s="32">
        <f t="shared" si="9"/>
        <v>1.0506390162289212</v>
      </c>
      <c r="S59" s="32">
        <f t="shared" si="10"/>
        <v>0.86866731645372819</v>
      </c>
      <c r="T59" s="32">
        <f t="shared" si="11"/>
        <v>-1.0625089558734409</v>
      </c>
      <c r="U59" s="32">
        <f t="shared" si="12"/>
        <v>-1.002935339374456</v>
      </c>
      <c r="V59" s="37">
        <f t="shared" si="13"/>
        <v>-5.130751240704009E-3</v>
      </c>
      <c r="W59"/>
      <c r="AK59" s="45" t="s">
        <v>78</v>
      </c>
      <c r="AL59" s="45">
        <v>7</v>
      </c>
      <c r="AM59" s="45">
        <v>22</v>
      </c>
      <c r="AN59" s="45">
        <v>3.1428571430000001</v>
      </c>
      <c r="AO59" s="45">
        <v>0.47619047599999997</v>
      </c>
      <c r="AP59" s="45"/>
      <c r="AQ59" s="45"/>
      <c r="AR59" s="45"/>
    </row>
    <row r="60" spans="1:44" x14ac:dyDescent="0.35">
      <c r="A60">
        <v>3</v>
      </c>
      <c r="B60">
        <v>1</v>
      </c>
      <c r="C60">
        <v>5</v>
      </c>
      <c r="D60">
        <v>2</v>
      </c>
      <c r="E60">
        <v>1</v>
      </c>
      <c r="F60">
        <v>3</v>
      </c>
      <c r="G60">
        <v>3</v>
      </c>
      <c r="H60" s="25">
        <f t="shared" si="0"/>
        <v>3</v>
      </c>
      <c r="I60" s="25">
        <f t="shared" si="1"/>
        <v>5</v>
      </c>
      <c r="J60" s="25">
        <f t="shared" si="2"/>
        <v>5</v>
      </c>
      <c r="K60" s="25">
        <f t="shared" si="3"/>
        <v>4</v>
      </c>
      <c r="L60" s="25">
        <f t="shared" si="4"/>
        <v>5</v>
      </c>
      <c r="M60" s="25">
        <f t="shared" si="5"/>
        <v>3</v>
      </c>
      <c r="N60" s="25">
        <f t="shared" si="6"/>
        <v>3</v>
      </c>
      <c r="O60" s="32">
        <f t="shared" si="14"/>
        <v>-0.95700561253682881</v>
      </c>
      <c r="P60" s="32">
        <f t="shared" si="7"/>
        <v>1.0418053570413823</v>
      </c>
      <c r="Q60" s="32">
        <f t="shared" si="8"/>
        <v>0.80698132232978881</v>
      </c>
      <c r="R60" s="32">
        <f t="shared" si="9"/>
        <v>0.21586162773242673</v>
      </c>
      <c r="S60" s="32">
        <f t="shared" si="10"/>
        <v>0.86866731645372819</v>
      </c>
      <c r="T60" s="32">
        <f t="shared" si="11"/>
        <v>-1.0625089558734409</v>
      </c>
      <c r="U60" s="32">
        <f t="shared" si="12"/>
        <v>-1.002935339374456</v>
      </c>
      <c r="V60" s="37">
        <f t="shared" si="13"/>
        <v>-1.2733469175342809E-2</v>
      </c>
      <c r="W60"/>
      <c r="AK60" s="45" t="s">
        <v>78</v>
      </c>
      <c r="AL60" s="45">
        <v>7</v>
      </c>
      <c r="AM60" s="45">
        <v>15</v>
      </c>
      <c r="AN60" s="45">
        <v>2.1428571430000001</v>
      </c>
      <c r="AO60" s="45">
        <v>0.80952380999999995</v>
      </c>
      <c r="AP60" s="45"/>
      <c r="AQ60" s="45"/>
      <c r="AR60" s="45"/>
    </row>
    <row r="61" spans="1:44" x14ac:dyDescent="0.35">
      <c r="A61">
        <v>3</v>
      </c>
      <c r="B61">
        <v>4</v>
      </c>
      <c r="C61">
        <v>4</v>
      </c>
      <c r="D61">
        <v>3</v>
      </c>
      <c r="E61">
        <v>1</v>
      </c>
      <c r="F61">
        <v>3</v>
      </c>
      <c r="G61">
        <v>3</v>
      </c>
      <c r="H61" s="25">
        <f t="shared" si="0"/>
        <v>3</v>
      </c>
      <c r="I61" s="25">
        <f t="shared" si="1"/>
        <v>2</v>
      </c>
      <c r="J61" s="25">
        <f t="shared" si="2"/>
        <v>4</v>
      </c>
      <c r="K61" s="25">
        <f t="shared" si="3"/>
        <v>3</v>
      </c>
      <c r="L61" s="25">
        <f t="shared" si="4"/>
        <v>5</v>
      </c>
      <c r="M61" s="25">
        <f t="shared" si="5"/>
        <v>3</v>
      </c>
      <c r="N61" s="25">
        <f t="shared" si="6"/>
        <v>3</v>
      </c>
      <c r="O61" s="32">
        <f t="shared" si="14"/>
        <v>-0.95700561253682881</v>
      </c>
      <c r="P61" s="32">
        <f t="shared" si="7"/>
        <v>-1.2927857385104427</v>
      </c>
      <c r="Q61" s="32">
        <f t="shared" si="8"/>
        <v>-9.6984149849158471E-2</v>
      </c>
      <c r="R61" s="32">
        <f t="shared" si="9"/>
        <v>-0.61891576076406762</v>
      </c>
      <c r="S61" s="32">
        <f t="shared" si="10"/>
        <v>0.86866731645372819</v>
      </c>
      <c r="T61" s="32">
        <f t="shared" si="11"/>
        <v>-1.0625089558734409</v>
      </c>
      <c r="U61" s="32">
        <f t="shared" si="12"/>
        <v>-1.002935339374456</v>
      </c>
      <c r="V61" s="37">
        <f t="shared" si="13"/>
        <v>-0.59463832006495232</v>
      </c>
      <c r="W61"/>
      <c r="AK61" s="45" t="s">
        <v>78</v>
      </c>
      <c r="AL61" s="45">
        <v>7</v>
      </c>
      <c r="AM61" s="45">
        <v>20</v>
      </c>
      <c r="AN61" s="45">
        <v>2.8571428569999999</v>
      </c>
      <c r="AO61" s="45">
        <v>1.1428571430000001</v>
      </c>
      <c r="AP61" s="45"/>
      <c r="AQ61" s="45"/>
      <c r="AR61" s="45"/>
    </row>
    <row r="62" spans="1:44" x14ac:dyDescent="0.35">
      <c r="A62">
        <v>3</v>
      </c>
      <c r="B62">
        <v>3</v>
      </c>
      <c r="C62">
        <v>5</v>
      </c>
      <c r="D62">
        <v>3</v>
      </c>
      <c r="E62">
        <v>1</v>
      </c>
      <c r="F62">
        <v>3</v>
      </c>
      <c r="G62">
        <v>3</v>
      </c>
      <c r="H62" s="25">
        <f t="shared" si="0"/>
        <v>3</v>
      </c>
      <c r="I62" s="25">
        <f t="shared" si="1"/>
        <v>3</v>
      </c>
      <c r="J62" s="25">
        <f t="shared" si="2"/>
        <v>5</v>
      </c>
      <c r="K62" s="25">
        <f t="shared" si="3"/>
        <v>3</v>
      </c>
      <c r="L62" s="25">
        <f t="shared" si="4"/>
        <v>5</v>
      </c>
      <c r="M62" s="25">
        <f t="shared" si="5"/>
        <v>3</v>
      </c>
      <c r="N62" s="25">
        <f t="shared" si="6"/>
        <v>3</v>
      </c>
      <c r="O62" s="32">
        <f t="shared" si="14"/>
        <v>-0.95700561253682881</v>
      </c>
      <c r="P62" s="32">
        <f t="shared" si="7"/>
        <v>-0.51458870665983425</v>
      </c>
      <c r="Q62" s="32">
        <f t="shared" si="8"/>
        <v>0.80698132232978881</v>
      </c>
      <c r="R62" s="32">
        <f t="shared" si="9"/>
        <v>-0.61891576076406762</v>
      </c>
      <c r="S62" s="32">
        <f t="shared" si="10"/>
        <v>0.86866731645372819</v>
      </c>
      <c r="T62" s="32">
        <f t="shared" si="11"/>
        <v>-1.0625089558734409</v>
      </c>
      <c r="U62" s="32">
        <f t="shared" si="12"/>
        <v>-1.002935339374456</v>
      </c>
      <c r="V62" s="37">
        <f t="shared" si="13"/>
        <v>-0.35432939091787297</v>
      </c>
      <c r="W62"/>
      <c r="AK62" s="45" t="s">
        <v>78</v>
      </c>
      <c r="AL62" s="45">
        <v>7</v>
      </c>
      <c r="AM62" s="45">
        <v>28</v>
      </c>
      <c r="AN62" s="45">
        <v>4</v>
      </c>
      <c r="AO62" s="45">
        <v>0.66666666699999999</v>
      </c>
      <c r="AP62" s="45"/>
      <c r="AQ62" s="45"/>
      <c r="AR62" s="45"/>
    </row>
    <row r="63" spans="1:44" x14ac:dyDescent="0.35">
      <c r="A63">
        <v>5</v>
      </c>
      <c r="B63">
        <v>5</v>
      </c>
      <c r="C63">
        <v>5</v>
      </c>
      <c r="D63">
        <v>5</v>
      </c>
      <c r="E63">
        <v>1</v>
      </c>
      <c r="F63">
        <v>3</v>
      </c>
      <c r="G63">
        <v>3</v>
      </c>
      <c r="H63" s="25">
        <f t="shared" si="0"/>
        <v>5</v>
      </c>
      <c r="I63" s="25">
        <f t="shared" si="1"/>
        <v>1</v>
      </c>
      <c r="J63" s="25">
        <f t="shared" si="2"/>
        <v>5</v>
      </c>
      <c r="K63" s="25">
        <f t="shared" si="3"/>
        <v>1</v>
      </c>
      <c r="L63" s="25">
        <f t="shared" si="4"/>
        <v>5</v>
      </c>
      <c r="M63" s="25">
        <f t="shared" si="5"/>
        <v>3</v>
      </c>
      <c r="N63" s="25">
        <f t="shared" si="6"/>
        <v>3</v>
      </c>
      <c r="O63" s="32">
        <f t="shared" si="14"/>
        <v>0.84420266961423651</v>
      </c>
      <c r="P63" s="32">
        <f t="shared" si="7"/>
        <v>-2.0709827703610508</v>
      </c>
      <c r="Q63" s="32">
        <f t="shared" si="8"/>
        <v>0.80698132232978881</v>
      </c>
      <c r="R63" s="32">
        <f t="shared" si="9"/>
        <v>-2.2884705377570564</v>
      </c>
      <c r="S63" s="32">
        <f t="shared" si="10"/>
        <v>0.86866731645372819</v>
      </c>
      <c r="T63" s="32">
        <f t="shared" si="11"/>
        <v>-1.0625089558734409</v>
      </c>
      <c r="U63" s="32">
        <f t="shared" si="12"/>
        <v>-1.002935339374456</v>
      </c>
      <c r="V63" s="37">
        <f t="shared" si="13"/>
        <v>-0.55786375642403585</v>
      </c>
      <c r="W63"/>
      <c r="AK63" s="45" t="s">
        <v>78</v>
      </c>
      <c r="AL63" s="45">
        <v>7</v>
      </c>
      <c r="AM63" s="45">
        <v>28</v>
      </c>
      <c r="AN63" s="45">
        <v>4</v>
      </c>
      <c r="AO63" s="45">
        <v>1</v>
      </c>
      <c r="AP63" s="45"/>
      <c r="AQ63" s="45"/>
      <c r="AR63" s="45"/>
    </row>
    <row r="64" spans="1:44" x14ac:dyDescent="0.35">
      <c r="A64">
        <v>5</v>
      </c>
      <c r="B64">
        <v>5</v>
      </c>
      <c r="C64">
        <v>4</v>
      </c>
      <c r="D64">
        <v>1</v>
      </c>
      <c r="E64">
        <v>2</v>
      </c>
      <c r="F64">
        <v>3</v>
      </c>
      <c r="G64">
        <v>3</v>
      </c>
      <c r="H64" s="25">
        <f t="shared" si="0"/>
        <v>5</v>
      </c>
      <c r="I64" s="25">
        <f t="shared" si="1"/>
        <v>1</v>
      </c>
      <c r="J64" s="25">
        <f t="shared" si="2"/>
        <v>4</v>
      </c>
      <c r="K64" s="25">
        <f t="shared" si="3"/>
        <v>5</v>
      </c>
      <c r="L64" s="25">
        <f t="shared" si="4"/>
        <v>4</v>
      </c>
      <c r="M64" s="25">
        <f t="shared" si="5"/>
        <v>3</v>
      </c>
      <c r="N64" s="25">
        <f t="shared" si="6"/>
        <v>3</v>
      </c>
      <c r="O64" s="32">
        <f t="shared" si="14"/>
        <v>0.84420266961423651</v>
      </c>
      <c r="P64" s="32">
        <f t="shared" si="7"/>
        <v>-2.0709827703610508</v>
      </c>
      <c r="Q64" s="32">
        <f t="shared" si="8"/>
        <v>-9.6984149849158471E-2</v>
      </c>
      <c r="R64" s="32">
        <f t="shared" si="9"/>
        <v>1.0506390162289212</v>
      </c>
      <c r="S64" s="32">
        <f t="shared" si="10"/>
        <v>2.4129647679270144E-2</v>
      </c>
      <c r="T64" s="32">
        <f t="shared" si="11"/>
        <v>-1.0625089558734409</v>
      </c>
      <c r="U64" s="32">
        <f t="shared" si="12"/>
        <v>-1.002935339374456</v>
      </c>
      <c r="V64" s="37">
        <f t="shared" si="13"/>
        <v>-0.33063426884795405</v>
      </c>
      <c r="W64"/>
      <c r="AK64" s="45" t="s">
        <v>78</v>
      </c>
      <c r="AL64" s="45">
        <v>7</v>
      </c>
      <c r="AM64" s="45">
        <v>23</v>
      </c>
      <c r="AN64" s="45">
        <v>3.2857142860000002</v>
      </c>
      <c r="AO64" s="45">
        <v>0.90476190499999998</v>
      </c>
      <c r="AP64" s="45"/>
      <c r="AQ64" s="45"/>
      <c r="AR64" s="45"/>
    </row>
    <row r="65" spans="1:44" x14ac:dyDescent="0.35">
      <c r="A65">
        <v>4</v>
      </c>
      <c r="B65">
        <v>1</v>
      </c>
      <c r="C65">
        <v>1</v>
      </c>
      <c r="D65">
        <v>2</v>
      </c>
      <c r="E65">
        <v>2</v>
      </c>
      <c r="F65">
        <v>3</v>
      </c>
      <c r="G65">
        <v>3</v>
      </c>
      <c r="H65" s="25">
        <f t="shared" si="0"/>
        <v>4</v>
      </c>
      <c r="I65" s="25">
        <f t="shared" si="1"/>
        <v>5</v>
      </c>
      <c r="J65" s="25">
        <f t="shared" si="2"/>
        <v>1</v>
      </c>
      <c r="K65" s="25">
        <f t="shared" si="3"/>
        <v>4</v>
      </c>
      <c r="L65" s="25">
        <f t="shared" si="4"/>
        <v>4</v>
      </c>
      <c r="M65" s="25">
        <f t="shared" si="5"/>
        <v>3</v>
      </c>
      <c r="N65" s="25">
        <f t="shared" si="6"/>
        <v>3</v>
      </c>
      <c r="O65" s="32">
        <f t="shared" si="14"/>
        <v>-5.6401471461296142E-2</v>
      </c>
      <c r="P65" s="32">
        <f t="shared" si="7"/>
        <v>1.0418053570413823</v>
      </c>
      <c r="Q65" s="32">
        <f t="shared" si="8"/>
        <v>-2.8088805663860001</v>
      </c>
      <c r="R65" s="32">
        <f t="shared" si="9"/>
        <v>0.21586162773242673</v>
      </c>
      <c r="S65" s="32">
        <f t="shared" si="10"/>
        <v>2.4129647679270144E-2</v>
      </c>
      <c r="T65" s="32">
        <f t="shared" si="11"/>
        <v>-1.0625089558734409</v>
      </c>
      <c r="U65" s="32">
        <f t="shared" si="12"/>
        <v>-1.002935339374456</v>
      </c>
      <c r="V65" s="37">
        <f t="shared" si="13"/>
        <v>-0.52127567152030196</v>
      </c>
      <c r="W65"/>
      <c r="AK65" s="45" t="s">
        <v>78</v>
      </c>
      <c r="AL65" s="45">
        <v>7</v>
      </c>
      <c r="AM65" s="45">
        <v>25</v>
      </c>
      <c r="AN65" s="45">
        <v>3.5714285710000002</v>
      </c>
      <c r="AO65" s="45">
        <v>0.95238095199999995</v>
      </c>
      <c r="AP65" s="45"/>
      <c r="AQ65" s="45"/>
      <c r="AR65" s="45"/>
    </row>
    <row r="66" spans="1:44" x14ac:dyDescent="0.35">
      <c r="A66">
        <v>3</v>
      </c>
      <c r="B66">
        <v>3</v>
      </c>
      <c r="C66">
        <v>3</v>
      </c>
      <c r="D66">
        <v>2</v>
      </c>
      <c r="E66">
        <v>2</v>
      </c>
      <c r="F66">
        <v>3</v>
      </c>
      <c r="G66">
        <v>3</v>
      </c>
      <c r="H66" s="25">
        <f t="shared" ref="H66:H129" si="16">IF(ISBLANK(A66),"",A66)</f>
        <v>3</v>
      </c>
      <c r="I66" s="25">
        <f t="shared" ref="I66:I129" si="17">IF(ISBLANK(B66),"",6-B66)</f>
        <v>3</v>
      </c>
      <c r="J66" s="25">
        <f t="shared" ref="J66:J129" si="18">IF(ISBLANK(C66),"",C66)</f>
        <v>3</v>
      </c>
      <c r="K66" s="25">
        <f t="shared" ref="K66:K129" si="19">IF(ISBLANK(D66),"",6-D66)</f>
        <v>4</v>
      </c>
      <c r="L66" s="25">
        <f t="shared" ref="L66:L129" si="20">IF(ISBLANK(E66),"",6-E66)</f>
        <v>4</v>
      </c>
      <c r="M66" s="25">
        <f t="shared" ref="M66:M129" si="21">IF(ISBLANK(F66),"",F66)</f>
        <v>3</v>
      </c>
      <c r="N66" s="25">
        <f t="shared" ref="N66:N129" si="22">IF(ISBLANK(G66),"",G66)</f>
        <v>3</v>
      </c>
      <c r="O66" s="32">
        <f t="shared" ref="O66:O129" si="23">IF(ISTEXT(H66),"",STANDARDIZE(H66,H$500,H$501))</f>
        <v>-0.95700561253682881</v>
      </c>
      <c r="P66" s="32">
        <f t="shared" ref="P66:P129" si="24">IF(ISTEXT(I66),"",STANDARDIZE(I66,I$500,I$501))</f>
        <v>-0.51458870665983425</v>
      </c>
      <c r="Q66" s="32">
        <f t="shared" ref="Q66:Q129" si="25">IF(ISTEXT(J66),"",STANDARDIZE(J66,J$500,J$501))</f>
        <v>-1.0009496220281058</v>
      </c>
      <c r="R66" s="32">
        <f t="shared" ref="R66:R129" si="26">IF(ISTEXT(K66),"",STANDARDIZE(K66,K$500,K$501))</f>
        <v>0.21586162773242673</v>
      </c>
      <c r="S66" s="32">
        <f t="shared" ref="S66:S129" si="27">IF(ISTEXT(L66),"",STANDARDIZE(L66,L$500,L$501))</f>
        <v>2.4129647679270144E-2</v>
      </c>
      <c r="T66" s="32">
        <f t="shared" ref="T66:T129" si="28">IF(ISTEXT(M66),"",STANDARDIZE(M66,M$500,M$501))</f>
        <v>-1.0625089558734409</v>
      </c>
      <c r="U66" s="32">
        <f t="shared" ref="U66:U129" si="29">IF(ISTEXT(N66),"",STANDARDIZE(N66,N$500,N$501))</f>
        <v>-1.002935339374456</v>
      </c>
      <c r="V66" s="37">
        <f t="shared" ref="V66:V129" si="30">AVERAGE(O66:U66)</f>
        <v>-0.61399956586585269</v>
      </c>
      <c r="W66"/>
      <c r="AK66" s="45" t="s">
        <v>78</v>
      </c>
      <c r="AL66" s="45">
        <v>7</v>
      </c>
      <c r="AM66" s="45">
        <v>23</v>
      </c>
      <c r="AN66" s="45">
        <v>3.2857142860000002</v>
      </c>
      <c r="AO66" s="45">
        <v>3.2380952380000001</v>
      </c>
      <c r="AP66" s="45"/>
      <c r="AQ66" s="45"/>
      <c r="AR66" s="45"/>
    </row>
    <row r="67" spans="1:44" x14ac:dyDescent="0.35">
      <c r="A67">
        <v>4</v>
      </c>
      <c r="B67">
        <v>3</v>
      </c>
      <c r="C67">
        <v>3</v>
      </c>
      <c r="D67">
        <v>2</v>
      </c>
      <c r="E67">
        <v>2</v>
      </c>
      <c r="F67">
        <v>3</v>
      </c>
      <c r="G67">
        <v>3</v>
      </c>
      <c r="H67" s="25">
        <f t="shared" si="16"/>
        <v>4</v>
      </c>
      <c r="I67" s="25">
        <f t="shared" si="17"/>
        <v>3</v>
      </c>
      <c r="J67" s="25">
        <f t="shared" si="18"/>
        <v>3</v>
      </c>
      <c r="K67" s="25">
        <f t="shared" si="19"/>
        <v>4</v>
      </c>
      <c r="L67" s="25">
        <f t="shared" si="20"/>
        <v>4</v>
      </c>
      <c r="M67" s="25">
        <f t="shared" si="21"/>
        <v>3</v>
      </c>
      <c r="N67" s="25">
        <f t="shared" si="22"/>
        <v>3</v>
      </c>
      <c r="O67" s="32">
        <f t="shared" si="23"/>
        <v>-5.6401471461296142E-2</v>
      </c>
      <c r="P67" s="32">
        <f t="shared" si="24"/>
        <v>-0.51458870665983425</v>
      </c>
      <c r="Q67" s="32">
        <f t="shared" si="25"/>
        <v>-1.0009496220281058</v>
      </c>
      <c r="R67" s="32">
        <f t="shared" si="26"/>
        <v>0.21586162773242673</v>
      </c>
      <c r="S67" s="32">
        <f t="shared" si="27"/>
        <v>2.4129647679270144E-2</v>
      </c>
      <c r="T67" s="32">
        <f t="shared" si="28"/>
        <v>-1.0625089558734409</v>
      </c>
      <c r="U67" s="32">
        <f t="shared" si="29"/>
        <v>-1.002935339374456</v>
      </c>
      <c r="V67" s="37">
        <f t="shared" si="30"/>
        <v>-0.4853418314264909</v>
      </c>
      <c r="W67"/>
      <c r="AK67" s="45" t="s">
        <v>78</v>
      </c>
      <c r="AL67" s="45">
        <v>7</v>
      </c>
      <c r="AM67" s="45">
        <v>25</v>
      </c>
      <c r="AN67" s="45">
        <v>3.5714285710000002</v>
      </c>
      <c r="AO67" s="45">
        <v>1.9523809519999999</v>
      </c>
      <c r="AP67" s="45"/>
      <c r="AQ67" s="45"/>
      <c r="AR67" s="45"/>
    </row>
    <row r="68" spans="1:44" x14ac:dyDescent="0.35">
      <c r="A68">
        <v>4</v>
      </c>
      <c r="B68">
        <v>3</v>
      </c>
      <c r="C68">
        <v>3</v>
      </c>
      <c r="D68">
        <v>2</v>
      </c>
      <c r="E68">
        <v>2</v>
      </c>
      <c r="F68">
        <v>3</v>
      </c>
      <c r="G68">
        <v>3</v>
      </c>
      <c r="H68" s="25">
        <f t="shared" si="16"/>
        <v>4</v>
      </c>
      <c r="I68" s="25">
        <f t="shared" si="17"/>
        <v>3</v>
      </c>
      <c r="J68" s="25">
        <f t="shared" si="18"/>
        <v>3</v>
      </c>
      <c r="K68" s="25">
        <f t="shared" si="19"/>
        <v>4</v>
      </c>
      <c r="L68" s="25">
        <f t="shared" si="20"/>
        <v>4</v>
      </c>
      <c r="M68" s="25">
        <f t="shared" si="21"/>
        <v>3</v>
      </c>
      <c r="N68" s="25">
        <f t="shared" si="22"/>
        <v>3</v>
      </c>
      <c r="O68" s="32">
        <f t="shared" si="23"/>
        <v>-5.6401471461296142E-2</v>
      </c>
      <c r="P68" s="32">
        <f t="shared" si="24"/>
        <v>-0.51458870665983425</v>
      </c>
      <c r="Q68" s="32">
        <f t="shared" si="25"/>
        <v>-1.0009496220281058</v>
      </c>
      <c r="R68" s="32">
        <f t="shared" si="26"/>
        <v>0.21586162773242673</v>
      </c>
      <c r="S68" s="32">
        <f t="shared" si="27"/>
        <v>2.4129647679270144E-2</v>
      </c>
      <c r="T68" s="32">
        <f t="shared" si="28"/>
        <v>-1.0625089558734409</v>
      </c>
      <c r="U68" s="32">
        <f t="shared" si="29"/>
        <v>-1.002935339374456</v>
      </c>
      <c r="V68" s="37">
        <f t="shared" si="30"/>
        <v>-0.4853418314264909</v>
      </c>
      <c r="W68"/>
      <c r="AK68" s="45" t="s">
        <v>78</v>
      </c>
      <c r="AL68" s="45">
        <v>7</v>
      </c>
      <c r="AM68" s="45">
        <v>24</v>
      </c>
      <c r="AN68" s="45">
        <v>3.4285714289999998</v>
      </c>
      <c r="AO68" s="45">
        <v>1.619047619</v>
      </c>
      <c r="AP68" s="45"/>
      <c r="AQ68" s="45"/>
      <c r="AR68" s="45"/>
    </row>
    <row r="69" spans="1:44" x14ac:dyDescent="0.35">
      <c r="A69">
        <v>3</v>
      </c>
      <c r="B69">
        <v>3</v>
      </c>
      <c r="C69">
        <v>4</v>
      </c>
      <c r="D69">
        <v>2</v>
      </c>
      <c r="E69">
        <v>2</v>
      </c>
      <c r="F69">
        <v>3</v>
      </c>
      <c r="G69">
        <v>3</v>
      </c>
      <c r="H69" s="25">
        <f t="shared" si="16"/>
        <v>3</v>
      </c>
      <c r="I69" s="25">
        <f t="shared" si="17"/>
        <v>3</v>
      </c>
      <c r="J69" s="25">
        <f t="shared" si="18"/>
        <v>4</v>
      </c>
      <c r="K69" s="25">
        <f t="shared" si="19"/>
        <v>4</v>
      </c>
      <c r="L69" s="25">
        <f t="shared" si="20"/>
        <v>4</v>
      </c>
      <c r="M69" s="25">
        <f t="shared" si="21"/>
        <v>3</v>
      </c>
      <c r="N69" s="25">
        <f t="shared" si="22"/>
        <v>3</v>
      </c>
      <c r="O69" s="32">
        <f t="shared" si="23"/>
        <v>-0.95700561253682881</v>
      </c>
      <c r="P69" s="32">
        <f t="shared" si="24"/>
        <v>-0.51458870665983425</v>
      </c>
      <c r="Q69" s="32">
        <f t="shared" si="25"/>
        <v>-9.6984149849158471E-2</v>
      </c>
      <c r="R69" s="32">
        <f t="shared" si="26"/>
        <v>0.21586162773242673</v>
      </c>
      <c r="S69" s="32">
        <f t="shared" si="27"/>
        <v>2.4129647679270144E-2</v>
      </c>
      <c r="T69" s="32">
        <f t="shared" si="28"/>
        <v>-1.0625089558734409</v>
      </c>
      <c r="U69" s="32">
        <f t="shared" si="29"/>
        <v>-1.002935339374456</v>
      </c>
      <c r="V69" s="37">
        <f t="shared" si="30"/>
        <v>-0.48486164126886022</v>
      </c>
      <c r="W69"/>
      <c r="AK69" s="45" t="s">
        <v>78</v>
      </c>
      <c r="AL69" s="45">
        <v>7</v>
      </c>
      <c r="AM69" s="45">
        <v>23</v>
      </c>
      <c r="AN69" s="45">
        <v>3.2857142860000002</v>
      </c>
      <c r="AO69" s="45">
        <v>0.23809523799999999</v>
      </c>
      <c r="AP69" s="45"/>
      <c r="AQ69" s="45"/>
      <c r="AR69" s="45"/>
    </row>
    <row r="70" spans="1:44" x14ac:dyDescent="0.35">
      <c r="A70">
        <v>3</v>
      </c>
      <c r="B70">
        <v>3</v>
      </c>
      <c r="C70">
        <v>4</v>
      </c>
      <c r="D70">
        <v>2</v>
      </c>
      <c r="E70">
        <v>2</v>
      </c>
      <c r="F70">
        <v>3</v>
      </c>
      <c r="G70">
        <v>3</v>
      </c>
      <c r="H70" s="25">
        <f t="shared" si="16"/>
        <v>3</v>
      </c>
      <c r="I70" s="25">
        <f t="shared" si="17"/>
        <v>3</v>
      </c>
      <c r="J70" s="25">
        <f t="shared" si="18"/>
        <v>4</v>
      </c>
      <c r="K70" s="25">
        <f t="shared" si="19"/>
        <v>4</v>
      </c>
      <c r="L70" s="25">
        <f t="shared" si="20"/>
        <v>4</v>
      </c>
      <c r="M70" s="25">
        <f t="shared" si="21"/>
        <v>3</v>
      </c>
      <c r="N70" s="25">
        <f t="shared" si="22"/>
        <v>3</v>
      </c>
      <c r="O70" s="32">
        <f t="shared" si="23"/>
        <v>-0.95700561253682881</v>
      </c>
      <c r="P70" s="32">
        <f t="shared" si="24"/>
        <v>-0.51458870665983425</v>
      </c>
      <c r="Q70" s="32">
        <f t="shared" si="25"/>
        <v>-9.6984149849158471E-2</v>
      </c>
      <c r="R70" s="32">
        <f t="shared" si="26"/>
        <v>0.21586162773242673</v>
      </c>
      <c r="S70" s="32">
        <f t="shared" si="27"/>
        <v>2.4129647679270144E-2</v>
      </c>
      <c r="T70" s="32">
        <f t="shared" si="28"/>
        <v>-1.0625089558734409</v>
      </c>
      <c r="U70" s="32">
        <f t="shared" si="29"/>
        <v>-1.002935339374456</v>
      </c>
      <c r="V70" s="37">
        <f t="shared" si="30"/>
        <v>-0.48486164126886022</v>
      </c>
      <c r="W70"/>
      <c r="AK70" s="45" t="s">
        <v>78</v>
      </c>
      <c r="AL70" s="45">
        <v>7</v>
      </c>
      <c r="AM70" s="45">
        <v>24</v>
      </c>
      <c r="AN70" s="45">
        <v>3.4285714289999998</v>
      </c>
      <c r="AO70" s="45">
        <v>0.28571428599999998</v>
      </c>
      <c r="AP70" s="45"/>
      <c r="AQ70" s="45"/>
      <c r="AR70" s="45"/>
    </row>
    <row r="71" spans="1:44" x14ac:dyDescent="0.35">
      <c r="A71">
        <v>4</v>
      </c>
      <c r="B71">
        <v>4</v>
      </c>
      <c r="C71">
        <v>4</v>
      </c>
      <c r="D71">
        <v>2</v>
      </c>
      <c r="E71">
        <v>2</v>
      </c>
      <c r="F71">
        <v>3</v>
      </c>
      <c r="G71">
        <v>3</v>
      </c>
      <c r="H71" s="25">
        <f t="shared" si="16"/>
        <v>4</v>
      </c>
      <c r="I71" s="25">
        <f t="shared" si="17"/>
        <v>2</v>
      </c>
      <c r="J71" s="25">
        <f t="shared" si="18"/>
        <v>4</v>
      </c>
      <c r="K71" s="25">
        <f t="shared" si="19"/>
        <v>4</v>
      </c>
      <c r="L71" s="25">
        <f t="shared" si="20"/>
        <v>4</v>
      </c>
      <c r="M71" s="25">
        <f t="shared" si="21"/>
        <v>3</v>
      </c>
      <c r="N71" s="25">
        <f t="shared" si="22"/>
        <v>3</v>
      </c>
      <c r="O71" s="32">
        <f t="shared" si="23"/>
        <v>-5.6401471461296142E-2</v>
      </c>
      <c r="P71" s="32">
        <f t="shared" si="24"/>
        <v>-1.2927857385104427</v>
      </c>
      <c r="Q71" s="32">
        <f t="shared" si="25"/>
        <v>-9.6984149849158471E-2</v>
      </c>
      <c r="R71" s="32">
        <f t="shared" si="26"/>
        <v>0.21586162773242673</v>
      </c>
      <c r="S71" s="32">
        <f t="shared" si="27"/>
        <v>2.4129647679270144E-2</v>
      </c>
      <c r="T71" s="32">
        <f t="shared" si="28"/>
        <v>-1.0625089558734409</v>
      </c>
      <c r="U71" s="32">
        <f t="shared" si="29"/>
        <v>-1.002935339374456</v>
      </c>
      <c r="V71" s="37">
        <f t="shared" si="30"/>
        <v>-0.46737491137958537</v>
      </c>
      <c r="W71"/>
      <c r="AK71" s="45" t="s">
        <v>78</v>
      </c>
      <c r="AL71" s="45">
        <v>7</v>
      </c>
      <c r="AM71" s="45">
        <v>24</v>
      </c>
      <c r="AN71" s="45">
        <v>3.4285714289999998</v>
      </c>
      <c r="AO71" s="45">
        <v>0.28571428599999998</v>
      </c>
      <c r="AP71" s="45"/>
      <c r="AQ71" s="45"/>
      <c r="AR71" s="45"/>
    </row>
    <row r="72" spans="1:44" x14ac:dyDescent="0.35">
      <c r="A72">
        <v>3</v>
      </c>
      <c r="B72">
        <v>3</v>
      </c>
      <c r="C72">
        <v>5</v>
      </c>
      <c r="D72">
        <v>2</v>
      </c>
      <c r="E72">
        <v>2</v>
      </c>
      <c r="F72">
        <v>3</v>
      </c>
      <c r="G72">
        <v>3</v>
      </c>
      <c r="H72" s="25">
        <f t="shared" si="16"/>
        <v>3</v>
      </c>
      <c r="I72" s="25">
        <f t="shared" si="17"/>
        <v>3</v>
      </c>
      <c r="J72" s="25">
        <f t="shared" si="18"/>
        <v>5</v>
      </c>
      <c r="K72" s="25">
        <f t="shared" si="19"/>
        <v>4</v>
      </c>
      <c r="L72" s="25">
        <f t="shared" si="20"/>
        <v>4</v>
      </c>
      <c r="M72" s="25">
        <f t="shared" si="21"/>
        <v>3</v>
      </c>
      <c r="N72" s="25">
        <f t="shared" si="22"/>
        <v>3</v>
      </c>
      <c r="O72" s="32">
        <f t="shared" si="23"/>
        <v>-0.95700561253682881</v>
      </c>
      <c r="P72" s="32">
        <f t="shared" si="24"/>
        <v>-0.51458870665983425</v>
      </c>
      <c r="Q72" s="32">
        <f t="shared" si="25"/>
        <v>0.80698132232978881</v>
      </c>
      <c r="R72" s="32">
        <f t="shared" si="26"/>
        <v>0.21586162773242673</v>
      </c>
      <c r="S72" s="32">
        <f t="shared" si="27"/>
        <v>2.4129647679270144E-2</v>
      </c>
      <c r="T72" s="32">
        <f t="shared" si="28"/>
        <v>-1.0625089558734409</v>
      </c>
      <c r="U72" s="32">
        <f t="shared" si="29"/>
        <v>-1.002935339374456</v>
      </c>
      <c r="V72" s="37">
        <f t="shared" si="30"/>
        <v>-0.35572371667186775</v>
      </c>
      <c r="W72"/>
      <c r="AK72" s="45" t="s">
        <v>78</v>
      </c>
      <c r="AL72" s="45">
        <v>7</v>
      </c>
      <c r="AM72" s="45">
        <v>24</v>
      </c>
      <c r="AN72" s="45">
        <v>3.4285714289999998</v>
      </c>
      <c r="AO72" s="45">
        <v>0.28571428599999998</v>
      </c>
      <c r="AP72" s="45"/>
      <c r="AQ72" s="45"/>
      <c r="AR72" s="45"/>
    </row>
    <row r="73" spans="1:44" x14ac:dyDescent="0.35">
      <c r="A73">
        <v>3</v>
      </c>
      <c r="B73">
        <v>3</v>
      </c>
      <c r="C73">
        <v>3</v>
      </c>
      <c r="D73">
        <v>3</v>
      </c>
      <c r="E73">
        <v>2</v>
      </c>
      <c r="F73">
        <v>3</v>
      </c>
      <c r="G73">
        <v>3</v>
      </c>
      <c r="H73" s="25">
        <f t="shared" si="16"/>
        <v>3</v>
      </c>
      <c r="I73" s="25">
        <f t="shared" si="17"/>
        <v>3</v>
      </c>
      <c r="J73" s="25">
        <f t="shared" si="18"/>
        <v>3</v>
      </c>
      <c r="K73" s="25">
        <f t="shared" si="19"/>
        <v>3</v>
      </c>
      <c r="L73" s="25">
        <f t="shared" si="20"/>
        <v>4</v>
      </c>
      <c r="M73" s="25">
        <f t="shared" si="21"/>
        <v>3</v>
      </c>
      <c r="N73" s="25">
        <f t="shared" si="22"/>
        <v>3</v>
      </c>
      <c r="O73" s="32">
        <f t="shared" si="23"/>
        <v>-0.95700561253682881</v>
      </c>
      <c r="P73" s="32">
        <f t="shared" si="24"/>
        <v>-0.51458870665983425</v>
      </c>
      <c r="Q73" s="32">
        <f t="shared" si="25"/>
        <v>-1.0009496220281058</v>
      </c>
      <c r="R73" s="32">
        <f t="shared" si="26"/>
        <v>-0.61891576076406762</v>
      </c>
      <c r="S73" s="32">
        <f t="shared" si="27"/>
        <v>2.4129647679270144E-2</v>
      </c>
      <c r="T73" s="32">
        <f t="shared" si="28"/>
        <v>-1.0625089558734409</v>
      </c>
      <c r="U73" s="32">
        <f t="shared" si="29"/>
        <v>-1.002935339374456</v>
      </c>
      <c r="V73" s="37">
        <f t="shared" si="30"/>
        <v>-0.7332534785082091</v>
      </c>
      <c r="W73"/>
      <c r="AK73" s="45" t="s">
        <v>78</v>
      </c>
      <c r="AL73" s="45">
        <v>7</v>
      </c>
      <c r="AM73" s="45">
        <v>24</v>
      </c>
      <c r="AN73" s="45">
        <v>3.4285714289999998</v>
      </c>
      <c r="AO73" s="45">
        <v>0.28571428599999998</v>
      </c>
      <c r="AP73" s="45"/>
      <c r="AQ73" s="45"/>
      <c r="AR73" s="45"/>
    </row>
    <row r="74" spans="1:44" x14ac:dyDescent="0.35">
      <c r="A74">
        <v>5</v>
      </c>
      <c r="B74">
        <v>2</v>
      </c>
      <c r="C74">
        <v>4</v>
      </c>
      <c r="D74">
        <v>3</v>
      </c>
      <c r="E74">
        <v>2</v>
      </c>
      <c r="F74">
        <v>3</v>
      </c>
      <c r="G74">
        <v>3</v>
      </c>
      <c r="H74" s="25">
        <f t="shared" si="16"/>
        <v>5</v>
      </c>
      <c r="I74" s="25">
        <f t="shared" si="17"/>
        <v>4</v>
      </c>
      <c r="J74" s="25">
        <f t="shared" si="18"/>
        <v>4</v>
      </c>
      <c r="K74" s="25">
        <f t="shared" si="19"/>
        <v>3</v>
      </c>
      <c r="L74" s="25">
        <f t="shared" si="20"/>
        <v>4</v>
      </c>
      <c r="M74" s="25">
        <f t="shared" si="21"/>
        <v>3</v>
      </c>
      <c r="N74" s="25">
        <f t="shared" si="22"/>
        <v>3</v>
      </c>
      <c r="O74" s="32">
        <f t="shared" si="23"/>
        <v>0.84420266961423651</v>
      </c>
      <c r="P74" s="32">
        <f t="shared" si="24"/>
        <v>0.26360832519077404</v>
      </c>
      <c r="Q74" s="32">
        <f t="shared" si="25"/>
        <v>-9.6984149849158471E-2</v>
      </c>
      <c r="R74" s="32">
        <f t="shared" si="26"/>
        <v>-0.61891576076406762</v>
      </c>
      <c r="S74" s="32">
        <f t="shared" si="27"/>
        <v>2.4129647679270144E-2</v>
      </c>
      <c r="T74" s="32">
        <f t="shared" si="28"/>
        <v>-1.0625089558734409</v>
      </c>
      <c r="U74" s="32">
        <f t="shared" si="29"/>
        <v>-1.002935339374456</v>
      </c>
      <c r="V74" s="37">
        <f t="shared" si="30"/>
        <v>-0.23562908048240599</v>
      </c>
      <c r="W74"/>
      <c r="AK74" s="45" t="s">
        <v>78</v>
      </c>
      <c r="AL74" s="45">
        <v>7</v>
      </c>
      <c r="AM74" s="45">
        <v>24</v>
      </c>
      <c r="AN74" s="45">
        <v>3.4285714289999998</v>
      </c>
      <c r="AO74" s="45">
        <v>0.61904761900000005</v>
      </c>
      <c r="AP74" s="45"/>
      <c r="AQ74" s="45"/>
      <c r="AR74" s="45"/>
    </row>
    <row r="75" spans="1:44" x14ac:dyDescent="0.35">
      <c r="A75">
        <v>3</v>
      </c>
      <c r="B75">
        <v>3</v>
      </c>
      <c r="C75">
        <v>4</v>
      </c>
      <c r="D75">
        <v>3</v>
      </c>
      <c r="E75">
        <v>2</v>
      </c>
      <c r="F75">
        <v>3</v>
      </c>
      <c r="G75">
        <v>3</v>
      </c>
      <c r="H75" s="25">
        <f t="shared" si="16"/>
        <v>3</v>
      </c>
      <c r="I75" s="25">
        <f t="shared" si="17"/>
        <v>3</v>
      </c>
      <c r="J75" s="25">
        <f t="shared" si="18"/>
        <v>4</v>
      </c>
      <c r="K75" s="25">
        <f t="shared" si="19"/>
        <v>3</v>
      </c>
      <c r="L75" s="25">
        <f t="shared" si="20"/>
        <v>4</v>
      </c>
      <c r="M75" s="25">
        <f t="shared" si="21"/>
        <v>3</v>
      </c>
      <c r="N75" s="25">
        <f t="shared" si="22"/>
        <v>3</v>
      </c>
      <c r="O75" s="32">
        <f t="shared" si="23"/>
        <v>-0.95700561253682881</v>
      </c>
      <c r="P75" s="32">
        <f t="shared" si="24"/>
        <v>-0.51458870665983425</v>
      </c>
      <c r="Q75" s="32">
        <f t="shared" si="25"/>
        <v>-9.6984149849158471E-2</v>
      </c>
      <c r="R75" s="32">
        <f t="shared" si="26"/>
        <v>-0.61891576076406762</v>
      </c>
      <c r="S75" s="32">
        <f t="shared" si="27"/>
        <v>2.4129647679270144E-2</v>
      </c>
      <c r="T75" s="32">
        <f t="shared" si="28"/>
        <v>-1.0625089558734409</v>
      </c>
      <c r="U75" s="32">
        <f t="shared" si="29"/>
        <v>-1.002935339374456</v>
      </c>
      <c r="V75" s="37">
        <f t="shared" si="30"/>
        <v>-0.60411555391121652</v>
      </c>
      <c r="W75"/>
      <c r="AK75" s="45" t="s">
        <v>78</v>
      </c>
      <c r="AL75" s="45">
        <v>7</v>
      </c>
      <c r="AM75" s="45">
        <v>25</v>
      </c>
      <c r="AN75" s="45">
        <v>3.5714285710000002</v>
      </c>
      <c r="AO75" s="45">
        <v>0.61904761900000005</v>
      </c>
      <c r="AP75" s="45"/>
      <c r="AQ75" s="45"/>
      <c r="AR75" s="45"/>
    </row>
    <row r="76" spans="1:44" x14ac:dyDescent="0.35">
      <c r="A76">
        <v>3</v>
      </c>
      <c r="B76">
        <v>3</v>
      </c>
      <c r="C76">
        <v>4</v>
      </c>
      <c r="D76">
        <v>3</v>
      </c>
      <c r="E76">
        <v>2</v>
      </c>
      <c r="F76">
        <v>3</v>
      </c>
      <c r="G76">
        <v>3</v>
      </c>
      <c r="H76" s="25">
        <f t="shared" si="16"/>
        <v>3</v>
      </c>
      <c r="I76" s="25">
        <f t="shared" si="17"/>
        <v>3</v>
      </c>
      <c r="J76" s="25">
        <f t="shared" si="18"/>
        <v>4</v>
      </c>
      <c r="K76" s="25">
        <f t="shared" si="19"/>
        <v>3</v>
      </c>
      <c r="L76" s="25">
        <f t="shared" si="20"/>
        <v>4</v>
      </c>
      <c r="M76" s="25">
        <f t="shared" si="21"/>
        <v>3</v>
      </c>
      <c r="N76" s="25">
        <f t="shared" si="22"/>
        <v>3</v>
      </c>
      <c r="O76" s="32">
        <f t="shared" si="23"/>
        <v>-0.95700561253682881</v>
      </c>
      <c r="P76" s="32">
        <f t="shared" si="24"/>
        <v>-0.51458870665983425</v>
      </c>
      <c r="Q76" s="32">
        <f t="shared" si="25"/>
        <v>-9.6984149849158471E-2</v>
      </c>
      <c r="R76" s="32">
        <f t="shared" si="26"/>
        <v>-0.61891576076406762</v>
      </c>
      <c r="S76" s="32">
        <f t="shared" si="27"/>
        <v>2.4129647679270144E-2</v>
      </c>
      <c r="T76" s="32">
        <f t="shared" si="28"/>
        <v>-1.0625089558734409</v>
      </c>
      <c r="U76" s="32">
        <f t="shared" si="29"/>
        <v>-1.002935339374456</v>
      </c>
      <c r="V76" s="37">
        <f t="shared" si="30"/>
        <v>-0.60411555391121652</v>
      </c>
      <c r="W76"/>
      <c r="AK76" s="45" t="s">
        <v>78</v>
      </c>
      <c r="AL76" s="45">
        <v>7</v>
      </c>
      <c r="AM76" s="45">
        <v>22</v>
      </c>
      <c r="AN76" s="45">
        <v>3.1428571430000001</v>
      </c>
      <c r="AO76" s="45">
        <v>0.14285714299999999</v>
      </c>
      <c r="AP76" s="45"/>
      <c r="AQ76" s="45"/>
      <c r="AR76" s="45"/>
    </row>
    <row r="77" spans="1:44" x14ac:dyDescent="0.35">
      <c r="A77">
        <v>3</v>
      </c>
      <c r="B77">
        <v>3</v>
      </c>
      <c r="C77">
        <v>4</v>
      </c>
      <c r="D77">
        <v>3</v>
      </c>
      <c r="E77">
        <v>2</v>
      </c>
      <c r="F77">
        <v>3</v>
      </c>
      <c r="G77">
        <v>3</v>
      </c>
      <c r="H77" s="25">
        <f t="shared" si="16"/>
        <v>3</v>
      </c>
      <c r="I77" s="25">
        <f t="shared" si="17"/>
        <v>3</v>
      </c>
      <c r="J77" s="25">
        <f t="shared" si="18"/>
        <v>4</v>
      </c>
      <c r="K77" s="25">
        <f t="shared" si="19"/>
        <v>3</v>
      </c>
      <c r="L77" s="25">
        <f t="shared" si="20"/>
        <v>4</v>
      </c>
      <c r="M77" s="25">
        <f t="shared" si="21"/>
        <v>3</v>
      </c>
      <c r="N77" s="25">
        <f t="shared" si="22"/>
        <v>3</v>
      </c>
      <c r="O77" s="32">
        <f t="shared" si="23"/>
        <v>-0.95700561253682881</v>
      </c>
      <c r="P77" s="32">
        <f t="shared" si="24"/>
        <v>-0.51458870665983425</v>
      </c>
      <c r="Q77" s="32">
        <f t="shared" si="25"/>
        <v>-9.6984149849158471E-2</v>
      </c>
      <c r="R77" s="32">
        <f t="shared" si="26"/>
        <v>-0.61891576076406762</v>
      </c>
      <c r="S77" s="32">
        <f t="shared" si="27"/>
        <v>2.4129647679270144E-2</v>
      </c>
      <c r="T77" s="32">
        <f t="shared" si="28"/>
        <v>-1.0625089558734409</v>
      </c>
      <c r="U77" s="32">
        <f t="shared" si="29"/>
        <v>-1.002935339374456</v>
      </c>
      <c r="V77" s="37">
        <f t="shared" si="30"/>
        <v>-0.60411555391121652</v>
      </c>
      <c r="W77"/>
      <c r="AK77" s="45" t="s">
        <v>78</v>
      </c>
      <c r="AL77" s="45">
        <v>7</v>
      </c>
      <c r="AM77" s="45">
        <v>26</v>
      </c>
      <c r="AN77" s="45">
        <v>3.7142857139999998</v>
      </c>
      <c r="AO77" s="45">
        <v>0.571428571</v>
      </c>
      <c r="AP77" s="45"/>
      <c r="AQ77" s="45"/>
      <c r="AR77" s="45"/>
    </row>
    <row r="78" spans="1:44" x14ac:dyDescent="0.35">
      <c r="A78">
        <v>4</v>
      </c>
      <c r="B78">
        <v>3</v>
      </c>
      <c r="C78">
        <v>4</v>
      </c>
      <c r="D78">
        <v>3</v>
      </c>
      <c r="E78">
        <v>2</v>
      </c>
      <c r="F78">
        <v>3</v>
      </c>
      <c r="G78">
        <v>3</v>
      </c>
      <c r="H78" s="25">
        <f t="shared" si="16"/>
        <v>4</v>
      </c>
      <c r="I78" s="25">
        <f t="shared" si="17"/>
        <v>3</v>
      </c>
      <c r="J78" s="25">
        <f t="shared" si="18"/>
        <v>4</v>
      </c>
      <c r="K78" s="25">
        <f t="shared" si="19"/>
        <v>3</v>
      </c>
      <c r="L78" s="25">
        <f t="shared" si="20"/>
        <v>4</v>
      </c>
      <c r="M78" s="25">
        <f t="shared" si="21"/>
        <v>3</v>
      </c>
      <c r="N78" s="25">
        <f t="shared" si="22"/>
        <v>3</v>
      </c>
      <c r="O78" s="32">
        <f t="shared" si="23"/>
        <v>-5.6401471461296142E-2</v>
      </c>
      <c r="P78" s="32">
        <f t="shared" si="24"/>
        <v>-0.51458870665983425</v>
      </c>
      <c r="Q78" s="32">
        <f t="shared" si="25"/>
        <v>-9.6984149849158471E-2</v>
      </c>
      <c r="R78" s="32">
        <f t="shared" si="26"/>
        <v>-0.61891576076406762</v>
      </c>
      <c r="S78" s="32">
        <f t="shared" si="27"/>
        <v>2.4129647679270144E-2</v>
      </c>
      <c r="T78" s="32">
        <f t="shared" si="28"/>
        <v>-1.0625089558734409</v>
      </c>
      <c r="U78" s="32">
        <f t="shared" si="29"/>
        <v>-1.002935339374456</v>
      </c>
      <c r="V78" s="37">
        <f t="shared" si="30"/>
        <v>-0.47545781947185473</v>
      </c>
      <c r="W78"/>
      <c r="AK78" s="45" t="s">
        <v>78</v>
      </c>
      <c r="AL78" s="45">
        <v>7</v>
      </c>
      <c r="AM78" s="45">
        <v>23</v>
      </c>
      <c r="AN78" s="45">
        <v>3.2857142860000002</v>
      </c>
      <c r="AO78" s="45">
        <v>0.23809523799999999</v>
      </c>
      <c r="AP78" s="45"/>
      <c r="AQ78" s="45"/>
      <c r="AR78" s="45"/>
    </row>
    <row r="79" spans="1:44" x14ac:dyDescent="0.35">
      <c r="A79">
        <v>4</v>
      </c>
      <c r="B79">
        <v>3</v>
      </c>
      <c r="C79">
        <v>4</v>
      </c>
      <c r="D79">
        <v>3</v>
      </c>
      <c r="E79">
        <v>2</v>
      </c>
      <c r="F79">
        <v>3</v>
      </c>
      <c r="G79">
        <v>3</v>
      </c>
      <c r="H79" s="25">
        <f t="shared" si="16"/>
        <v>4</v>
      </c>
      <c r="I79" s="25">
        <f t="shared" si="17"/>
        <v>3</v>
      </c>
      <c r="J79" s="25">
        <f t="shared" si="18"/>
        <v>4</v>
      </c>
      <c r="K79" s="25">
        <f t="shared" si="19"/>
        <v>3</v>
      </c>
      <c r="L79" s="25">
        <f t="shared" si="20"/>
        <v>4</v>
      </c>
      <c r="M79" s="25">
        <f t="shared" si="21"/>
        <v>3</v>
      </c>
      <c r="N79" s="25">
        <f t="shared" si="22"/>
        <v>3</v>
      </c>
      <c r="O79" s="32">
        <f t="shared" si="23"/>
        <v>-5.6401471461296142E-2</v>
      </c>
      <c r="P79" s="32">
        <f t="shared" si="24"/>
        <v>-0.51458870665983425</v>
      </c>
      <c r="Q79" s="32">
        <f t="shared" si="25"/>
        <v>-9.6984149849158471E-2</v>
      </c>
      <c r="R79" s="32">
        <f t="shared" si="26"/>
        <v>-0.61891576076406762</v>
      </c>
      <c r="S79" s="32">
        <f t="shared" si="27"/>
        <v>2.4129647679270144E-2</v>
      </c>
      <c r="T79" s="32">
        <f t="shared" si="28"/>
        <v>-1.0625089558734409</v>
      </c>
      <c r="U79" s="32">
        <f t="shared" si="29"/>
        <v>-1.002935339374456</v>
      </c>
      <c r="V79" s="37">
        <f t="shared" si="30"/>
        <v>-0.47545781947185473</v>
      </c>
      <c r="W79"/>
      <c r="AK79" s="45" t="s">
        <v>78</v>
      </c>
      <c r="AL79" s="45">
        <v>7</v>
      </c>
      <c r="AM79" s="45">
        <v>23</v>
      </c>
      <c r="AN79" s="45">
        <v>3.2857142860000002</v>
      </c>
      <c r="AO79" s="45">
        <v>0.23809523799999999</v>
      </c>
      <c r="AP79" s="45"/>
      <c r="AQ79" s="45"/>
      <c r="AR79" s="45"/>
    </row>
    <row r="80" spans="1:44" x14ac:dyDescent="0.35">
      <c r="A80">
        <v>3</v>
      </c>
      <c r="B80">
        <v>3</v>
      </c>
      <c r="C80">
        <v>3</v>
      </c>
      <c r="D80">
        <v>4</v>
      </c>
      <c r="E80">
        <v>2</v>
      </c>
      <c r="F80">
        <v>3</v>
      </c>
      <c r="G80">
        <v>3</v>
      </c>
      <c r="H80" s="25">
        <f t="shared" si="16"/>
        <v>3</v>
      </c>
      <c r="I80" s="25">
        <f t="shared" si="17"/>
        <v>3</v>
      </c>
      <c r="J80" s="25">
        <f t="shared" si="18"/>
        <v>3</v>
      </c>
      <c r="K80" s="25">
        <f t="shared" si="19"/>
        <v>2</v>
      </c>
      <c r="L80" s="25">
        <f t="shared" si="20"/>
        <v>4</v>
      </c>
      <c r="M80" s="25">
        <f t="shared" si="21"/>
        <v>3</v>
      </c>
      <c r="N80" s="25">
        <f t="shared" si="22"/>
        <v>3</v>
      </c>
      <c r="O80" s="32">
        <f t="shared" si="23"/>
        <v>-0.95700561253682881</v>
      </c>
      <c r="P80" s="32">
        <f t="shared" si="24"/>
        <v>-0.51458870665983425</v>
      </c>
      <c r="Q80" s="32">
        <f t="shared" si="25"/>
        <v>-1.0009496220281058</v>
      </c>
      <c r="R80" s="32">
        <f t="shared" si="26"/>
        <v>-1.453693149260562</v>
      </c>
      <c r="S80" s="32">
        <f t="shared" si="27"/>
        <v>2.4129647679270144E-2</v>
      </c>
      <c r="T80" s="32">
        <f t="shared" si="28"/>
        <v>-1.0625089558734409</v>
      </c>
      <c r="U80" s="32">
        <f t="shared" si="29"/>
        <v>-1.002935339374456</v>
      </c>
      <c r="V80" s="37">
        <f t="shared" si="30"/>
        <v>-0.8525073911505654</v>
      </c>
      <c r="W80"/>
      <c r="AK80" s="45" t="s">
        <v>78</v>
      </c>
      <c r="AL80" s="45">
        <v>7</v>
      </c>
      <c r="AM80" s="45">
        <v>23</v>
      </c>
      <c r="AN80" s="45">
        <v>3.2857142860000002</v>
      </c>
      <c r="AO80" s="45">
        <v>0.23809523799999999</v>
      </c>
      <c r="AP80" s="45"/>
      <c r="AQ80" s="45"/>
      <c r="AR80" s="45"/>
    </row>
    <row r="81" spans="1:44" x14ac:dyDescent="0.35">
      <c r="A81">
        <v>5</v>
      </c>
      <c r="B81">
        <v>3</v>
      </c>
      <c r="C81">
        <v>3</v>
      </c>
      <c r="D81">
        <v>1</v>
      </c>
      <c r="E81">
        <v>3</v>
      </c>
      <c r="F81">
        <v>3</v>
      </c>
      <c r="G81">
        <v>3</v>
      </c>
      <c r="H81" s="25">
        <f t="shared" si="16"/>
        <v>5</v>
      </c>
      <c r="I81" s="25">
        <f t="shared" si="17"/>
        <v>3</v>
      </c>
      <c r="J81" s="25">
        <f t="shared" si="18"/>
        <v>3</v>
      </c>
      <c r="K81" s="25">
        <f t="shared" si="19"/>
        <v>5</v>
      </c>
      <c r="L81" s="25">
        <f t="shared" si="20"/>
        <v>3</v>
      </c>
      <c r="M81" s="25">
        <f t="shared" si="21"/>
        <v>3</v>
      </c>
      <c r="N81" s="25">
        <f t="shared" si="22"/>
        <v>3</v>
      </c>
      <c r="O81" s="32">
        <f t="shared" si="23"/>
        <v>0.84420266961423651</v>
      </c>
      <c r="P81" s="32">
        <f t="shared" si="24"/>
        <v>-0.51458870665983425</v>
      </c>
      <c r="Q81" s="32">
        <f t="shared" si="25"/>
        <v>-1.0009496220281058</v>
      </c>
      <c r="R81" s="32">
        <f t="shared" si="26"/>
        <v>1.0506390162289212</v>
      </c>
      <c r="S81" s="32">
        <f t="shared" si="27"/>
        <v>-0.82040802109518784</v>
      </c>
      <c r="T81" s="32">
        <f t="shared" si="28"/>
        <v>-1.0625089558734409</v>
      </c>
      <c r="U81" s="32">
        <f t="shared" si="29"/>
        <v>-1.002935339374456</v>
      </c>
      <c r="V81" s="37">
        <f t="shared" si="30"/>
        <v>-0.35807842274112384</v>
      </c>
      <c r="W81"/>
      <c r="AK81" s="45" t="s">
        <v>78</v>
      </c>
      <c r="AL81" s="45">
        <v>7</v>
      </c>
      <c r="AM81" s="45">
        <v>24</v>
      </c>
      <c r="AN81" s="45">
        <v>3.4285714289999998</v>
      </c>
      <c r="AO81" s="45">
        <v>0.28571428599999998</v>
      </c>
      <c r="AP81" s="45"/>
      <c r="AQ81" s="45"/>
      <c r="AR81" s="45"/>
    </row>
    <row r="82" spans="1:44" x14ac:dyDescent="0.35">
      <c r="A82">
        <v>2</v>
      </c>
      <c r="B82">
        <v>2</v>
      </c>
      <c r="C82">
        <v>3</v>
      </c>
      <c r="D82">
        <v>3</v>
      </c>
      <c r="E82">
        <v>3</v>
      </c>
      <c r="F82">
        <v>3</v>
      </c>
      <c r="G82">
        <v>3</v>
      </c>
      <c r="H82" s="25">
        <f t="shared" si="16"/>
        <v>2</v>
      </c>
      <c r="I82" s="25">
        <f t="shared" si="17"/>
        <v>4</v>
      </c>
      <c r="J82" s="25">
        <f t="shared" si="18"/>
        <v>3</v>
      </c>
      <c r="K82" s="25">
        <f t="shared" si="19"/>
        <v>3</v>
      </c>
      <c r="L82" s="25">
        <f t="shared" si="20"/>
        <v>3</v>
      </c>
      <c r="M82" s="25">
        <f t="shared" si="21"/>
        <v>3</v>
      </c>
      <c r="N82" s="25">
        <f t="shared" si="22"/>
        <v>3</v>
      </c>
      <c r="O82" s="32">
        <f t="shared" si="23"/>
        <v>-1.8576097536123615</v>
      </c>
      <c r="P82" s="32">
        <f t="shared" si="24"/>
        <v>0.26360832519077404</v>
      </c>
      <c r="Q82" s="32">
        <f t="shared" si="25"/>
        <v>-1.0009496220281058</v>
      </c>
      <c r="R82" s="32">
        <f t="shared" si="26"/>
        <v>-0.61891576076406762</v>
      </c>
      <c r="S82" s="32">
        <f t="shared" si="27"/>
        <v>-0.82040802109518784</v>
      </c>
      <c r="T82" s="32">
        <f t="shared" si="28"/>
        <v>-1.0625089558734409</v>
      </c>
      <c r="U82" s="32">
        <f t="shared" si="29"/>
        <v>-1.002935339374456</v>
      </c>
      <c r="V82" s="37">
        <f t="shared" si="30"/>
        <v>-0.87138844679383509</v>
      </c>
      <c r="W82"/>
      <c r="AK82" s="45" t="s">
        <v>78</v>
      </c>
      <c r="AL82" s="45">
        <v>7</v>
      </c>
      <c r="AM82" s="45">
        <v>24</v>
      </c>
      <c r="AN82" s="45">
        <v>3.4285714289999998</v>
      </c>
      <c r="AO82" s="45">
        <v>0.28571428599999998</v>
      </c>
      <c r="AP82" s="45"/>
      <c r="AQ82" s="45"/>
      <c r="AR82" s="45"/>
    </row>
    <row r="83" spans="1:44" x14ac:dyDescent="0.35">
      <c r="A83">
        <v>2</v>
      </c>
      <c r="B83">
        <v>2</v>
      </c>
      <c r="C83">
        <v>3</v>
      </c>
      <c r="D83">
        <v>3</v>
      </c>
      <c r="E83">
        <v>3</v>
      </c>
      <c r="F83">
        <v>3</v>
      </c>
      <c r="G83">
        <v>3</v>
      </c>
      <c r="H83" s="25">
        <f t="shared" si="16"/>
        <v>2</v>
      </c>
      <c r="I83" s="25">
        <f t="shared" si="17"/>
        <v>4</v>
      </c>
      <c r="J83" s="25">
        <f t="shared" si="18"/>
        <v>3</v>
      </c>
      <c r="K83" s="25">
        <f t="shared" si="19"/>
        <v>3</v>
      </c>
      <c r="L83" s="25">
        <f t="shared" si="20"/>
        <v>3</v>
      </c>
      <c r="M83" s="25">
        <f t="shared" si="21"/>
        <v>3</v>
      </c>
      <c r="N83" s="25">
        <f t="shared" si="22"/>
        <v>3</v>
      </c>
      <c r="O83" s="32">
        <f t="shared" si="23"/>
        <v>-1.8576097536123615</v>
      </c>
      <c r="P83" s="32">
        <f t="shared" si="24"/>
        <v>0.26360832519077404</v>
      </c>
      <c r="Q83" s="32">
        <f t="shared" si="25"/>
        <v>-1.0009496220281058</v>
      </c>
      <c r="R83" s="32">
        <f t="shared" si="26"/>
        <v>-0.61891576076406762</v>
      </c>
      <c r="S83" s="32">
        <f t="shared" si="27"/>
        <v>-0.82040802109518784</v>
      </c>
      <c r="T83" s="32">
        <f t="shared" si="28"/>
        <v>-1.0625089558734409</v>
      </c>
      <c r="U83" s="32">
        <f t="shared" si="29"/>
        <v>-1.002935339374456</v>
      </c>
      <c r="V83" s="37">
        <f t="shared" si="30"/>
        <v>-0.87138844679383509</v>
      </c>
      <c r="W83"/>
      <c r="AK83" s="45" t="s">
        <v>78</v>
      </c>
      <c r="AL83" s="45">
        <v>7</v>
      </c>
      <c r="AM83" s="45">
        <v>21</v>
      </c>
      <c r="AN83" s="45">
        <v>3</v>
      </c>
      <c r="AO83" s="45">
        <v>0.33333333300000001</v>
      </c>
      <c r="AP83" s="45"/>
      <c r="AQ83" s="45"/>
      <c r="AR83" s="45"/>
    </row>
    <row r="84" spans="1:44" x14ac:dyDescent="0.35">
      <c r="A84">
        <v>3</v>
      </c>
      <c r="B84">
        <v>2</v>
      </c>
      <c r="C84">
        <v>3</v>
      </c>
      <c r="D84">
        <v>3</v>
      </c>
      <c r="E84">
        <v>3</v>
      </c>
      <c r="F84">
        <v>3</v>
      </c>
      <c r="G84">
        <v>3</v>
      </c>
      <c r="H84" s="25">
        <f t="shared" si="16"/>
        <v>3</v>
      </c>
      <c r="I84" s="25">
        <f t="shared" si="17"/>
        <v>4</v>
      </c>
      <c r="J84" s="25">
        <f t="shared" si="18"/>
        <v>3</v>
      </c>
      <c r="K84" s="25">
        <f t="shared" si="19"/>
        <v>3</v>
      </c>
      <c r="L84" s="25">
        <f t="shared" si="20"/>
        <v>3</v>
      </c>
      <c r="M84" s="25">
        <f t="shared" si="21"/>
        <v>3</v>
      </c>
      <c r="N84" s="25">
        <f t="shared" si="22"/>
        <v>3</v>
      </c>
      <c r="O84" s="32">
        <f t="shared" si="23"/>
        <v>-0.95700561253682881</v>
      </c>
      <c r="P84" s="32">
        <f t="shared" si="24"/>
        <v>0.26360832519077404</v>
      </c>
      <c r="Q84" s="32">
        <f t="shared" si="25"/>
        <v>-1.0009496220281058</v>
      </c>
      <c r="R84" s="32">
        <f t="shared" si="26"/>
        <v>-0.61891576076406762</v>
      </c>
      <c r="S84" s="32">
        <f t="shared" si="27"/>
        <v>-0.82040802109518784</v>
      </c>
      <c r="T84" s="32">
        <f t="shared" si="28"/>
        <v>-1.0625089558734409</v>
      </c>
      <c r="U84" s="32">
        <f t="shared" si="29"/>
        <v>-1.002935339374456</v>
      </c>
      <c r="V84" s="37">
        <f t="shared" si="30"/>
        <v>-0.74273071235447319</v>
      </c>
      <c r="W84"/>
      <c r="AK84" s="45" t="s">
        <v>78</v>
      </c>
      <c r="AL84" s="45">
        <v>7</v>
      </c>
      <c r="AM84" s="45">
        <v>25</v>
      </c>
      <c r="AN84" s="45">
        <v>3.5714285710000002</v>
      </c>
      <c r="AO84" s="45">
        <v>0.95238095199999995</v>
      </c>
      <c r="AP84" s="45"/>
      <c r="AQ84" s="45"/>
      <c r="AR84" s="45"/>
    </row>
    <row r="85" spans="1:44" x14ac:dyDescent="0.35">
      <c r="A85">
        <v>2</v>
      </c>
      <c r="B85">
        <v>3</v>
      </c>
      <c r="C85">
        <v>3</v>
      </c>
      <c r="D85">
        <v>3</v>
      </c>
      <c r="E85">
        <v>3</v>
      </c>
      <c r="F85">
        <v>3</v>
      </c>
      <c r="G85">
        <v>3</v>
      </c>
      <c r="H85" s="25">
        <f t="shared" si="16"/>
        <v>2</v>
      </c>
      <c r="I85" s="25">
        <f t="shared" si="17"/>
        <v>3</v>
      </c>
      <c r="J85" s="25">
        <f t="shared" si="18"/>
        <v>3</v>
      </c>
      <c r="K85" s="25">
        <f t="shared" si="19"/>
        <v>3</v>
      </c>
      <c r="L85" s="25">
        <f t="shared" si="20"/>
        <v>3</v>
      </c>
      <c r="M85" s="25">
        <f t="shared" si="21"/>
        <v>3</v>
      </c>
      <c r="N85" s="25">
        <f t="shared" si="22"/>
        <v>3</v>
      </c>
      <c r="O85" s="32">
        <f t="shared" si="23"/>
        <v>-1.8576097536123615</v>
      </c>
      <c r="P85" s="32">
        <f t="shared" si="24"/>
        <v>-0.51458870665983425</v>
      </c>
      <c r="Q85" s="32">
        <f t="shared" si="25"/>
        <v>-1.0009496220281058</v>
      </c>
      <c r="R85" s="32">
        <f t="shared" si="26"/>
        <v>-0.61891576076406762</v>
      </c>
      <c r="S85" s="32">
        <f t="shared" si="27"/>
        <v>-0.82040802109518784</v>
      </c>
      <c r="T85" s="32">
        <f t="shared" si="28"/>
        <v>-1.0625089558734409</v>
      </c>
      <c r="U85" s="32">
        <f t="shared" si="29"/>
        <v>-1.002935339374456</v>
      </c>
      <c r="V85" s="37">
        <f t="shared" si="30"/>
        <v>-0.98255945134392186</v>
      </c>
      <c r="W85"/>
      <c r="AK85" s="45" t="s">
        <v>78</v>
      </c>
      <c r="AL85" s="45">
        <v>7</v>
      </c>
      <c r="AM85" s="45">
        <v>21</v>
      </c>
      <c r="AN85" s="45">
        <v>3</v>
      </c>
      <c r="AO85" s="45">
        <v>0.33333333300000001</v>
      </c>
      <c r="AP85" s="45"/>
      <c r="AQ85" s="45"/>
      <c r="AR85" s="45"/>
    </row>
    <row r="86" spans="1:44" x14ac:dyDescent="0.35">
      <c r="A86">
        <v>3</v>
      </c>
      <c r="B86">
        <v>3</v>
      </c>
      <c r="C86">
        <v>3</v>
      </c>
      <c r="D86">
        <v>3</v>
      </c>
      <c r="E86">
        <v>3</v>
      </c>
      <c r="F86">
        <v>3</v>
      </c>
      <c r="G86">
        <v>3</v>
      </c>
      <c r="H86" s="25">
        <f t="shared" si="16"/>
        <v>3</v>
      </c>
      <c r="I86" s="25">
        <f t="shared" si="17"/>
        <v>3</v>
      </c>
      <c r="J86" s="25">
        <f t="shared" si="18"/>
        <v>3</v>
      </c>
      <c r="K86" s="25">
        <f t="shared" si="19"/>
        <v>3</v>
      </c>
      <c r="L86" s="25">
        <f t="shared" si="20"/>
        <v>3</v>
      </c>
      <c r="M86" s="25">
        <f t="shared" si="21"/>
        <v>3</v>
      </c>
      <c r="N86" s="25">
        <f t="shared" si="22"/>
        <v>3</v>
      </c>
      <c r="O86" s="32">
        <f t="shared" si="23"/>
        <v>-0.95700561253682881</v>
      </c>
      <c r="P86" s="32">
        <f t="shared" si="24"/>
        <v>-0.51458870665983425</v>
      </c>
      <c r="Q86" s="32">
        <f t="shared" si="25"/>
        <v>-1.0009496220281058</v>
      </c>
      <c r="R86" s="32">
        <f t="shared" si="26"/>
        <v>-0.61891576076406762</v>
      </c>
      <c r="S86" s="32">
        <f t="shared" si="27"/>
        <v>-0.82040802109518784</v>
      </c>
      <c r="T86" s="32">
        <f t="shared" si="28"/>
        <v>-1.0625089558734409</v>
      </c>
      <c r="U86" s="32">
        <f t="shared" si="29"/>
        <v>-1.002935339374456</v>
      </c>
      <c r="V86" s="37">
        <f t="shared" si="30"/>
        <v>-0.85390171690456007</v>
      </c>
      <c r="W86"/>
      <c r="AK86" s="45" t="s">
        <v>78</v>
      </c>
      <c r="AL86" s="45">
        <v>7</v>
      </c>
      <c r="AM86" s="45">
        <v>21</v>
      </c>
      <c r="AN86" s="45">
        <v>3</v>
      </c>
      <c r="AO86" s="45">
        <v>0.33333333300000001</v>
      </c>
      <c r="AP86" s="45"/>
      <c r="AQ86" s="45"/>
      <c r="AR86" s="45"/>
    </row>
    <row r="87" spans="1:44" x14ac:dyDescent="0.35">
      <c r="A87">
        <v>3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 s="25">
        <f t="shared" si="16"/>
        <v>3</v>
      </c>
      <c r="I87" s="25">
        <f t="shared" si="17"/>
        <v>3</v>
      </c>
      <c r="J87" s="25">
        <f t="shared" si="18"/>
        <v>3</v>
      </c>
      <c r="K87" s="25">
        <f t="shared" si="19"/>
        <v>3</v>
      </c>
      <c r="L87" s="25">
        <f t="shared" si="20"/>
        <v>3</v>
      </c>
      <c r="M87" s="25">
        <f t="shared" si="21"/>
        <v>3</v>
      </c>
      <c r="N87" s="25">
        <f t="shared" si="22"/>
        <v>3</v>
      </c>
      <c r="O87" s="32">
        <f t="shared" si="23"/>
        <v>-0.95700561253682881</v>
      </c>
      <c r="P87" s="32">
        <f t="shared" si="24"/>
        <v>-0.51458870665983425</v>
      </c>
      <c r="Q87" s="32">
        <f t="shared" si="25"/>
        <v>-1.0009496220281058</v>
      </c>
      <c r="R87" s="32">
        <f t="shared" si="26"/>
        <v>-0.61891576076406762</v>
      </c>
      <c r="S87" s="32">
        <f t="shared" si="27"/>
        <v>-0.82040802109518784</v>
      </c>
      <c r="T87" s="32">
        <f t="shared" si="28"/>
        <v>-1.0625089558734409</v>
      </c>
      <c r="U87" s="32">
        <f t="shared" si="29"/>
        <v>-1.002935339374456</v>
      </c>
      <c r="V87" s="37">
        <f t="shared" si="30"/>
        <v>-0.85390171690456007</v>
      </c>
      <c r="W87"/>
      <c r="AK87" s="45" t="s">
        <v>78</v>
      </c>
      <c r="AL87" s="45">
        <v>7</v>
      </c>
      <c r="AM87" s="45">
        <v>22</v>
      </c>
      <c r="AN87" s="45">
        <v>3.1428571430000001</v>
      </c>
      <c r="AO87" s="45">
        <v>0.14285714299999999</v>
      </c>
      <c r="AP87" s="45"/>
      <c r="AQ87" s="45"/>
      <c r="AR87" s="45"/>
    </row>
    <row r="88" spans="1:44" x14ac:dyDescent="0.35">
      <c r="A88">
        <v>3</v>
      </c>
      <c r="B88">
        <v>3</v>
      </c>
      <c r="C88">
        <v>3</v>
      </c>
      <c r="D88">
        <v>3</v>
      </c>
      <c r="E88">
        <v>3</v>
      </c>
      <c r="F88">
        <v>3</v>
      </c>
      <c r="G88">
        <v>3</v>
      </c>
      <c r="H88" s="25">
        <f t="shared" si="16"/>
        <v>3</v>
      </c>
      <c r="I88" s="25">
        <f t="shared" si="17"/>
        <v>3</v>
      </c>
      <c r="J88" s="25">
        <f t="shared" si="18"/>
        <v>3</v>
      </c>
      <c r="K88" s="25">
        <f t="shared" si="19"/>
        <v>3</v>
      </c>
      <c r="L88" s="25">
        <f t="shared" si="20"/>
        <v>3</v>
      </c>
      <c r="M88" s="25">
        <f t="shared" si="21"/>
        <v>3</v>
      </c>
      <c r="N88" s="25">
        <f t="shared" si="22"/>
        <v>3</v>
      </c>
      <c r="O88" s="32">
        <f t="shared" si="23"/>
        <v>-0.95700561253682881</v>
      </c>
      <c r="P88" s="32">
        <f t="shared" si="24"/>
        <v>-0.51458870665983425</v>
      </c>
      <c r="Q88" s="32">
        <f t="shared" si="25"/>
        <v>-1.0009496220281058</v>
      </c>
      <c r="R88" s="32">
        <f t="shared" si="26"/>
        <v>-0.61891576076406762</v>
      </c>
      <c r="S88" s="32">
        <f t="shared" si="27"/>
        <v>-0.82040802109518784</v>
      </c>
      <c r="T88" s="32">
        <f t="shared" si="28"/>
        <v>-1.0625089558734409</v>
      </c>
      <c r="U88" s="32">
        <f t="shared" si="29"/>
        <v>-1.002935339374456</v>
      </c>
      <c r="V88" s="37">
        <f t="shared" si="30"/>
        <v>-0.85390171690456007</v>
      </c>
      <c r="W88"/>
      <c r="AK88" s="45" t="s">
        <v>78</v>
      </c>
      <c r="AL88" s="45">
        <v>7</v>
      </c>
      <c r="AM88" s="45">
        <v>20</v>
      </c>
      <c r="AN88" s="45">
        <v>2.8571428569999999</v>
      </c>
      <c r="AO88" s="45">
        <v>0.14285714299999999</v>
      </c>
      <c r="AP88" s="45"/>
      <c r="AQ88" s="45"/>
      <c r="AR88" s="45"/>
    </row>
    <row r="89" spans="1:44" x14ac:dyDescent="0.35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3</v>
      </c>
      <c r="H89" s="25">
        <f t="shared" si="16"/>
        <v>3</v>
      </c>
      <c r="I89" s="25">
        <f t="shared" si="17"/>
        <v>3</v>
      </c>
      <c r="J89" s="25">
        <f t="shared" si="18"/>
        <v>3</v>
      </c>
      <c r="K89" s="25">
        <f t="shared" si="19"/>
        <v>3</v>
      </c>
      <c r="L89" s="25">
        <f t="shared" si="20"/>
        <v>3</v>
      </c>
      <c r="M89" s="25">
        <f t="shared" si="21"/>
        <v>3</v>
      </c>
      <c r="N89" s="25">
        <f t="shared" si="22"/>
        <v>3</v>
      </c>
      <c r="O89" s="32">
        <f t="shared" si="23"/>
        <v>-0.95700561253682881</v>
      </c>
      <c r="P89" s="32">
        <f t="shared" si="24"/>
        <v>-0.51458870665983425</v>
      </c>
      <c r="Q89" s="32">
        <f t="shared" si="25"/>
        <v>-1.0009496220281058</v>
      </c>
      <c r="R89" s="32">
        <f t="shared" si="26"/>
        <v>-0.61891576076406762</v>
      </c>
      <c r="S89" s="32">
        <f t="shared" si="27"/>
        <v>-0.82040802109518784</v>
      </c>
      <c r="T89" s="32">
        <f t="shared" si="28"/>
        <v>-1.0625089558734409</v>
      </c>
      <c r="U89" s="32">
        <f t="shared" si="29"/>
        <v>-1.002935339374456</v>
      </c>
      <c r="V89" s="37">
        <f t="shared" si="30"/>
        <v>-0.85390171690456007</v>
      </c>
      <c r="W89"/>
      <c r="AK89" s="45" t="s">
        <v>78</v>
      </c>
      <c r="AL89" s="45">
        <v>7</v>
      </c>
      <c r="AM89" s="45">
        <v>21</v>
      </c>
      <c r="AN89" s="45">
        <v>3</v>
      </c>
      <c r="AO89" s="45">
        <v>0</v>
      </c>
      <c r="AP89" s="45"/>
      <c r="AQ89" s="45"/>
      <c r="AR89" s="45"/>
    </row>
    <row r="90" spans="1:44" x14ac:dyDescent="0.35">
      <c r="A90">
        <v>3</v>
      </c>
      <c r="B90">
        <v>3</v>
      </c>
      <c r="C90">
        <v>3</v>
      </c>
      <c r="D90">
        <v>3</v>
      </c>
      <c r="E90">
        <v>3</v>
      </c>
      <c r="F90">
        <v>3</v>
      </c>
      <c r="G90">
        <v>3</v>
      </c>
      <c r="H90" s="25">
        <f t="shared" si="16"/>
        <v>3</v>
      </c>
      <c r="I90" s="25">
        <f t="shared" si="17"/>
        <v>3</v>
      </c>
      <c r="J90" s="25">
        <f t="shared" si="18"/>
        <v>3</v>
      </c>
      <c r="K90" s="25">
        <f t="shared" si="19"/>
        <v>3</v>
      </c>
      <c r="L90" s="25">
        <f t="shared" si="20"/>
        <v>3</v>
      </c>
      <c r="M90" s="25">
        <f t="shared" si="21"/>
        <v>3</v>
      </c>
      <c r="N90" s="25">
        <f t="shared" si="22"/>
        <v>3</v>
      </c>
      <c r="O90" s="32">
        <f t="shared" si="23"/>
        <v>-0.95700561253682881</v>
      </c>
      <c r="P90" s="32">
        <f t="shared" si="24"/>
        <v>-0.51458870665983425</v>
      </c>
      <c r="Q90" s="32">
        <f t="shared" si="25"/>
        <v>-1.0009496220281058</v>
      </c>
      <c r="R90" s="32">
        <f t="shared" si="26"/>
        <v>-0.61891576076406762</v>
      </c>
      <c r="S90" s="32">
        <f t="shared" si="27"/>
        <v>-0.82040802109518784</v>
      </c>
      <c r="T90" s="32">
        <f t="shared" si="28"/>
        <v>-1.0625089558734409</v>
      </c>
      <c r="U90" s="32">
        <f t="shared" si="29"/>
        <v>-1.002935339374456</v>
      </c>
      <c r="V90" s="37">
        <f t="shared" si="30"/>
        <v>-0.85390171690456007</v>
      </c>
      <c r="W90"/>
      <c r="AK90" s="45" t="s">
        <v>78</v>
      </c>
      <c r="AL90" s="45">
        <v>7</v>
      </c>
      <c r="AM90" s="45">
        <v>21</v>
      </c>
      <c r="AN90" s="45">
        <v>3</v>
      </c>
      <c r="AO90" s="45">
        <v>0</v>
      </c>
      <c r="AP90" s="45"/>
      <c r="AQ90" s="45"/>
      <c r="AR90" s="45"/>
    </row>
    <row r="91" spans="1:44" x14ac:dyDescent="0.35">
      <c r="A91">
        <v>3</v>
      </c>
      <c r="B91">
        <v>3</v>
      </c>
      <c r="C91">
        <v>3</v>
      </c>
      <c r="D91">
        <v>3</v>
      </c>
      <c r="E91">
        <v>3</v>
      </c>
      <c r="F91">
        <v>3</v>
      </c>
      <c r="G91">
        <v>3</v>
      </c>
      <c r="H91" s="25">
        <f t="shared" si="16"/>
        <v>3</v>
      </c>
      <c r="I91" s="25">
        <f t="shared" si="17"/>
        <v>3</v>
      </c>
      <c r="J91" s="25">
        <f t="shared" si="18"/>
        <v>3</v>
      </c>
      <c r="K91" s="25">
        <f t="shared" si="19"/>
        <v>3</v>
      </c>
      <c r="L91" s="25">
        <f t="shared" si="20"/>
        <v>3</v>
      </c>
      <c r="M91" s="25">
        <f t="shared" si="21"/>
        <v>3</v>
      </c>
      <c r="N91" s="25">
        <f t="shared" si="22"/>
        <v>3</v>
      </c>
      <c r="O91" s="32">
        <f t="shared" si="23"/>
        <v>-0.95700561253682881</v>
      </c>
      <c r="P91" s="32">
        <f t="shared" si="24"/>
        <v>-0.51458870665983425</v>
      </c>
      <c r="Q91" s="32">
        <f t="shared" si="25"/>
        <v>-1.0009496220281058</v>
      </c>
      <c r="R91" s="32">
        <f t="shared" si="26"/>
        <v>-0.61891576076406762</v>
      </c>
      <c r="S91" s="32">
        <f t="shared" si="27"/>
        <v>-0.82040802109518784</v>
      </c>
      <c r="T91" s="32">
        <f t="shared" si="28"/>
        <v>-1.0625089558734409</v>
      </c>
      <c r="U91" s="32">
        <f t="shared" si="29"/>
        <v>-1.002935339374456</v>
      </c>
      <c r="V91" s="37">
        <f t="shared" si="30"/>
        <v>-0.85390171690456007</v>
      </c>
      <c r="W91"/>
      <c r="AK91" s="45" t="s">
        <v>78</v>
      </c>
      <c r="AL91" s="45">
        <v>7</v>
      </c>
      <c r="AM91" s="45">
        <v>21</v>
      </c>
      <c r="AN91" s="45">
        <v>3</v>
      </c>
      <c r="AO91" s="45">
        <v>0</v>
      </c>
      <c r="AP91" s="45"/>
      <c r="AQ91" s="45"/>
      <c r="AR91" s="45"/>
    </row>
    <row r="92" spans="1:44" x14ac:dyDescent="0.35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3</v>
      </c>
      <c r="H92" s="25">
        <f t="shared" si="16"/>
        <v>3</v>
      </c>
      <c r="I92" s="25">
        <f t="shared" si="17"/>
        <v>3</v>
      </c>
      <c r="J92" s="25">
        <f t="shared" si="18"/>
        <v>3</v>
      </c>
      <c r="K92" s="25">
        <f t="shared" si="19"/>
        <v>3</v>
      </c>
      <c r="L92" s="25">
        <f t="shared" si="20"/>
        <v>3</v>
      </c>
      <c r="M92" s="25">
        <f t="shared" si="21"/>
        <v>3</v>
      </c>
      <c r="N92" s="25">
        <f t="shared" si="22"/>
        <v>3</v>
      </c>
      <c r="O92" s="32">
        <f t="shared" si="23"/>
        <v>-0.95700561253682881</v>
      </c>
      <c r="P92" s="32">
        <f t="shared" si="24"/>
        <v>-0.51458870665983425</v>
      </c>
      <c r="Q92" s="32">
        <f t="shared" si="25"/>
        <v>-1.0009496220281058</v>
      </c>
      <c r="R92" s="32">
        <f t="shared" si="26"/>
        <v>-0.61891576076406762</v>
      </c>
      <c r="S92" s="32">
        <f t="shared" si="27"/>
        <v>-0.82040802109518784</v>
      </c>
      <c r="T92" s="32">
        <f t="shared" si="28"/>
        <v>-1.0625089558734409</v>
      </c>
      <c r="U92" s="32">
        <f t="shared" si="29"/>
        <v>-1.002935339374456</v>
      </c>
      <c r="V92" s="37">
        <f t="shared" si="30"/>
        <v>-0.85390171690456007</v>
      </c>
      <c r="W92"/>
      <c r="AK92" s="45" t="s">
        <v>78</v>
      </c>
      <c r="AL92" s="45">
        <v>7</v>
      </c>
      <c r="AM92" s="45">
        <v>21</v>
      </c>
      <c r="AN92" s="45">
        <v>3</v>
      </c>
      <c r="AO92" s="45">
        <v>0</v>
      </c>
      <c r="AP92" s="45"/>
      <c r="AQ92" s="45"/>
      <c r="AR92" s="45"/>
    </row>
    <row r="93" spans="1:44" x14ac:dyDescent="0.35">
      <c r="A93">
        <v>2</v>
      </c>
      <c r="B93">
        <v>1</v>
      </c>
      <c r="C93">
        <v>4</v>
      </c>
      <c r="D93">
        <v>3</v>
      </c>
      <c r="E93">
        <v>3</v>
      </c>
      <c r="F93">
        <v>3</v>
      </c>
      <c r="G93">
        <v>3</v>
      </c>
      <c r="H93" s="25">
        <f t="shared" si="16"/>
        <v>2</v>
      </c>
      <c r="I93" s="25">
        <f t="shared" si="17"/>
        <v>5</v>
      </c>
      <c r="J93" s="25">
        <f t="shared" si="18"/>
        <v>4</v>
      </c>
      <c r="K93" s="25">
        <f t="shared" si="19"/>
        <v>3</v>
      </c>
      <c r="L93" s="25">
        <f t="shared" si="20"/>
        <v>3</v>
      </c>
      <c r="M93" s="25">
        <f t="shared" si="21"/>
        <v>3</v>
      </c>
      <c r="N93" s="25">
        <f t="shared" si="22"/>
        <v>3</v>
      </c>
      <c r="O93" s="32">
        <f t="shared" si="23"/>
        <v>-1.8576097536123615</v>
      </c>
      <c r="P93" s="32">
        <f t="shared" si="24"/>
        <v>1.0418053570413823</v>
      </c>
      <c r="Q93" s="32">
        <f t="shared" si="25"/>
        <v>-9.6984149849158471E-2</v>
      </c>
      <c r="R93" s="32">
        <f t="shared" si="26"/>
        <v>-0.61891576076406762</v>
      </c>
      <c r="S93" s="32">
        <f t="shared" si="27"/>
        <v>-0.82040802109518784</v>
      </c>
      <c r="T93" s="32">
        <f t="shared" si="28"/>
        <v>-1.0625089558734409</v>
      </c>
      <c r="U93" s="32">
        <f t="shared" si="29"/>
        <v>-1.002935339374456</v>
      </c>
      <c r="V93" s="37">
        <f t="shared" si="30"/>
        <v>-0.63107951764675563</v>
      </c>
      <c r="W93"/>
      <c r="AK93" s="45" t="s">
        <v>78</v>
      </c>
      <c r="AL93" s="45">
        <v>7</v>
      </c>
      <c r="AM93" s="45">
        <v>21</v>
      </c>
      <c r="AN93" s="45">
        <v>3</v>
      </c>
      <c r="AO93" s="45">
        <v>0</v>
      </c>
      <c r="AP93" s="45"/>
      <c r="AQ93" s="45"/>
      <c r="AR93" s="45"/>
    </row>
    <row r="94" spans="1:44" x14ac:dyDescent="0.35">
      <c r="A94">
        <v>5</v>
      </c>
      <c r="B94">
        <v>1</v>
      </c>
      <c r="C94">
        <v>4</v>
      </c>
      <c r="D94">
        <v>3</v>
      </c>
      <c r="E94">
        <v>3</v>
      </c>
      <c r="F94">
        <v>3</v>
      </c>
      <c r="G94">
        <v>3</v>
      </c>
      <c r="H94" s="25">
        <f t="shared" si="16"/>
        <v>5</v>
      </c>
      <c r="I94" s="25">
        <f t="shared" si="17"/>
        <v>5</v>
      </c>
      <c r="J94" s="25">
        <f t="shared" si="18"/>
        <v>4</v>
      </c>
      <c r="K94" s="25">
        <f t="shared" si="19"/>
        <v>3</v>
      </c>
      <c r="L94" s="25">
        <f t="shared" si="20"/>
        <v>3</v>
      </c>
      <c r="M94" s="25">
        <f t="shared" si="21"/>
        <v>3</v>
      </c>
      <c r="N94" s="25">
        <f t="shared" si="22"/>
        <v>3</v>
      </c>
      <c r="O94" s="32">
        <f t="shared" si="23"/>
        <v>0.84420266961423651</v>
      </c>
      <c r="P94" s="32">
        <f t="shared" si="24"/>
        <v>1.0418053570413823</v>
      </c>
      <c r="Q94" s="32">
        <f t="shared" si="25"/>
        <v>-9.6984149849158471E-2</v>
      </c>
      <c r="R94" s="32">
        <f t="shared" si="26"/>
        <v>-0.61891576076406762</v>
      </c>
      <c r="S94" s="32">
        <f t="shared" si="27"/>
        <v>-0.82040802109518784</v>
      </c>
      <c r="T94" s="32">
        <f t="shared" si="28"/>
        <v>-1.0625089558734409</v>
      </c>
      <c r="U94" s="32">
        <f t="shared" si="29"/>
        <v>-1.002935339374456</v>
      </c>
      <c r="V94" s="37">
        <f t="shared" si="30"/>
        <v>-0.24510631432867025</v>
      </c>
      <c r="W94"/>
      <c r="AK94" s="45" t="s">
        <v>78</v>
      </c>
      <c r="AL94" s="45">
        <v>7</v>
      </c>
      <c r="AM94" s="45">
        <v>21</v>
      </c>
      <c r="AN94" s="45">
        <v>3</v>
      </c>
      <c r="AO94" s="45">
        <v>0</v>
      </c>
      <c r="AP94" s="45"/>
      <c r="AQ94" s="45"/>
      <c r="AR94" s="45"/>
    </row>
    <row r="95" spans="1:44" x14ac:dyDescent="0.35">
      <c r="A95">
        <v>3</v>
      </c>
      <c r="B95">
        <v>2</v>
      </c>
      <c r="C95">
        <v>4</v>
      </c>
      <c r="D95">
        <v>4</v>
      </c>
      <c r="E95">
        <v>3</v>
      </c>
      <c r="F95">
        <v>3</v>
      </c>
      <c r="G95">
        <v>3</v>
      </c>
      <c r="H95" s="25">
        <f t="shared" si="16"/>
        <v>3</v>
      </c>
      <c r="I95" s="25">
        <f t="shared" si="17"/>
        <v>4</v>
      </c>
      <c r="J95" s="25">
        <f t="shared" si="18"/>
        <v>4</v>
      </c>
      <c r="K95" s="25">
        <f t="shared" si="19"/>
        <v>2</v>
      </c>
      <c r="L95" s="25">
        <f t="shared" si="20"/>
        <v>3</v>
      </c>
      <c r="M95" s="25">
        <f t="shared" si="21"/>
        <v>3</v>
      </c>
      <c r="N95" s="25">
        <f t="shared" si="22"/>
        <v>3</v>
      </c>
      <c r="O95" s="32">
        <f t="shared" si="23"/>
        <v>-0.95700561253682881</v>
      </c>
      <c r="P95" s="32">
        <f t="shared" si="24"/>
        <v>0.26360832519077404</v>
      </c>
      <c r="Q95" s="32">
        <f t="shared" si="25"/>
        <v>-9.6984149849158471E-2</v>
      </c>
      <c r="R95" s="32">
        <f t="shared" si="26"/>
        <v>-1.453693149260562</v>
      </c>
      <c r="S95" s="32">
        <f t="shared" si="27"/>
        <v>-0.82040802109518784</v>
      </c>
      <c r="T95" s="32">
        <f t="shared" si="28"/>
        <v>-1.0625089558734409</v>
      </c>
      <c r="U95" s="32">
        <f t="shared" si="29"/>
        <v>-1.002935339374456</v>
      </c>
      <c r="V95" s="37">
        <f t="shared" si="30"/>
        <v>-0.73284670039983724</v>
      </c>
      <c r="W95"/>
      <c r="AK95" s="45" t="s">
        <v>78</v>
      </c>
      <c r="AL95" s="45">
        <v>7</v>
      </c>
      <c r="AM95" s="45">
        <v>21</v>
      </c>
      <c r="AN95" s="45">
        <v>3</v>
      </c>
      <c r="AO95" s="45">
        <v>0</v>
      </c>
      <c r="AP95" s="45"/>
      <c r="AQ95" s="45"/>
      <c r="AR95" s="45"/>
    </row>
    <row r="96" spans="1:44" x14ac:dyDescent="0.35">
      <c r="A96">
        <v>3</v>
      </c>
      <c r="B96">
        <v>3</v>
      </c>
      <c r="C96">
        <v>3</v>
      </c>
      <c r="D96">
        <v>5</v>
      </c>
      <c r="E96">
        <v>3</v>
      </c>
      <c r="F96">
        <v>3</v>
      </c>
      <c r="G96">
        <v>3</v>
      </c>
      <c r="H96" s="25">
        <f t="shared" si="16"/>
        <v>3</v>
      </c>
      <c r="I96" s="25">
        <f t="shared" si="17"/>
        <v>3</v>
      </c>
      <c r="J96" s="25">
        <f t="shared" si="18"/>
        <v>3</v>
      </c>
      <c r="K96" s="25">
        <f t="shared" si="19"/>
        <v>1</v>
      </c>
      <c r="L96" s="25">
        <f t="shared" si="20"/>
        <v>3</v>
      </c>
      <c r="M96" s="25">
        <f t="shared" si="21"/>
        <v>3</v>
      </c>
      <c r="N96" s="25">
        <f t="shared" si="22"/>
        <v>3</v>
      </c>
      <c r="O96" s="32">
        <f t="shared" si="23"/>
        <v>-0.95700561253682881</v>
      </c>
      <c r="P96" s="32">
        <f t="shared" si="24"/>
        <v>-0.51458870665983425</v>
      </c>
      <c r="Q96" s="32">
        <f t="shared" si="25"/>
        <v>-1.0009496220281058</v>
      </c>
      <c r="R96" s="32">
        <f t="shared" si="26"/>
        <v>-2.2884705377570564</v>
      </c>
      <c r="S96" s="32">
        <f t="shared" si="27"/>
        <v>-0.82040802109518784</v>
      </c>
      <c r="T96" s="32">
        <f t="shared" si="28"/>
        <v>-1.0625089558734409</v>
      </c>
      <c r="U96" s="32">
        <f t="shared" si="29"/>
        <v>-1.002935339374456</v>
      </c>
      <c r="V96" s="37">
        <f t="shared" si="30"/>
        <v>-1.0924095421892728</v>
      </c>
      <c r="W96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K96" s="45" t="s">
        <v>78</v>
      </c>
      <c r="AL96" s="45">
        <v>7</v>
      </c>
      <c r="AM96" s="45">
        <v>23</v>
      </c>
      <c r="AN96" s="45">
        <v>3.2857142860000002</v>
      </c>
      <c r="AO96" s="45">
        <v>0.90476190499999998</v>
      </c>
      <c r="AP96" s="45"/>
      <c r="AQ96" s="45"/>
      <c r="AR96" s="45"/>
    </row>
    <row r="97" spans="1:44" x14ac:dyDescent="0.35">
      <c r="A97">
        <v>4</v>
      </c>
      <c r="B97">
        <v>2</v>
      </c>
      <c r="C97">
        <v>4</v>
      </c>
      <c r="D97">
        <v>2</v>
      </c>
      <c r="E97">
        <v>4</v>
      </c>
      <c r="F97">
        <v>3</v>
      </c>
      <c r="G97">
        <v>3</v>
      </c>
      <c r="H97" s="25">
        <f t="shared" si="16"/>
        <v>4</v>
      </c>
      <c r="I97" s="25">
        <f t="shared" si="17"/>
        <v>4</v>
      </c>
      <c r="J97" s="25">
        <f t="shared" si="18"/>
        <v>4</v>
      </c>
      <c r="K97" s="25">
        <f t="shared" si="19"/>
        <v>4</v>
      </c>
      <c r="L97" s="25">
        <f t="shared" si="20"/>
        <v>2</v>
      </c>
      <c r="M97" s="25">
        <f t="shared" si="21"/>
        <v>3</v>
      </c>
      <c r="N97" s="25">
        <f t="shared" si="22"/>
        <v>3</v>
      </c>
      <c r="O97" s="32">
        <f t="shared" si="23"/>
        <v>-5.6401471461296142E-2</v>
      </c>
      <c r="P97" s="32">
        <f t="shared" si="24"/>
        <v>0.26360832519077404</v>
      </c>
      <c r="Q97" s="32">
        <f t="shared" si="25"/>
        <v>-9.6984149849158471E-2</v>
      </c>
      <c r="R97" s="32">
        <f t="shared" si="26"/>
        <v>0.21586162773242673</v>
      </c>
      <c r="S97" s="32">
        <f t="shared" si="27"/>
        <v>-1.664945689869646</v>
      </c>
      <c r="T97" s="32">
        <f t="shared" si="28"/>
        <v>-1.0625089558734409</v>
      </c>
      <c r="U97" s="32">
        <f t="shared" si="29"/>
        <v>-1.002935339374456</v>
      </c>
      <c r="V97" s="37">
        <f t="shared" si="30"/>
        <v>-0.48632937907211377</v>
      </c>
      <c r="W97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K97" s="45" t="s">
        <v>78</v>
      </c>
      <c r="AL97" s="45">
        <v>7</v>
      </c>
      <c r="AM97" s="45">
        <v>26</v>
      </c>
      <c r="AN97" s="45">
        <v>3.7142857139999998</v>
      </c>
      <c r="AO97" s="45">
        <v>0.90476190499999998</v>
      </c>
      <c r="AP97" s="45"/>
      <c r="AQ97" s="45"/>
      <c r="AR97" s="45"/>
    </row>
    <row r="98" spans="1:44" x14ac:dyDescent="0.35">
      <c r="A98">
        <v>3</v>
      </c>
      <c r="B98">
        <v>3</v>
      </c>
      <c r="C98">
        <v>4</v>
      </c>
      <c r="D98">
        <v>2</v>
      </c>
      <c r="E98">
        <v>4</v>
      </c>
      <c r="F98">
        <v>3</v>
      </c>
      <c r="G98">
        <v>3</v>
      </c>
      <c r="H98" s="25">
        <f t="shared" si="16"/>
        <v>3</v>
      </c>
      <c r="I98" s="25">
        <f t="shared" si="17"/>
        <v>3</v>
      </c>
      <c r="J98" s="25">
        <f t="shared" si="18"/>
        <v>4</v>
      </c>
      <c r="K98" s="25">
        <f t="shared" si="19"/>
        <v>4</v>
      </c>
      <c r="L98" s="25">
        <f t="shared" si="20"/>
        <v>2</v>
      </c>
      <c r="M98" s="25">
        <f t="shared" si="21"/>
        <v>3</v>
      </c>
      <c r="N98" s="25">
        <f t="shared" si="22"/>
        <v>3</v>
      </c>
      <c r="O98" s="32">
        <f t="shared" si="23"/>
        <v>-0.95700561253682881</v>
      </c>
      <c r="P98" s="32">
        <f t="shared" si="24"/>
        <v>-0.51458870665983425</v>
      </c>
      <c r="Q98" s="32">
        <f t="shared" si="25"/>
        <v>-9.6984149849158471E-2</v>
      </c>
      <c r="R98" s="32">
        <f t="shared" si="26"/>
        <v>0.21586162773242673</v>
      </c>
      <c r="S98" s="32">
        <f t="shared" si="27"/>
        <v>-1.664945689869646</v>
      </c>
      <c r="T98" s="32">
        <f t="shared" si="28"/>
        <v>-1.0625089558734409</v>
      </c>
      <c r="U98" s="32">
        <f t="shared" si="29"/>
        <v>-1.002935339374456</v>
      </c>
      <c r="V98" s="37">
        <f t="shared" si="30"/>
        <v>-0.72615811806156239</v>
      </c>
      <c r="W98"/>
      <c r="AK98" s="45" t="s">
        <v>78</v>
      </c>
      <c r="AL98" s="45">
        <v>7</v>
      </c>
      <c r="AM98" s="45">
        <v>22</v>
      </c>
      <c r="AN98" s="45">
        <v>3.1428571430000001</v>
      </c>
      <c r="AO98" s="45">
        <v>0.47619047599999997</v>
      </c>
      <c r="AP98" s="45"/>
      <c r="AQ98" s="45"/>
      <c r="AR98" s="45"/>
    </row>
    <row r="99" spans="1:44" x14ac:dyDescent="0.35">
      <c r="A99">
        <v>1</v>
      </c>
      <c r="B99">
        <v>3</v>
      </c>
      <c r="C99">
        <v>3</v>
      </c>
      <c r="D99">
        <v>3</v>
      </c>
      <c r="E99">
        <v>4</v>
      </c>
      <c r="F99">
        <v>3</v>
      </c>
      <c r="G99">
        <v>3</v>
      </c>
      <c r="H99" s="25">
        <f t="shared" si="16"/>
        <v>1</v>
      </c>
      <c r="I99" s="25">
        <f t="shared" si="17"/>
        <v>3</v>
      </c>
      <c r="J99" s="25">
        <f t="shared" si="18"/>
        <v>3</v>
      </c>
      <c r="K99" s="25">
        <f t="shared" si="19"/>
        <v>3</v>
      </c>
      <c r="L99" s="25">
        <f t="shared" si="20"/>
        <v>2</v>
      </c>
      <c r="M99" s="25">
        <f t="shared" si="21"/>
        <v>3</v>
      </c>
      <c r="N99" s="25">
        <f t="shared" si="22"/>
        <v>3</v>
      </c>
      <c r="O99" s="32">
        <f t="shared" si="23"/>
        <v>-2.758213894687894</v>
      </c>
      <c r="P99" s="32">
        <f t="shared" si="24"/>
        <v>-0.51458870665983425</v>
      </c>
      <c r="Q99" s="32">
        <f t="shared" si="25"/>
        <v>-1.0009496220281058</v>
      </c>
      <c r="R99" s="32">
        <f t="shared" si="26"/>
        <v>-0.61891576076406762</v>
      </c>
      <c r="S99" s="32">
        <f t="shared" si="27"/>
        <v>-1.664945689869646</v>
      </c>
      <c r="T99" s="32">
        <f t="shared" si="28"/>
        <v>-1.0625089558734409</v>
      </c>
      <c r="U99" s="32">
        <f t="shared" si="29"/>
        <v>-1.002935339374456</v>
      </c>
      <c r="V99" s="37">
        <f t="shared" si="30"/>
        <v>-1.231865424179635</v>
      </c>
      <c r="W99"/>
      <c r="AK99" s="45" t="s">
        <v>78</v>
      </c>
      <c r="AL99" s="45">
        <v>7</v>
      </c>
      <c r="AM99" s="45">
        <v>19</v>
      </c>
      <c r="AN99" s="45">
        <v>2.7142857139999998</v>
      </c>
      <c r="AO99" s="45">
        <v>0.571428571</v>
      </c>
      <c r="AP99" s="45"/>
      <c r="AQ99" s="45"/>
      <c r="AR99" s="45"/>
    </row>
    <row r="100" spans="1:44" x14ac:dyDescent="0.35">
      <c r="A100">
        <v>3</v>
      </c>
      <c r="B100">
        <v>3</v>
      </c>
      <c r="C100">
        <v>3</v>
      </c>
      <c r="D100">
        <v>3</v>
      </c>
      <c r="E100">
        <v>4</v>
      </c>
      <c r="F100">
        <v>3</v>
      </c>
      <c r="G100">
        <v>3</v>
      </c>
      <c r="H100" s="25">
        <f t="shared" si="16"/>
        <v>3</v>
      </c>
      <c r="I100" s="25">
        <f t="shared" si="17"/>
        <v>3</v>
      </c>
      <c r="J100" s="25">
        <f t="shared" si="18"/>
        <v>3</v>
      </c>
      <c r="K100" s="25">
        <f t="shared" si="19"/>
        <v>3</v>
      </c>
      <c r="L100" s="25">
        <f t="shared" si="20"/>
        <v>2</v>
      </c>
      <c r="M100" s="25">
        <f t="shared" si="21"/>
        <v>3</v>
      </c>
      <c r="N100" s="25">
        <f t="shared" si="22"/>
        <v>3</v>
      </c>
      <c r="O100" s="32">
        <f t="shared" si="23"/>
        <v>-0.95700561253682881</v>
      </c>
      <c r="P100" s="32">
        <f t="shared" si="24"/>
        <v>-0.51458870665983425</v>
      </c>
      <c r="Q100" s="32">
        <f t="shared" si="25"/>
        <v>-1.0009496220281058</v>
      </c>
      <c r="R100" s="32">
        <f t="shared" si="26"/>
        <v>-0.61891576076406762</v>
      </c>
      <c r="S100" s="32">
        <f t="shared" si="27"/>
        <v>-1.664945689869646</v>
      </c>
      <c r="T100" s="32">
        <f t="shared" si="28"/>
        <v>-1.0625089558734409</v>
      </c>
      <c r="U100" s="32">
        <f t="shared" si="29"/>
        <v>-1.002935339374456</v>
      </c>
      <c r="V100" s="37">
        <f t="shared" si="30"/>
        <v>-0.97454995530091126</v>
      </c>
      <c r="W100"/>
      <c r="AK100" s="45" t="s">
        <v>78</v>
      </c>
      <c r="AL100" s="45">
        <v>7</v>
      </c>
      <c r="AM100" s="45">
        <v>24</v>
      </c>
      <c r="AN100" s="45">
        <v>3.4285714289999998</v>
      </c>
      <c r="AO100" s="45">
        <v>0.61904761900000005</v>
      </c>
      <c r="AP100" s="45"/>
      <c r="AQ100" s="45"/>
      <c r="AR100" s="45"/>
    </row>
    <row r="101" spans="1:44" x14ac:dyDescent="0.35">
      <c r="A101">
        <v>3</v>
      </c>
      <c r="B101">
        <v>3</v>
      </c>
      <c r="C101">
        <v>3</v>
      </c>
      <c r="D101">
        <v>3</v>
      </c>
      <c r="E101">
        <v>4</v>
      </c>
      <c r="F101">
        <v>3</v>
      </c>
      <c r="G101">
        <v>3</v>
      </c>
      <c r="H101" s="25">
        <f t="shared" si="16"/>
        <v>3</v>
      </c>
      <c r="I101" s="25">
        <f t="shared" si="17"/>
        <v>3</v>
      </c>
      <c r="J101" s="25">
        <f t="shared" si="18"/>
        <v>3</v>
      </c>
      <c r="K101" s="25">
        <f t="shared" si="19"/>
        <v>3</v>
      </c>
      <c r="L101" s="25">
        <f t="shared" si="20"/>
        <v>2</v>
      </c>
      <c r="M101" s="25">
        <f t="shared" si="21"/>
        <v>3</v>
      </c>
      <c r="N101" s="25">
        <f t="shared" si="22"/>
        <v>3</v>
      </c>
      <c r="O101" s="32">
        <f t="shared" si="23"/>
        <v>-0.95700561253682881</v>
      </c>
      <c r="P101" s="32">
        <f t="shared" si="24"/>
        <v>-0.51458870665983425</v>
      </c>
      <c r="Q101" s="32">
        <f t="shared" si="25"/>
        <v>-1.0009496220281058</v>
      </c>
      <c r="R101" s="32">
        <f t="shared" si="26"/>
        <v>-0.61891576076406762</v>
      </c>
      <c r="S101" s="32">
        <f t="shared" si="27"/>
        <v>-1.664945689869646</v>
      </c>
      <c r="T101" s="32">
        <f t="shared" si="28"/>
        <v>-1.0625089558734409</v>
      </c>
      <c r="U101" s="32">
        <f t="shared" si="29"/>
        <v>-1.002935339374456</v>
      </c>
      <c r="V101" s="37">
        <f t="shared" si="30"/>
        <v>-0.97454995530091126</v>
      </c>
      <c r="W101"/>
      <c r="AK101" s="45" t="s">
        <v>78</v>
      </c>
      <c r="AL101" s="45">
        <v>7</v>
      </c>
      <c r="AM101" s="45">
        <v>22</v>
      </c>
      <c r="AN101" s="45">
        <v>3.1428571430000001</v>
      </c>
      <c r="AO101" s="45">
        <v>0.47619047599999997</v>
      </c>
      <c r="AP101" s="45"/>
      <c r="AQ101" s="45"/>
      <c r="AR101" s="45"/>
    </row>
    <row r="102" spans="1:44" x14ac:dyDescent="0.35">
      <c r="A102">
        <v>4</v>
      </c>
      <c r="B102">
        <v>3</v>
      </c>
      <c r="C102">
        <v>4</v>
      </c>
      <c r="D102">
        <v>4</v>
      </c>
      <c r="E102">
        <v>4</v>
      </c>
      <c r="F102">
        <v>3</v>
      </c>
      <c r="G102">
        <v>3</v>
      </c>
      <c r="H102" s="25">
        <f t="shared" si="16"/>
        <v>4</v>
      </c>
      <c r="I102" s="25">
        <f t="shared" si="17"/>
        <v>3</v>
      </c>
      <c r="J102" s="25">
        <f t="shared" si="18"/>
        <v>4</v>
      </c>
      <c r="K102" s="25">
        <f t="shared" si="19"/>
        <v>2</v>
      </c>
      <c r="L102" s="25">
        <f t="shared" si="20"/>
        <v>2</v>
      </c>
      <c r="M102" s="25">
        <f t="shared" si="21"/>
        <v>3</v>
      </c>
      <c r="N102" s="25">
        <f t="shared" si="22"/>
        <v>3</v>
      </c>
      <c r="O102" s="32">
        <f t="shared" si="23"/>
        <v>-5.6401471461296142E-2</v>
      </c>
      <c r="P102" s="32">
        <f t="shared" si="24"/>
        <v>-0.51458870665983425</v>
      </c>
      <c r="Q102" s="32">
        <f t="shared" si="25"/>
        <v>-9.6984149849158471E-2</v>
      </c>
      <c r="R102" s="32">
        <f t="shared" si="26"/>
        <v>-1.453693149260562</v>
      </c>
      <c r="S102" s="32">
        <f t="shared" si="27"/>
        <v>-1.664945689869646</v>
      </c>
      <c r="T102" s="32">
        <f t="shared" si="28"/>
        <v>-1.0625089558734409</v>
      </c>
      <c r="U102" s="32">
        <f t="shared" si="29"/>
        <v>-1.002935339374456</v>
      </c>
      <c r="V102" s="37">
        <f t="shared" si="30"/>
        <v>-0.83600820890691352</v>
      </c>
      <c r="W102"/>
      <c r="AK102" s="45" t="s">
        <v>78</v>
      </c>
      <c r="AL102" s="45">
        <v>7</v>
      </c>
      <c r="AM102" s="45">
        <v>18</v>
      </c>
      <c r="AN102" s="45">
        <v>2.5714285710000002</v>
      </c>
      <c r="AO102" s="45">
        <v>0.61904761900000005</v>
      </c>
      <c r="AP102" s="45"/>
      <c r="AQ102" s="45"/>
      <c r="AR102" s="45"/>
    </row>
    <row r="103" spans="1:44" x14ac:dyDescent="0.35">
      <c r="A103">
        <v>3</v>
      </c>
      <c r="B103">
        <v>3</v>
      </c>
      <c r="C103">
        <v>5</v>
      </c>
      <c r="D103">
        <v>1</v>
      </c>
      <c r="E103">
        <v>5</v>
      </c>
      <c r="F103">
        <v>3</v>
      </c>
      <c r="G103">
        <v>3</v>
      </c>
      <c r="H103" s="25">
        <f t="shared" si="16"/>
        <v>3</v>
      </c>
      <c r="I103" s="25">
        <f t="shared" si="17"/>
        <v>3</v>
      </c>
      <c r="J103" s="25">
        <f t="shared" si="18"/>
        <v>5</v>
      </c>
      <c r="K103" s="25">
        <f t="shared" si="19"/>
        <v>5</v>
      </c>
      <c r="L103" s="25">
        <f t="shared" si="20"/>
        <v>1</v>
      </c>
      <c r="M103" s="25">
        <f t="shared" si="21"/>
        <v>3</v>
      </c>
      <c r="N103" s="25">
        <f t="shared" si="22"/>
        <v>3</v>
      </c>
      <c r="O103" s="32">
        <f t="shared" si="23"/>
        <v>-0.95700561253682881</v>
      </c>
      <c r="P103" s="32">
        <f t="shared" si="24"/>
        <v>-0.51458870665983425</v>
      </c>
      <c r="Q103" s="32">
        <f t="shared" si="25"/>
        <v>0.80698132232978881</v>
      </c>
      <c r="R103" s="32">
        <f t="shared" si="26"/>
        <v>1.0506390162289212</v>
      </c>
      <c r="S103" s="32">
        <f t="shared" si="27"/>
        <v>-2.5094833586441041</v>
      </c>
      <c r="T103" s="32">
        <f t="shared" si="28"/>
        <v>-1.0625089558734409</v>
      </c>
      <c r="U103" s="32">
        <f t="shared" si="29"/>
        <v>-1.002935339374456</v>
      </c>
      <c r="V103" s="37">
        <f t="shared" si="30"/>
        <v>-0.59841451921856481</v>
      </c>
      <c r="W103"/>
      <c r="AK103" s="45" t="s">
        <v>78</v>
      </c>
      <c r="AL103" s="45">
        <v>7</v>
      </c>
      <c r="AM103" s="45">
        <v>20</v>
      </c>
      <c r="AN103" s="45">
        <v>2.8571428569999999</v>
      </c>
      <c r="AO103" s="45">
        <v>0.14285714299999999</v>
      </c>
      <c r="AP103" s="45"/>
      <c r="AQ103" s="45"/>
      <c r="AR103" s="45"/>
    </row>
    <row r="104" spans="1:44" x14ac:dyDescent="0.35">
      <c r="A104">
        <v>3</v>
      </c>
      <c r="B104">
        <v>3</v>
      </c>
      <c r="C104">
        <v>4</v>
      </c>
      <c r="D104">
        <v>3</v>
      </c>
      <c r="E104">
        <v>1</v>
      </c>
      <c r="F104">
        <v>4</v>
      </c>
      <c r="G104">
        <v>3</v>
      </c>
      <c r="H104" s="25">
        <f t="shared" si="16"/>
        <v>3</v>
      </c>
      <c r="I104" s="25">
        <f t="shared" si="17"/>
        <v>3</v>
      </c>
      <c r="J104" s="25">
        <f t="shared" si="18"/>
        <v>4</v>
      </c>
      <c r="K104" s="25">
        <f t="shared" si="19"/>
        <v>3</v>
      </c>
      <c r="L104" s="25">
        <f t="shared" si="20"/>
        <v>5</v>
      </c>
      <c r="M104" s="25">
        <f t="shared" si="21"/>
        <v>4</v>
      </c>
      <c r="N104" s="25">
        <f t="shared" si="22"/>
        <v>3</v>
      </c>
      <c r="O104" s="32">
        <f t="shared" si="23"/>
        <v>-0.95700561253682881</v>
      </c>
      <c r="P104" s="32">
        <f t="shared" si="24"/>
        <v>-0.51458870665983425</v>
      </c>
      <c r="Q104" s="32">
        <f t="shared" si="25"/>
        <v>-9.6984149849158471E-2</v>
      </c>
      <c r="R104" s="32">
        <f t="shared" si="26"/>
        <v>-0.61891576076406762</v>
      </c>
      <c r="S104" s="32">
        <f t="shared" si="27"/>
        <v>0.86866731645372819</v>
      </c>
      <c r="T104" s="32">
        <f t="shared" si="28"/>
        <v>-0.12522426979936985</v>
      </c>
      <c r="U104" s="32">
        <f t="shared" si="29"/>
        <v>-1.002935339374456</v>
      </c>
      <c r="V104" s="37">
        <f t="shared" si="30"/>
        <v>-0.34956950321856955</v>
      </c>
      <c r="W104"/>
      <c r="AK104" s="45" t="s">
        <v>78</v>
      </c>
      <c r="AL104" s="45">
        <v>7</v>
      </c>
      <c r="AM104" s="45">
        <v>20</v>
      </c>
      <c r="AN104" s="45">
        <v>2.8571428569999999</v>
      </c>
      <c r="AO104" s="45">
        <v>0.14285714299999999</v>
      </c>
      <c r="AP104" s="45"/>
      <c r="AQ104" s="45"/>
      <c r="AR104" s="45"/>
    </row>
    <row r="105" spans="1:44" x14ac:dyDescent="0.35">
      <c r="A105">
        <v>3</v>
      </c>
      <c r="B105">
        <v>2</v>
      </c>
      <c r="C105">
        <v>4</v>
      </c>
      <c r="D105">
        <v>2</v>
      </c>
      <c r="E105">
        <v>2</v>
      </c>
      <c r="F105">
        <v>4</v>
      </c>
      <c r="G105">
        <v>3</v>
      </c>
      <c r="H105" s="25">
        <f t="shared" si="16"/>
        <v>3</v>
      </c>
      <c r="I105" s="25">
        <f t="shared" si="17"/>
        <v>4</v>
      </c>
      <c r="J105" s="25">
        <f t="shared" si="18"/>
        <v>4</v>
      </c>
      <c r="K105" s="25">
        <f t="shared" si="19"/>
        <v>4</v>
      </c>
      <c r="L105" s="25">
        <f t="shared" si="20"/>
        <v>4</v>
      </c>
      <c r="M105" s="25">
        <f t="shared" si="21"/>
        <v>4</v>
      </c>
      <c r="N105" s="25">
        <f t="shared" si="22"/>
        <v>3</v>
      </c>
      <c r="O105" s="32">
        <f t="shared" si="23"/>
        <v>-0.95700561253682881</v>
      </c>
      <c r="P105" s="32">
        <f t="shared" si="24"/>
        <v>0.26360832519077404</v>
      </c>
      <c r="Q105" s="32">
        <f t="shared" si="25"/>
        <v>-9.6984149849158471E-2</v>
      </c>
      <c r="R105" s="32">
        <f t="shared" si="26"/>
        <v>0.21586162773242673</v>
      </c>
      <c r="S105" s="32">
        <f t="shared" si="27"/>
        <v>2.4129647679270144E-2</v>
      </c>
      <c r="T105" s="32">
        <f t="shared" si="28"/>
        <v>-0.12522426979936985</v>
      </c>
      <c r="U105" s="32">
        <f t="shared" si="29"/>
        <v>-1.002935339374456</v>
      </c>
      <c r="V105" s="37">
        <f t="shared" si="30"/>
        <v>-0.23979282442247746</v>
      </c>
      <c r="W105"/>
      <c r="AK105" s="45" t="s">
        <v>78</v>
      </c>
      <c r="AL105" s="45">
        <v>7</v>
      </c>
      <c r="AM105" s="45">
        <v>21</v>
      </c>
      <c r="AN105" s="45">
        <v>3</v>
      </c>
      <c r="AO105" s="45">
        <v>0.66666666699999999</v>
      </c>
      <c r="AP105" s="45"/>
      <c r="AQ105" s="45"/>
      <c r="AR105" s="45"/>
    </row>
    <row r="106" spans="1:44" x14ac:dyDescent="0.35">
      <c r="A106">
        <v>3</v>
      </c>
      <c r="B106">
        <v>2</v>
      </c>
      <c r="C106">
        <v>4</v>
      </c>
      <c r="D106">
        <v>2</v>
      </c>
      <c r="E106">
        <v>2</v>
      </c>
      <c r="F106">
        <v>4</v>
      </c>
      <c r="G106">
        <v>3</v>
      </c>
      <c r="H106" s="25">
        <f t="shared" si="16"/>
        <v>3</v>
      </c>
      <c r="I106" s="25">
        <f t="shared" si="17"/>
        <v>4</v>
      </c>
      <c r="J106" s="25">
        <f t="shared" si="18"/>
        <v>4</v>
      </c>
      <c r="K106" s="25">
        <f t="shared" si="19"/>
        <v>4</v>
      </c>
      <c r="L106" s="25">
        <f t="shared" si="20"/>
        <v>4</v>
      </c>
      <c r="M106" s="25">
        <f t="shared" si="21"/>
        <v>4</v>
      </c>
      <c r="N106" s="25">
        <f t="shared" si="22"/>
        <v>3</v>
      </c>
      <c r="O106" s="32">
        <f t="shared" si="23"/>
        <v>-0.95700561253682881</v>
      </c>
      <c r="P106" s="32">
        <f t="shared" si="24"/>
        <v>0.26360832519077404</v>
      </c>
      <c r="Q106" s="32">
        <f t="shared" si="25"/>
        <v>-9.6984149849158471E-2</v>
      </c>
      <c r="R106" s="32">
        <f t="shared" si="26"/>
        <v>0.21586162773242673</v>
      </c>
      <c r="S106" s="32">
        <f t="shared" si="27"/>
        <v>2.4129647679270144E-2</v>
      </c>
      <c r="T106" s="32">
        <f t="shared" si="28"/>
        <v>-0.12522426979936985</v>
      </c>
      <c r="U106" s="32">
        <f t="shared" si="29"/>
        <v>-1.002935339374456</v>
      </c>
      <c r="V106" s="37">
        <f t="shared" si="30"/>
        <v>-0.23979282442247746</v>
      </c>
      <c r="W106"/>
      <c r="AK106" s="45" t="s">
        <v>78</v>
      </c>
      <c r="AL106" s="45">
        <v>7</v>
      </c>
      <c r="AM106" s="45">
        <v>23</v>
      </c>
      <c r="AN106" s="45">
        <v>3.2857142860000002</v>
      </c>
      <c r="AO106" s="45">
        <v>1.904761905</v>
      </c>
      <c r="AP106" s="45"/>
      <c r="AQ106" s="45"/>
      <c r="AR106" s="45"/>
    </row>
    <row r="107" spans="1:44" x14ac:dyDescent="0.35">
      <c r="A107">
        <v>1</v>
      </c>
      <c r="B107">
        <v>3</v>
      </c>
      <c r="C107">
        <v>4</v>
      </c>
      <c r="D107">
        <v>2</v>
      </c>
      <c r="E107">
        <v>2</v>
      </c>
      <c r="F107">
        <v>4</v>
      </c>
      <c r="G107">
        <v>3</v>
      </c>
      <c r="H107" s="25">
        <f t="shared" si="16"/>
        <v>1</v>
      </c>
      <c r="I107" s="25">
        <f t="shared" si="17"/>
        <v>3</v>
      </c>
      <c r="J107" s="25">
        <f t="shared" si="18"/>
        <v>4</v>
      </c>
      <c r="K107" s="25">
        <f t="shared" si="19"/>
        <v>4</v>
      </c>
      <c r="L107" s="25">
        <f t="shared" si="20"/>
        <v>4</v>
      </c>
      <c r="M107" s="25">
        <f t="shared" si="21"/>
        <v>4</v>
      </c>
      <c r="N107" s="25">
        <f t="shared" si="22"/>
        <v>3</v>
      </c>
      <c r="O107" s="32">
        <f t="shared" si="23"/>
        <v>-2.758213894687894</v>
      </c>
      <c r="P107" s="32">
        <f t="shared" si="24"/>
        <v>-0.51458870665983425</v>
      </c>
      <c r="Q107" s="32">
        <f t="shared" si="25"/>
        <v>-9.6984149849158471E-2</v>
      </c>
      <c r="R107" s="32">
        <f t="shared" si="26"/>
        <v>0.21586162773242673</v>
      </c>
      <c r="S107" s="32">
        <f t="shared" si="27"/>
        <v>2.4129647679270144E-2</v>
      </c>
      <c r="T107" s="32">
        <f t="shared" si="28"/>
        <v>-0.12522426979936985</v>
      </c>
      <c r="U107" s="32">
        <f t="shared" si="29"/>
        <v>-1.002935339374456</v>
      </c>
      <c r="V107" s="37">
        <f t="shared" si="30"/>
        <v>-0.60827929785128798</v>
      </c>
      <c r="W107"/>
      <c r="AK107" s="45" t="s">
        <v>78</v>
      </c>
      <c r="AL107" s="45">
        <v>7</v>
      </c>
      <c r="AM107" s="45">
        <v>25</v>
      </c>
      <c r="AN107" s="45">
        <v>3.5714285710000002</v>
      </c>
      <c r="AO107" s="45">
        <v>0.61904761900000005</v>
      </c>
      <c r="AP107" s="45"/>
      <c r="AQ107" s="45"/>
      <c r="AR107" s="45"/>
    </row>
    <row r="108" spans="1:44" s="3" customFormat="1" x14ac:dyDescent="0.35">
      <c r="A108">
        <v>4</v>
      </c>
      <c r="B108">
        <v>3</v>
      </c>
      <c r="C108">
        <v>4</v>
      </c>
      <c r="D108">
        <v>2</v>
      </c>
      <c r="E108">
        <v>2</v>
      </c>
      <c r="F108">
        <v>4</v>
      </c>
      <c r="G108">
        <v>3</v>
      </c>
      <c r="H108" s="25">
        <f t="shared" si="16"/>
        <v>4</v>
      </c>
      <c r="I108" s="25">
        <f t="shared" si="17"/>
        <v>3</v>
      </c>
      <c r="J108" s="25">
        <f t="shared" si="18"/>
        <v>4</v>
      </c>
      <c r="K108" s="25">
        <f t="shared" si="19"/>
        <v>4</v>
      </c>
      <c r="L108" s="25">
        <f t="shared" si="20"/>
        <v>4</v>
      </c>
      <c r="M108" s="25">
        <f t="shared" si="21"/>
        <v>4</v>
      </c>
      <c r="N108" s="25">
        <f t="shared" si="22"/>
        <v>3</v>
      </c>
      <c r="O108" s="32">
        <f t="shared" si="23"/>
        <v>-5.6401471461296142E-2</v>
      </c>
      <c r="P108" s="32">
        <f t="shared" si="24"/>
        <v>-0.51458870665983425</v>
      </c>
      <c r="Q108" s="32">
        <f t="shared" si="25"/>
        <v>-9.6984149849158471E-2</v>
      </c>
      <c r="R108" s="32">
        <f t="shared" si="26"/>
        <v>0.21586162773242673</v>
      </c>
      <c r="S108" s="32">
        <f t="shared" si="27"/>
        <v>2.4129647679270144E-2</v>
      </c>
      <c r="T108" s="32">
        <f t="shared" si="28"/>
        <v>-0.12522426979936985</v>
      </c>
      <c r="U108" s="32">
        <f t="shared" si="29"/>
        <v>-1.002935339374456</v>
      </c>
      <c r="V108" s="37">
        <f t="shared" si="30"/>
        <v>-0.22230609453320255</v>
      </c>
      <c r="Y108"/>
      <c r="Z108"/>
      <c r="AA108"/>
      <c r="AB108"/>
      <c r="AC108"/>
      <c r="AD108"/>
      <c r="AE108"/>
      <c r="AF108"/>
      <c r="AG108"/>
      <c r="AH108"/>
      <c r="AI108"/>
      <c r="AK108" s="45" t="s">
        <v>78</v>
      </c>
      <c r="AL108" s="45">
        <v>7</v>
      </c>
      <c r="AM108" s="45">
        <v>26</v>
      </c>
      <c r="AN108" s="45">
        <v>3.71</v>
      </c>
      <c r="AO108" s="45">
        <v>0.24</v>
      </c>
      <c r="AP108" s="45"/>
      <c r="AQ108" s="45"/>
      <c r="AR108" s="45"/>
    </row>
    <row r="109" spans="1:44" s="3" customFormat="1" x14ac:dyDescent="0.35">
      <c r="A109">
        <v>3</v>
      </c>
      <c r="B109">
        <v>4</v>
      </c>
      <c r="C109">
        <v>3</v>
      </c>
      <c r="D109">
        <v>3</v>
      </c>
      <c r="E109">
        <v>2</v>
      </c>
      <c r="F109">
        <v>4</v>
      </c>
      <c r="G109">
        <v>3</v>
      </c>
      <c r="H109" s="25">
        <f t="shared" si="16"/>
        <v>3</v>
      </c>
      <c r="I109" s="25">
        <f t="shared" si="17"/>
        <v>2</v>
      </c>
      <c r="J109" s="25">
        <f t="shared" si="18"/>
        <v>3</v>
      </c>
      <c r="K109" s="25">
        <f t="shared" si="19"/>
        <v>3</v>
      </c>
      <c r="L109" s="25">
        <f t="shared" si="20"/>
        <v>4</v>
      </c>
      <c r="M109" s="25">
        <f t="shared" si="21"/>
        <v>4</v>
      </c>
      <c r="N109" s="25">
        <f t="shared" si="22"/>
        <v>3</v>
      </c>
      <c r="O109" s="32">
        <f t="shared" si="23"/>
        <v>-0.95700561253682881</v>
      </c>
      <c r="P109" s="32">
        <f t="shared" si="24"/>
        <v>-1.2927857385104427</v>
      </c>
      <c r="Q109" s="32">
        <f t="shared" si="25"/>
        <v>-1.0009496220281058</v>
      </c>
      <c r="R109" s="32">
        <f t="shared" si="26"/>
        <v>-0.61891576076406762</v>
      </c>
      <c r="S109" s="32">
        <f t="shared" si="27"/>
        <v>2.4129647679270144E-2</v>
      </c>
      <c r="T109" s="32">
        <f t="shared" si="28"/>
        <v>-0.12522426979936985</v>
      </c>
      <c r="U109" s="32">
        <f t="shared" si="29"/>
        <v>-1.002935339374456</v>
      </c>
      <c r="V109" s="37">
        <f t="shared" si="30"/>
        <v>-0.71052667076200016</v>
      </c>
      <c r="Y109"/>
      <c r="Z109"/>
      <c r="AA109"/>
      <c r="AB109"/>
      <c r="AC109"/>
      <c r="AD109"/>
      <c r="AE109"/>
      <c r="AF109"/>
      <c r="AG109"/>
      <c r="AH109"/>
      <c r="AI109"/>
      <c r="AK109" s="45" t="s">
        <v>78</v>
      </c>
      <c r="AL109" s="45">
        <v>7</v>
      </c>
      <c r="AM109" s="45">
        <v>26</v>
      </c>
      <c r="AN109" s="45">
        <v>3.71</v>
      </c>
      <c r="AO109" s="45">
        <v>0.24</v>
      </c>
      <c r="AP109" s="45"/>
      <c r="AQ109" s="45"/>
      <c r="AR109" s="45"/>
    </row>
    <row r="110" spans="1:44" x14ac:dyDescent="0.35">
      <c r="A110">
        <v>4</v>
      </c>
      <c r="B110">
        <v>2</v>
      </c>
      <c r="C110">
        <v>4</v>
      </c>
      <c r="D110">
        <v>3</v>
      </c>
      <c r="E110">
        <v>2</v>
      </c>
      <c r="F110">
        <v>4</v>
      </c>
      <c r="G110">
        <v>3</v>
      </c>
      <c r="H110" s="25">
        <f t="shared" si="16"/>
        <v>4</v>
      </c>
      <c r="I110" s="25">
        <f t="shared" si="17"/>
        <v>4</v>
      </c>
      <c r="J110" s="25">
        <f t="shared" si="18"/>
        <v>4</v>
      </c>
      <c r="K110" s="25">
        <f t="shared" si="19"/>
        <v>3</v>
      </c>
      <c r="L110" s="25">
        <f t="shared" si="20"/>
        <v>4</v>
      </c>
      <c r="M110" s="25">
        <f t="shared" si="21"/>
        <v>4</v>
      </c>
      <c r="N110" s="25">
        <f t="shared" si="22"/>
        <v>3</v>
      </c>
      <c r="O110" s="32">
        <f t="shared" si="23"/>
        <v>-5.6401471461296142E-2</v>
      </c>
      <c r="P110" s="32">
        <f t="shared" si="24"/>
        <v>0.26360832519077404</v>
      </c>
      <c r="Q110" s="32">
        <f t="shared" si="25"/>
        <v>-9.6984149849158471E-2</v>
      </c>
      <c r="R110" s="32">
        <f t="shared" si="26"/>
        <v>-0.61891576076406762</v>
      </c>
      <c r="S110" s="32">
        <f t="shared" si="27"/>
        <v>2.4129647679270144E-2</v>
      </c>
      <c r="T110" s="32">
        <f t="shared" si="28"/>
        <v>-0.12522426979936985</v>
      </c>
      <c r="U110" s="32">
        <f t="shared" si="29"/>
        <v>-1.002935339374456</v>
      </c>
      <c r="V110" s="37">
        <f t="shared" si="30"/>
        <v>-0.23038900262547199</v>
      </c>
      <c r="W110"/>
      <c r="AK110" s="45" t="s">
        <v>78</v>
      </c>
      <c r="AL110" s="45">
        <v>7</v>
      </c>
      <c r="AM110" s="45">
        <v>23</v>
      </c>
      <c r="AN110" s="45">
        <v>3.2857142860000002</v>
      </c>
      <c r="AO110" s="45">
        <v>1.2380952380000001</v>
      </c>
      <c r="AP110" s="45"/>
      <c r="AQ110" s="45"/>
      <c r="AR110" s="45"/>
    </row>
    <row r="111" spans="1:44" x14ac:dyDescent="0.35">
      <c r="A111">
        <v>3</v>
      </c>
      <c r="B111">
        <v>2</v>
      </c>
      <c r="C111">
        <v>5</v>
      </c>
      <c r="D111">
        <v>3</v>
      </c>
      <c r="E111">
        <v>2</v>
      </c>
      <c r="F111">
        <v>4</v>
      </c>
      <c r="G111">
        <v>3</v>
      </c>
      <c r="H111" s="25">
        <f t="shared" si="16"/>
        <v>3</v>
      </c>
      <c r="I111" s="25">
        <f t="shared" si="17"/>
        <v>4</v>
      </c>
      <c r="J111" s="25">
        <f t="shared" si="18"/>
        <v>5</v>
      </c>
      <c r="K111" s="25">
        <f t="shared" si="19"/>
        <v>3</v>
      </c>
      <c r="L111" s="25">
        <f t="shared" si="20"/>
        <v>4</v>
      </c>
      <c r="M111" s="25">
        <f t="shared" si="21"/>
        <v>4</v>
      </c>
      <c r="N111" s="25">
        <f t="shared" si="22"/>
        <v>3</v>
      </c>
      <c r="O111" s="32">
        <f t="shared" si="23"/>
        <v>-0.95700561253682881</v>
      </c>
      <c r="P111" s="32">
        <f t="shared" si="24"/>
        <v>0.26360832519077404</v>
      </c>
      <c r="Q111" s="32">
        <f t="shared" si="25"/>
        <v>0.80698132232978881</v>
      </c>
      <c r="R111" s="32">
        <f t="shared" si="26"/>
        <v>-0.61891576076406762</v>
      </c>
      <c r="S111" s="32">
        <f t="shared" si="27"/>
        <v>2.4129647679270144E-2</v>
      </c>
      <c r="T111" s="32">
        <f t="shared" si="28"/>
        <v>-0.12522426979936985</v>
      </c>
      <c r="U111" s="32">
        <f t="shared" si="29"/>
        <v>-1.002935339374456</v>
      </c>
      <c r="V111" s="37">
        <f t="shared" si="30"/>
        <v>-0.22990881246784131</v>
      </c>
      <c r="W111"/>
      <c r="AK111" s="45" t="s">
        <v>78</v>
      </c>
      <c r="AL111" s="45">
        <v>7</v>
      </c>
      <c r="AM111" s="45">
        <v>26</v>
      </c>
      <c r="AN111" s="45">
        <v>3.7142857139999998</v>
      </c>
      <c r="AO111" s="45">
        <v>0.23809523799999999</v>
      </c>
      <c r="AP111" s="45"/>
      <c r="AQ111" s="45"/>
      <c r="AR111" s="45"/>
    </row>
    <row r="112" spans="1:44" x14ac:dyDescent="0.35">
      <c r="A112">
        <v>5</v>
      </c>
      <c r="B112">
        <v>2</v>
      </c>
      <c r="C112">
        <v>4</v>
      </c>
      <c r="D112">
        <v>4</v>
      </c>
      <c r="E112">
        <v>2</v>
      </c>
      <c r="F112">
        <v>4</v>
      </c>
      <c r="G112">
        <v>3</v>
      </c>
      <c r="H112" s="25">
        <f t="shared" si="16"/>
        <v>5</v>
      </c>
      <c r="I112" s="25">
        <f t="shared" si="17"/>
        <v>4</v>
      </c>
      <c r="J112" s="25">
        <f t="shared" si="18"/>
        <v>4</v>
      </c>
      <c r="K112" s="25">
        <f t="shared" si="19"/>
        <v>2</v>
      </c>
      <c r="L112" s="25">
        <f t="shared" si="20"/>
        <v>4</v>
      </c>
      <c r="M112" s="25">
        <f t="shared" si="21"/>
        <v>4</v>
      </c>
      <c r="N112" s="25">
        <f t="shared" si="22"/>
        <v>3</v>
      </c>
      <c r="O112" s="32">
        <f t="shared" si="23"/>
        <v>0.84420266961423651</v>
      </c>
      <c r="P112" s="32">
        <f t="shared" si="24"/>
        <v>0.26360832519077404</v>
      </c>
      <c r="Q112" s="32">
        <f t="shared" si="25"/>
        <v>-9.6984149849158471E-2</v>
      </c>
      <c r="R112" s="32">
        <f t="shared" si="26"/>
        <v>-1.453693149260562</v>
      </c>
      <c r="S112" s="32">
        <f t="shared" si="27"/>
        <v>2.4129647679270144E-2</v>
      </c>
      <c r="T112" s="32">
        <f t="shared" si="28"/>
        <v>-0.12522426979936985</v>
      </c>
      <c r="U112" s="32">
        <f t="shared" si="29"/>
        <v>-1.002935339374456</v>
      </c>
      <c r="V112" s="37">
        <f t="shared" si="30"/>
        <v>-0.22098518082846649</v>
      </c>
      <c r="W112"/>
      <c r="AK112" s="45" t="s">
        <v>78</v>
      </c>
      <c r="AL112" s="45">
        <v>7</v>
      </c>
      <c r="AM112" s="45">
        <v>22</v>
      </c>
      <c r="AN112" s="45">
        <v>3.1428571430000001</v>
      </c>
      <c r="AO112" s="45">
        <v>0.47619047599999997</v>
      </c>
      <c r="AP112" s="45"/>
      <c r="AQ112" s="45"/>
      <c r="AR112" s="45"/>
    </row>
    <row r="113" spans="1:44" x14ac:dyDescent="0.35">
      <c r="A113">
        <v>3</v>
      </c>
      <c r="B113">
        <v>3</v>
      </c>
      <c r="C113">
        <v>3</v>
      </c>
      <c r="D113">
        <v>3</v>
      </c>
      <c r="E113">
        <v>3</v>
      </c>
      <c r="F113">
        <v>4</v>
      </c>
      <c r="G113">
        <v>3</v>
      </c>
      <c r="H113" s="25">
        <f t="shared" si="16"/>
        <v>3</v>
      </c>
      <c r="I113" s="25">
        <f t="shared" si="17"/>
        <v>3</v>
      </c>
      <c r="J113" s="25">
        <f t="shared" si="18"/>
        <v>3</v>
      </c>
      <c r="K113" s="25">
        <f t="shared" si="19"/>
        <v>3</v>
      </c>
      <c r="L113" s="25">
        <f t="shared" si="20"/>
        <v>3</v>
      </c>
      <c r="M113" s="25">
        <f t="shared" si="21"/>
        <v>4</v>
      </c>
      <c r="N113" s="25">
        <f t="shared" si="22"/>
        <v>3</v>
      </c>
      <c r="O113" s="32">
        <f t="shared" si="23"/>
        <v>-0.95700561253682881</v>
      </c>
      <c r="P113" s="32">
        <f t="shared" si="24"/>
        <v>-0.51458870665983425</v>
      </c>
      <c r="Q113" s="32">
        <f t="shared" si="25"/>
        <v>-1.0009496220281058</v>
      </c>
      <c r="R113" s="32">
        <f t="shared" si="26"/>
        <v>-0.61891576076406762</v>
      </c>
      <c r="S113" s="32">
        <f t="shared" si="27"/>
        <v>-0.82040802109518784</v>
      </c>
      <c r="T113" s="32">
        <f t="shared" si="28"/>
        <v>-0.12522426979936985</v>
      </c>
      <c r="U113" s="32">
        <f t="shared" si="29"/>
        <v>-1.002935339374456</v>
      </c>
      <c r="V113" s="37">
        <f t="shared" si="30"/>
        <v>-0.72000390460826424</v>
      </c>
      <c r="W113"/>
      <c r="AK113" s="45" t="s">
        <v>78</v>
      </c>
      <c r="AL113" s="45">
        <v>7</v>
      </c>
      <c r="AM113" s="45">
        <v>26</v>
      </c>
      <c r="AN113" s="45">
        <v>3.7142857139999998</v>
      </c>
      <c r="AO113" s="45">
        <v>0.23809523799999999</v>
      </c>
      <c r="AP113" s="45"/>
      <c r="AQ113" s="45"/>
      <c r="AR113" s="45"/>
    </row>
    <row r="114" spans="1:44" x14ac:dyDescent="0.35">
      <c r="A114">
        <v>4</v>
      </c>
      <c r="B114">
        <v>3</v>
      </c>
      <c r="C114">
        <v>4</v>
      </c>
      <c r="D114">
        <v>3</v>
      </c>
      <c r="E114">
        <v>3</v>
      </c>
      <c r="F114">
        <v>4</v>
      </c>
      <c r="G114">
        <v>3</v>
      </c>
      <c r="H114" s="25">
        <f t="shared" si="16"/>
        <v>4</v>
      </c>
      <c r="I114" s="25">
        <f t="shared" si="17"/>
        <v>3</v>
      </c>
      <c r="J114" s="25">
        <f t="shared" si="18"/>
        <v>4</v>
      </c>
      <c r="K114" s="25">
        <f t="shared" si="19"/>
        <v>3</v>
      </c>
      <c r="L114" s="25">
        <f t="shared" si="20"/>
        <v>3</v>
      </c>
      <c r="M114" s="25">
        <f t="shared" si="21"/>
        <v>4</v>
      </c>
      <c r="N114" s="25">
        <f t="shared" si="22"/>
        <v>3</v>
      </c>
      <c r="O114" s="32">
        <f t="shared" si="23"/>
        <v>-5.6401471461296142E-2</v>
      </c>
      <c r="P114" s="32">
        <f t="shared" si="24"/>
        <v>-0.51458870665983425</v>
      </c>
      <c r="Q114" s="32">
        <f t="shared" si="25"/>
        <v>-9.6984149849158471E-2</v>
      </c>
      <c r="R114" s="32">
        <f t="shared" si="26"/>
        <v>-0.61891576076406762</v>
      </c>
      <c r="S114" s="32">
        <f t="shared" si="27"/>
        <v>-0.82040802109518784</v>
      </c>
      <c r="T114" s="32">
        <f t="shared" si="28"/>
        <v>-0.12522426979936985</v>
      </c>
      <c r="U114" s="32">
        <f t="shared" si="29"/>
        <v>-1.002935339374456</v>
      </c>
      <c r="V114" s="37">
        <f t="shared" si="30"/>
        <v>-0.46220824557190998</v>
      </c>
      <c r="W114"/>
      <c r="AK114" s="45" t="s">
        <v>78</v>
      </c>
      <c r="AL114" s="45">
        <v>7</v>
      </c>
      <c r="AM114" s="45">
        <v>26</v>
      </c>
      <c r="AN114" s="45">
        <v>3.7142857139999998</v>
      </c>
      <c r="AO114" s="45">
        <v>0.571428571</v>
      </c>
      <c r="AP114" s="45"/>
      <c r="AQ114" s="45"/>
      <c r="AR114" s="45"/>
    </row>
    <row r="115" spans="1:44" x14ac:dyDescent="0.35">
      <c r="A115">
        <v>3</v>
      </c>
      <c r="B115">
        <v>3</v>
      </c>
      <c r="C115">
        <v>4</v>
      </c>
      <c r="D115">
        <v>3</v>
      </c>
      <c r="E115">
        <v>4</v>
      </c>
      <c r="F115">
        <v>4</v>
      </c>
      <c r="G115">
        <v>3</v>
      </c>
      <c r="H115" s="25">
        <f t="shared" si="16"/>
        <v>3</v>
      </c>
      <c r="I115" s="25">
        <f t="shared" si="17"/>
        <v>3</v>
      </c>
      <c r="J115" s="25">
        <f t="shared" si="18"/>
        <v>4</v>
      </c>
      <c r="K115" s="25">
        <f t="shared" si="19"/>
        <v>3</v>
      </c>
      <c r="L115" s="25">
        <f t="shared" si="20"/>
        <v>2</v>
      </c>
      <c r="M115" s="25">
        <f t="shared" si="21"/>
        <v>4</v>
      </c>
      <c r="N115" s="25">
        <f t="shared" si="22"/>
        <v>3</v>
      </c>
      <c r="O115" s="32">
        <f t="shared" si="23"/>
        <v>-0.95700561253682881</v>
      </c>
      <c r="P115" s="32">
        <f t="shared" si="24"/>
        <v>-0.51458870665983425</v>
      </c>
      <c r="Q115" s="32">
        <f t="shared" si="25"/>
        <v>-9.6984149849158471E-2</v>
      </c>
      <c r="R115" s="32">
        <f t="shared" si="26"/>
        <v>-0.61891576076406762</v>
      </c>
      <c r="S115" s="32">
        <f t="shared" si="27"/>
        <v>-1.664945689869646</v>
      </c>
      <c r="T115" s="32">
        <f t="shared" si="28"/>
        <v>-0.12522426979936985</v>
      </c>
      <c r="U115" s="32">
        <f t="shared" si="29"/>
        <v>-1.002935339374456</v>
      </c>
      <c r="V115" s="37">
        <f t="shared" si="30"/>
        <v>-0.71151421840762297</v>
      </c>
      <c r="W115"/>
      <c r="AK115" s="45" t="s">
        <v>78</v>
      </c>
      <c r="AL115" s="45">
        <v>7</v>
      </c>
      <c r="AM115" s="45">
        <v>26</v>
      </c>
      <c r="AN115" s="45">
        <v>3.7142857139999998</v>
      </c>
      <c r="AO115" s="45">
        <v>0.90476190499999998</v>
      </c>
      <c r="AP115" s="45"/>
      <c r="AQ115" s="45"/>
      <c r="AR115" s="45"/>
    </row>
    <row r="116" spans="1:44" x14ac:dyDescent="0.35">
      <c r="A116">
        <v>5</v>
      </c>
      <c r="B116">
        <v>3</v>
      </c>
      <c r="C116">
        <v>4</v>
      </c>
      <c r="D116">
        <v>3</v>
      </c>
      <c r="E116">
        <v>4</v>
      </c>
      <c r="F116">
        <v>4</v>
      </c>
      <c r="G116">
        <v>3</v>
      </c>
      <c r="H116" s="25">
        <f t="shared" si="16"/>
        <v>5</v>
      </c>
      <c r="I116" s="25">
        <f t="shared" si="17"/>
        <v>3</v>
      </c>
      <c r="J116" s="25">
        <f t="shared" si="18"/>
        <v>4</v>
      </c>
      <c r="K116" s="25">
        <f t="shared" si="19"/>
        <v>3</v>
      </c>
      <c r="L116" s="25">
        <f t="shared" si="20"/>
        <v>2</v>
      </c>
      <c r="M116" s="25">
        <f t="shared" si="21"/>
        <v>4</v>
      </c>
      <c r="N116" s="25">
        <f t="shared" si="22"/>
        <v>3</v>
      </c>
      <c r="O116" s="32">
        <f t="shared" si="23"/>
        <v>0.84420266961423651</v>
      </c>
      <c r="P116" s="32">
        <f t="shared" si="24"/>
        <v>-0.51458870665983425</v>
      </c>
      <c r="Q116" s="32">
        <f t="shared" si="25"/>
        <v>-9.6984149849158471E-2</v>
      </c>
      <c r="R116" s="32">
        <f t="shared" si="26"/>
        <v>-0.61891576076406762</v>
      </c>
      <c r="S116" s="32">
        <f t="shared" si="27"/>
        <v>-1.664945689869646</v>
      </c>
      <c r="T116" s="32">
        <f t="shared" si="28"/>
        <v>-0.12522426979936985</v>
      </c>
      <c r="U116" s="32">
        <f t="shared" si="29"/>
        <v>-1.002935339374456</v>
      </c>
      <c r="V116" s="37">
        <f t="shared" si="30"/>
        <v>-0.45419874952889933</v>
      </c>
      <c r="W116"/>
      <c r="AK116" s="45" t="s">
        <v>78</v>
      </c>
      <c r="AL116" s="45">
        <v>7</v>
      </c>
      <c r="AM116" s="45">
        <v>22</v>
      </c>
      <c r="AN116" s="45">
        <v>3.1428571430000001</v>
      </c>
      <c r="AO116" s="45">
        <v>0.14285714299999999</v>
      </c>
      <c r="AP116" s="45"/>
      <c r="AQ116" s="45"/>
      <c r="AR116" s="45"/>
    </row>
    <row r="117" spans="1:44" x14ac:dyDescent="0.35">
      <c r="A117">
        <v>4</v>
      </c>
      <c r="B117">
        <v>4</v>
      </c>
      <c r="C117">
        <v>5</v>
      </c>
      <c r="D117">
        <v>3</v>
      </c>
      <c r="E117">
        <v>4</v>
      </c>
      <c r="F117">
        <v>4</v>
      </c>
      <c r="G117">
        <v>3</v>
      </c>
      <c r="H117" s="25">
        <f t="shared" si="16"/>
        <v>4</v>
      </c>
      <c r="I117" s="25">
        <f t="shared" si="17"/>
        <v>2</v>
      </c>
      <c r="J117" s="25">
        <f t="shared" si="18"/>
        <v>5</v>
      </c>
      <c r="K117" s="25">
        <f t="shared" si="19"/>
        <v>3</v>
      </c>
      <c r="L117" s="25">
        <f t="shared" si="20"/>
        <v>2</v>
      </c>
      <c r="M117" s="25">
        <f t="shared" si="21"/>
        <v>4</v>
      </c>
      <c r="N117" s="25">
        <f t="shared" si="22"/>
        <v>3</v>
      </c>
      <c r="O117" s="32">
        <f t="shared" si="23"/>
        <v>-5.6401471461296142E-2</v>
      </c>
      <c r="P117" s="32">
        <f t="shared" si="24"/>
        <v>-1.2927857385104427</v>
      </c>
      <c r="Q117" s="32">
        <f t="shared" si="25"/>
        <v>0.80698132232978881</v>
      </c>
      <c r="R117" s="32">
        <f t="shared" si="26"/>
        <v>-0.61891576076406762</v>
      </c>
      <c r="S117" s="32">
        <f t="shared" si="27"/>
        <v>-1.664945689869646</v>
      </c>
      <c r="T117" s="32">
        <f t="shared" si="28"/>
        <v>-0.12522426979936985</v>
      </c>
      <c r="U117" s="32">
        <f t="shared" si="29"/>
        <v>-1.002935339374456</v>
      </c>
      <c r="V117" s="37">
        <f t="shared" si="30"/>
        <v>-0.56488956392135559</v>
      </c>
      <c r="W117"/>
      <c r="AK117" s="45" t="s">
        <v>78</v>
      </c>
      <c r="AL117" s="45">
        <v>7</v>
      </c>
      <c r="AM117" s="45">
        <v>24</v>
      </c>
      <c r="AN117" s="45">
        <v>3.4285714289999998</v>
      </c>
      <c r="AO117" s="45">
        <v>0.28571428599999998</v>
      </c>
      <c r="AP117" s="45"/>
      <c r="AQ117" s="45"/>
      <c r="AR117" s="45"/>
    </row>
    <row r="118" spans="1:44" x14ac:dyDescent="0.35">
      <c r="A118">
        <v>4</v>
      </c>
      <c r="B118">
        <v>3</v>
      </c>
      <c r="C118">
        <v>3</v>
      </c>
      <c r="D118">
        <v>4</v>
      </c>
      <c r="E118">
        <v>4</v>
      </c>
      <c r="F118">
        <v>4</v>
      </c>
      <c r="G118">
        <v>3</v>
      </c>
      <c r="H118" s="25">
        <f t="shared" si="16"/>
        <v>4</v>
      </c>
      <c r="I118" s="25">
        <f t="shared" si="17"/>
        <v>3</v>
      </c>
      <c r="J118" s="25">
        <f t="shared" si="18"/>
        <v>3</v>
      </c>
      <c r="K118" s="25">
        <f t="shared" si="19"/>
        <v>2</v>
      </c>
      <c r="L118" s="25">
        <f t="shared" si="20"/>
        <v>2</v>
      </c>
      <c r="M118" s="25">
        <f t="shared" si="21"/>
        <v>4</v>
      </c>
      <c r="N118" s="25">
        <f t="shared" si="22"/>
        <v>3</v>
      </c>
      <c r="O118" s="32">
        <f t="shared" si="23"/>
        <v>-5.6401471461296142E-2</v>
      </c>
      <c r="P118" s="32">
        <f t="shared" si="24"/>
        <v>-0.51458870665983425</v>
      </c>
      <c r="Q118" s="32">
        <f t="shared" si="25"/>
        <v>-1.0009496220281058</v>
      </c>
      <c r="R118" s="32">
        <f t="shared" si="26"/>
        <v>-1.453693149260562</v>
      </c>
      <c r="S118" s="32">
        <f t="shared" si="27"/>
        <v>-1.664945689869646</v>
      </c>
      <c r="T118" s="32">
        <f t="shared" si="28"/>
        <v>-0.12522426979936985</v>
      </c>
      <c r="U118" s="32">
        <f t="shared" si="29"/>
        <v>-1.002935339374456</v>
      </c>
      <c r="V118" s="37">
        <f t="shared" si="30"/>
        <v>-0.83124832120761005</v>
      </c>
      <c r="W118"/>
      <c r="AK118" s="45" t="s">
        <v>78</v>
      </c>
      <c r="AL118" s="45">
        <v>7</v>
      </c>
      <c r="AM118" s="45">
        <v>22</v>
      </c>
      <c r="AN118" s="45">
        <v>3.1428571430000001</v>
      </c>
      <c r="AO118" s="45">
        <v>0.47619047599999997</v>
      </c>
      <c r="AP118" s="45"/>
      <c r="AQ118" s="45"/>
      <c r="AR118" s="45"/>
    </row>
    <row r="119" spans="1:44" x14ac:dyDescent="0.35">
      <c r="A119">
        <v>3</v>
      </c>
      <c r="B119">
        <v>3</v>
      </c>
      <c r="C119">
        <v>4</v>
      </c>
      <c r="D119">
        <v>4</v>
      </c>
      <c r="E119">
        <v>4</v>
      </c>
      <c r="F119">
        <v>4</v>
      </c>
      <c r="G119">
        <v>3</v>
      </c>
      <c r="H119" s="25">
        <f t="shared" si="16"/>
        <v>3</v>
      </c>
      <c r="I119" s="25">
        <f t="shared" si="17"/>
        <v>3</v>
      </c>
      <c r="J119" s="25">
        <f t="shared" si="18"/>
        <v>4</v>
      </c>
      <c r="K119" s="25">
        <f t="shared" si="19"/>
        <v>2</v>
      </c>
      <c r="L119" s="25">
        <f t="shared" si="20"/>
        <v>2</v>
      </c>
      <c r="M119" s="25">
        <f t="shared" si="21"/>
        <v>4</v>
      </c>
      <c r="N119" s="25">
        <f t="shared" si="22"/>
        <v>3</v>
      </c>
      <c r="O119" s="32">
        <f t="shared" si="23"/>
        <v>-0.95700561253682881</v>
      </c>
      <c r="P119" s="32">
        <f t="shared" si="24"/>
        <v>-0.51458870665983425</v>
      </c>
      <c r="Q119" s="32">
        <f t="shared" si="25"/>
        <v>-9.6984149849158471E-2</v>
      </c>
      <c r="R119" s="32">
        <f t="shared" si="26"/>
        <v>-1.453693149260562</v>
      </c>
      <c r="S119" s="32">
        <f t="shared" si="27"/>
        <v>-1.664945689869646</v>
      </c>
      <c r="T119" s="32">
        <f t="shared" si="28"/>
        <v>-0.12522426979936985</v>
      </c>
      <c r="U119" s="32">
        <f t="shared" si="29"/>
        <v>-1.002935339374456</v>
      </c>
      <c r="V119" s="37">
        <f t="shared" si="30"/>
        <v>-0.83076813104997937</v>
      </c>
      <c r="W119"/>
      <c r="AK119" s="45" t="s">
        <v>78</v>
      </c>
      <c r="AL119" s="45">
        <v>7</v>
      </c>
      <c r="AM119" s="45">
        <v>24</v>
      </c>
      <c r="AN119" s="45">
        <v>3.4285714289999998</v>
      </c>
      <c r="AO119" s="45">
        <v>0.95238095199999995</v>
      </c>
      <c r="AP119" s="45"/>
      <c r="AQ119" s="45"/>
      <c r="AR119" s="45"/>
    </row>
    <row r="120" spans="1:44" x14ac:dyDescent="0.35">
      <c r="A120">
        <v>3</v>
      </c>
      <c r="B120">
        <v>3</v>
      </c>
      <c r="C120">
        <v>4</v>
      </c>
      <c r="D120">
        <v>3</v>
      </c>
      <c r="E120">
        <v>5</v>
      </c>
      <c r="F120">
        <v>4</v>
      </c>
      <c r="G120">
        <v>3</v>
      </c>
      <c r="H120" s="25">
        <f t="shared" si="16"/>
        <v>3</v>
      </c>
      <c r="I120" s="25">
        <f t="shared" si="17"/>
        <v>3</v>
      </c>
      <c r="J120" s="25">
        <f t="shared" si="18"/>
        <v>4</v>
      </c>
      <c r="K120" s="25">
        <f t="shared" si="19"/>
        <v>3</v>
      </c>
      <c r="L120" s="25">
        <f t="shared" si="20"/>
        <v>1</v>
      </c>
      <c r="M120" s="25">
        <f t="shared" si="21"/>
        <v>4</v>
      </c>
      <c r="N120" s="25">
        <f t="shared" si="22"/>
        <v>3</v>
      </c>
      <c r="O120" s="32">
        <f t="shared" si="23"/>
        <v>-0.95700561253682881</v>
      </c>
      <c r="P120" s="32">
        <f t="shared" si="24"/>
        <v>-0.51458870665983425</v>
      </c>
      <c r="Q120" s="32">
        <f t="shared" si="25"/>
        <v>-9.6984149849158471E-2</v>
      </c>
      <c r="R120" s="32">
        <f t="shared" si="26"/>
        <v>-0.61891576076406762</v>
      </c>
      <c r="S120" s="32">
        <f t="shared" si="27"/>
        <v>-2.5094833586441041</v>
      </c>
      <c r="T120" s="32">
        <f t="shared" si="28"/>
        <v>-0.12522426979936985</v>
      </c>
      <c r="U120" s="32">
        <f t="shared" si="29"/>
        <v>-1.002935339374456</v>
      </c>
      <c r="V120" s="37">
        <f t="shared" si="30"/>
        <v>-0.83216245680397427</v>
      </c>
      <c r="W120"/>
      <c r="AK120" s="45" t="s">
        <v>78</v>
      </c>
      <c r="AL120" s="45">
        <v>7</v>
      </c>
      <c r="AM120" s="45">
        <v>23</v>
      </c>
      <c r="AN120" s="45">
        <v>3.2857142860000002</v>
      </c>
      <c r="AO120" s="45">
        <v>1.2380952380000001</v>
      </c>
      <c r="AP120" s="45"/>
      <c r="AQ120" s="45"/>
      <c r="AR120" s="45"/>
    </row>
    <row r="121" spans="1:44" x14ac:dyDescent="0.35">
      <c r="A121">
        <v>4</v>
      </c>
      <c r="B121">
        <v>1</v>
      </c>
      <c r="C121">
        <v>5</v>
      </c>
      <c r="D121">
        <v>1</v>
      </c>
      <c r="E121">
        <v>1</v>
      </c>
      <c r="F121">
        <v>5</v>
      </c>
      <c r="G121">
        <v>3</v>
      </c>
      <c r="H121" s="25">
        <f t="shared" si="16"/>
        <v>4</v>
      </c>
      <c r="I121" s="25">
        <f t="shared" si="17"/>
        <v>5</v>
      </c>
      <c r="J121" s="25">
        <f t="shared" si="18"/>
        <v>5</v>
      </c>
      <c r="K121" s="25">
        <f t="shared" si="19"/>
        <v>5</v>
      </c>
      <c r="L121" s="25">
        <f t="shared" si="20"/>
        <v>5</v>
      </c>
      <c r="M121" s="25">
        <f t="shared" si="21"/>
        <v>5</v>
      </c>
      <c r="N121" s="25">
        <f t="shared" si="22"/>
        <v>3</v>
      </c>
      <c r="O121" s="32">
        <f t="shared" si="23"/>
        <v>-5.6401471461296142E-2</v>
      </c>
      <c r="P121" s="32">
        <f t="shared" si="24"/>
        <v>1.0418053570413823</v>
      </c>
      <c r="Q121" s="32">
        <f t="shared" si="25"/>
        <v>0.80698132232978881</v>
      </c>
      <c r="R121" s="32">
        <f t="shared" si="26"/>
        <v>1.0506390162289212</v>
      </c>
      <c r="S121" s="32">
        <f t="shared" si="27"/>
        <v>0.86866731645372819</v>
      </c>
      <c r="T121" s="32">
        <f t="shared" si="28"/>
        <v>0.81206041627470116</v>
      </c>
      <c r="U121" s="32">
        <f t="shared" si="29"/>
        <v>-1.002935339374456</v>
      </c>
      <c r="V121" s="37">
        <f t="shared" si="30"/>
        <v>0.50297380249896717</v>
      </c>
      <c r="W121"/>
      <c r="AK121" s="45" t="s">
        <v>78</v>
      </c>
      <c r="AL121" s="45">
        <v>7</v>
      </c>
      <c r="AM121" s="45">
        <v>21</v>
      </c>
      <c r="AN121" s="45">
        <v>3</v>
      </c>
      <c r="AO121" s="45">
        <v>0.66666666699999999</v>
      </c>
      <c r="AP121" s="45"/>
      <c r="AQ121" s="45"/>
      <c r="AR121" s="45"/>
    </row>
    <row r="122" spans="1:44" x14ac:dyDescent="0.35">
      <c r="A122">
        <v>5</v>
      </c>
      <c r="B122">
        <v>1</v>
      </c>
      <c r="C122">
        <v>5</v>
      </c>
      <c r="D122">
        <v>1</v>
      </c>
      <c r="E122">
        <v>1</v>
      </c>
      <c r="F122">
        <v>5</v>
      </c>
      <c r="G122">
        <v>3</v>
      </c>
      <c r="H122" s="25">
        <f t="shared" si="16"/>
        <v>5</v>
      </c>
      <c r="I122" s="25">
        <f t="shared" si="17"/>
        <v>5</v>
      </c>
      <c r="J122" s="25">
        <f t="shared" si="18"/>
        <v>5</v>
      </c>
      <c r="K122" s="25">
        <f t="shared" si="19"/>
        <v>5</v>
      </c>
      <c r="L122" s="25">
        <f t="shared" si="20"/>
        <v>5</v>
      </c>
      <c r="M122" s="25">
        <f t="shared" si="21"/>
        <v>5</v>
      </c>
      <c r="N122" s="25">
        <f t="shared" si="22"/>
        <v>3</v>
      </c>
      <c r="O122" s="32">
        <f t="shared" si="23"/>
        <v>0.84420266961423651</v>
      </c>
      <c r="P122" s="32">
        <f t="shared" si="24"/>
        <v>1.0418053570413823</v>
      </c>
      <c r="Q122" s="32">
        <f t="shared" si="25"/>
        <v>0.80698132232978881</v>
      </c>
      <c r="R122" s="32">
        <f t="shared" si="26"/>
        <v>1.0506390162289212</v>
      </c>
      <c r="S122" s="32">
        <f t="shared" si="27"/>
        <v>0.86866731645372819</v>
      </c>
      <c r="T122" s="32">
        <f t="shared" si="28"/>
        <v>0.81206041627470116</v>
      </c>
      <c r="U122" s="32">
        <f t="shared" si="29"/>
        <v>-1.002935339374456</v>
      </c>
      <c r="V122" s="37">
        <f t="shared" si="30"/>
        <v>0.63163153693832874</v>
      </c>
      <c r="W122"/>
      <c r="AK122" s="45" t="s">
        <v>78</v>
      </c>
      <c r="AL122" s="45">
        <v>7</v>
      </c>
      <c r="AM122" s="45">
        <v>21</v>
      </c>
      <c r="AN122" s="45">
        <v>3</v>
      </c>
      <c r="AO122" s="45">
        <v>0.66666666699999999</v>
      </c>
      <c r="AP122" s="45"/>
      <c r="AQ122" s="45"/>
      <c r="AR122" s="45"/>
    </row>
    <row r="123" spans="1:44" x14ac:dyDescent="0.35">
      <c r="A123">
        <v>5</v>
      </c>
      <c r="B123">
        <v>4</v>
      </c>
      <c r="C123">
        <v>4</v>
      </c>
      <c r="D123">
        <v>2</v>
      </c>
      <c r="E123">
        <v>1</v>
      </c>
      <c r="F123">
        <v>5</v>
      </c>
      <c r="G123">
        <v>3</v>
      </c>
      <c r="H123" s="25">
        <f t="shared" si="16"/>
        <v>5</v>
      </c>
      <c r="I123" s="25">
        <f t="shared" si="17"/>
        <v>2</v>
      </c>
      <c r="J123" s="25">
        <f t="shared" si="18"/>
        <v>4</v>
      </c>
      <c r="K123" s="25">
        <f t="shared" si="19"/>
        <v>4</v>
      </c>
      <c r="L123" s="25">
        <f t="shared" si="20"/>
        <v>5</v>
      </c>
      <c r="M123" s="25">
        <f t="shared" si="21"/>
        <v>5</v>
      </c>
      <c r="N123" s="25">
        <f t="shared" si="22"/>
        <v>3</v>
      </c>
      <c r="O123" s="32">
        <f t="shared" si="23"/>
        <v>0.84420266961423651</v>
      </c>
      <c r="P123" s="32">
        <f t="shared" si="24"/>
        <v>-1.2927857385104427</v>
      </c>
      <c r="Q123" s="32">
        <f t="shared" si="25"/>
        <v>-9.6984149849158471E-2</v>
      </c>
      <c r="R123" s="32">
        <f t="shared" si="26"/>
        <v>0.21586162773242673</v>
      </c>
      <c r="S123" s="32">
        <f t="shared" si="27"/>
        <v>0.86866731645372819</v>
      </c>
      <c r="T123" s="32">
        <f t="shared" si="28"/>
        <v>0.81206041627470116</v>
      </c>
      <c r="U123" s="32">
        <f t="shared" si="29"/>
        <v>-1.002935339374456</v>
      </c>
      <c r="V123" s="37">
        <f t="shared" si="30"/>
        <v>4.9726686048719361E-2</v>
      </c>
      <c r="W123"/>
      <c r="AK123" s="45" t="s">
        <v>78</v>
      </c>
      <c r="AL123" s="45">
        <v>7</v>
      </c>
      <c r="AM123" s="45">
        <v>21</v>
      </c>
      <c r="AN123" s="45">
        <v>3</v>
      </c>
      <c r="AO123" s="45">
        <v>1</v>
      </c>
      <c r="AP123" s="45"/>
      <c r="AQ123" s="45"/>
      <c r="AR123" s="45"/>
    </row>
    <row r="124" spans="1:44" x14ac:dyDescent="0.35">
      <c r="A124">
        <v>3</v>
      </c>
      <c r="B124">
        <v>2</v>
      </c>
      <c r="C124">
        <v>5</v>
      </c>
      <c r="D124">
        <v>2</v>
      </c>
      <c r="E124">
        <v>1</v>
      </c>
      <c r="F124">
        <v>5</v>
      </c>
      <c r="G124">
        <v>3</v>
      </c>
      <c r="H124" s="25">
        <f t="shared" si="16"/>
        <v>3</v>
      </c>
      <c r="I124" s="25">
        <f t="shared" si="17"/>
        <v>4</v>
      </c>
      <c r="J124" s="25">
        <f t="shared" si="18"/>
        <v>5</v>
      </c>
      <c r="K124" s="25">
        <f t="shared" si="19"/>
        <v>4</v>
      </c>
      <c r="L124" s="25">
        <f t="shared" si="20"/>
        <v>5</v>
      </c>
      <c r="M124" s="25">
        <f t="shared" si="21"/>
        <v>5</v>
      </c>
      <c r="N124" s="25">
        <f t="shared" si="22"/>
        <v>3</v>
      </c>
      <c r="O124" s="32">
        <f t="shared" si="23"/>
        <v>-0.95700561253682881</v>
      </c>
      <c r="P124" s="32">
        <f t="shared" si="24"/>
        <v>0.26360832519077404</v>
      </c>
      <c r="Q124" s="32">
        <f t="shared" si="25"/>
        <v>0.80698132232978881</v>
      </c>
      <c r="R124" s="32">
        <f t="shared" si="26"/>
        <v>0.21586162773242673</v>
      </c>
      <c r="S124" s="32">
        <f t="shared" si="27"/>
        <v>0.86866731645372819</v>
      </c>
      <c r="T124" s="32">
        <f t="shared" si="28"/>
        <v>0.81206041627470116</v>
      </c>
      <c r="U124" s="32">
        <f t="shared" si="29"/>
        <v>-1.002935339374456</v>
      </c>
      <c r="V124" s="37">
        <f t="shared" si="30"/>
        <v>0.143891150867162</v>
      </c>
      <c r="W124"/>
      <c r="AK124" s="45" t="s">
        <v>78</v>
      </c>
      <c r="AL124" s="45">
        <v>7</v>
      </c>
      <c r="AM124" s="45">
        <v>32</v>
      </c>
      <c r="AN124" s="45">
        <v>4.5714285710000002</v>
      </c>
      <c r="AO124" s="45">
        <v>0.61904761900000005</v>
      </c>
      <c r="AP124" s="45"/>
      <c r="AQ124" s="45"/>
      <c r="AR124" s="45"/>
    </row>
    <row r="125" spans="1:44" x14ac:dyDescent="0.35">
      <c r="A125">
        <v>4</v>
      </c>
      <c r="B125">
        <v>2</v>
      </c>
      <c r="C125">
        <v>5</v>
      </c>
      <c r="D125">
        <v>2</v>
      </c>
      <c r="E125">
        <v>1</v>
      </c>
      <c r="F125">
        <v>5</v>
      </c>
      <c r="G125">
        <v>3</v>
      </c>
      <c r="H125" s="25">
        <f t="shared" si="16"/>
        <v>4</v>
      </c>
      <c r="I125" s="25">
        <f t="shared" si="17"/>
        <v>4</v>
      </c>
      <c r="J125" s="25">
        <f t="shared" si="18"/>
        <v>5</v>
      </c>
      <c r="K125" s="25">
        <f t="shared" si="19"/>
        <v>4</v>
      </c>
      <c r="L125" s="25">
        <f t="shared" si="20"/>
        <v>5</v>
      </c>
      <c r="M125" s="25">
        <f t="shared" si="21"/>
        <v>5</v>
      </c>
      <c r="N125" s="25">
        <f t="shared" si="22"/>
        <v>3</v>
      </c>
      <c r="O125" s="32">
        <f t="shared" si="23"/>
        <v>-5.6401471461296142E-2</v>
      </c>
      <c r="P125" s="32">
        <f t="shared" si="24"/>
        <v>0.26360832519077404</v>
      </c>
      <c r="Q125" s="32">
        <f t="shared" si="25"/>
        <v>0.80698132232978881</v>
      </c>
      <c r="R125" s="32">
        <f t="shared" si="26"/>
        <v>0.21586162773242673</v>
      </c>
      <c r="S125" s="32">
        <f t="shared" si="27"/>
        <v>0.86866731645372819</v>
      </c>
      <c r="T125" s="32">
        <f t="shared" si="28"/>
        <v>0.81206041627470116</v>
      </c>
      <c r="U125" s="32">
        <f t="shared" si="29"/>
        <v>-1.002935339374456</v>
      </c>
      <c r="V125" s="37">
        <f t="shared" si="30"/>
        <v>0.27254888530652377</v>
      </c>
      <c r="W125"/>
      <c r="AK125" s="45" t="s">
        <v>78</v>
      </c>
      <c r="AL125" s="45">
        <v>7</v>
      </c>
      <c r="AM125" s="45">
        <v>33</v>
      </c>
      <c r="AN125" s="45">
        <v>4.7142857139999998</v>
      </c>
      <c r="AO125" s="45">
        <v>0.571428571</v>
      </c>
      <c r="AP125" s="45"/>
      <c r="AQ125" s="45"/>
      <c r="AR125" s="45"/>
    </row>
    <row r="126" spans="1:44" x14ac:dyDescent="0.35">
      <c r="A126">
        <v>5</v>
      </c>
      <c r="B126">
        <v>3</v>
      </c>
      <c r="C126">
        <v>5</v>
      </c>
      <c r="D126">
        <v>2</v>
      </c>
      <c r="E126">
        <v>1</v>
      </c>
      <c r="F126">
        <v>5</v>
      </c>
      <c r="G126">
        <v>3</v>
      </c>
      <c r="H126" s="25">
        <f t="shared" si="16"/>
        <v>5</v>
      </c>
      <c r="I126" s="25">
        <f t="shared" si="17"/>
        <v>3</v>
      </c>
      <c r="J126" s="25">
        <f t="shared" si="18"/>
        <v>5</v>
      </c>
      <c r="K126" s="25">
        <f t="shared" si="19"/>
        <v>4</v>
      </c>
      <c r="L126" s="25">
        <f t="shared" si="20"/>
        <v>5</v>
      </c>
      <c r="M126" s="25">
        <f t="shared" si="21"/>
        <v>5</v>
      </c>
      <c r="N126" s="25">
        <f t="shared" si="22"/>
        <v>3</v>
      </c>
      <c r="O126" s="32">
        <f t="shared" si="23"/>
        <v>0.84420266961423651</v>
      </c>
      <c r="P126" s="32">
        <f t="shared" si="24"/>
        <v>-0.51458870665983425</v>
      </c>
      <c r="Q126" s="32">
        <f t="shared" si="25"/>
        <v>0.80698132232978881</v>
      </c>
      <c r="R126" s="32">
        <f t="shared" si="26"/>
        <v>0.21586162773242673</v>
      </c>
      <c r="S126" s="32">
        <f t="shared" si="27"/>
        <v>0.86866731645372819</v>
      </c>
      <c r="T126" s="32">
        <f t="shared" si="28"/>
        <v>0.81206041627470116</v>
      </c>
      <c r="U126" s="32">
        <f t="shared" si="29"/>
        <v>-1.002935339374456</v>
      </c>
      <c r="V126" s="37">
        <f t="shared" si="30"/>
        <v>0.29003561519579879</v>
      </c>
      <c r="W126"/>
      <c r="AK126" s="45" t="s">
        <v>78</v>
      </c>
      <c r="AL126" s="45">
        <v>7</v>
      </c>
      <c r="AM126" s="45">
        <v>28</v>
      </c>
      <c r="AN126" s="45">
        <v>4</v>
      </c>
      <c r="AO126" s="45">
        <v>1.3333333329999999</v>
      </c>
      <c r="AP126" s="45"/>
      <c r="AQ126" s="45"/>
      <c r="AR126" s="45"/>
    </row>
    <row r="127" spans="1:44" x14ac:dyDescent="0.35">
      <c r="A127">
        <v>1</v>
      </c>
      <c r="B127">
        <v>1</v>
      </c>
      <c r="C127">
        <v>4</v>
      </c>
      <c r="D127">
        <v>3</v>
      </c>
      <c r="E127">
        <v>1</v>
      </c>
      <c r="F127">
        <v>5</v>
      </c>
      <c r="G127">
        <v>3</v>
      </c>
      <c r="H127" s="25">
        <f t="shared" si="16"/>
        <v>1</v>
      </c>
      <c r="I127" s="25">
        <f t="shared" si="17"/>
        <v>5</v>
      </c>
      <c r="J127" s="25">
        <f t="shared" si="18"/>
        <v>4</v>
      </c>
      <c r="K127" s="25">
        <f t="shared" si="19"/>
        <v>3</v>
      </c>
      <c r="L127" s="25">
        <f t="shared" si="20"/>
        <v>5</v>
      </c>
      <c r="M127" s="25">
        <f t="shared" si="21"/>
        <v>5</v>
      </c>
      <c r="N127" s="25">
        <f t="shared" si="22"/>
        <v>3</v>
      </c>
      <c r="O127" s="32">
        <f t="shared" si="23"/>
        <v>-2.758213894687894</v>
      </c>
      <c r="P127" s="32">
        <f t="shared" si="24"/>
        <v>1.0418053570413823</v>
      </c>
      <c r="Q127" s="32">
        <f t="shared" si="25"/>
        <v>-9.6984149849158471E-2</v>
      </c>
      <c r="R127" s="32">
        <f t="shared" si="26"/>
        <v>-0.61891576076406762</v>
      </c>
      <c r="S127" s="32">
        <f t="shared" si="27"/>
        <v>0.86866731645372819</v>
      </c>
      <c r="T127" s="32">
        <f t="shared" si="28"/>
        <v>0.81206041627470116</v>
      </c>
      <c r="U127" s="32">
        <f t="shared" si="29"/>
        <v>-1.002935339374456</v>
      </c>
      <c r="V127" s="37">
        <f t="shared" si="30"/>
        <v>-0.25064515070082349</v>
      </c>
      <c r="W127"/>
      <c r="AK127" s="45" t="s">
        <v>78</v>
      </c>
      <c r="AL127" s="45">
        <v>7</v>
      </c>
      <c r="AM127" s="45">
        <v>29</v>
      </c>
      <c r="AN127" s="45">
        <v>4.1428571429999996</v>
      </c>
      <c r="AO127" s="45">
        <v>0.80952380999999995</v>
      </c>
      <c r="AP127" s="45"/>
      <c r="AQ127" s="45"/>
      <c r="AR127" s="45"/>
    </row>
    <row r="128" spans="1:44" x14ac:dyDescent="0.35">
      <c r="A128">
        <v>4</v>
      </c>
      <c r="B128">
        <v>3</v>
      </c>
      <c r="C128">
        <v>5</v>
      </c>
      <c r="D128">
        <v>2</v>
      </c>
      <c r="E128">
        <v>2</v>
      </c>
      <c r="F128">
        <v>5</v>
      </c>
      <c r="G128">
        <v>3</v>
      </c>
      <c r="H128" s="25">
        <f t="shared" si="16"/>
        <v>4</v>
      </c>
      <c r="I128" s="25">
        <f t="shared" si="17"/>
        <v>3</v>
      </c>
      <c r="J128" s="25">
        <f t="shared" si="18"/>
        <v>5</v>
      </c>
      <c r="K128" s="25">
        <f t="shared" si="19"/>
        <v>4</v>
      </c>
      <c r="L128" s="25">
        <f t="shared" si="20"/>
        <v>4</v>
      </c>
      <c r="M128" s="25">
        <f t="shared" si="21"/>
        <v>5</v>
      </c>
      <c r="N128" s="25">
        <f t="shared" si="22"/>
        <v>3</v>
      </c>
      <c r="O128" s="32">
        <f t="shared" si="23"/>
        <v>-5.6401471461296142E-2</v>
      </c>
      <c r="P128" s="32">
        <f t="shared" si="24"/>
        <v>-0.51458870665983425</v>
      </c>
      <c r="Q128" s="32">
        <f t="shared" si="25"/>
        <v>0.80698132232978881</v>
      </c>
      <c r="R128" s="32">
        <f t="shared" si="26"/>
        <v>0.21586162773242673</v>
      </c>
      <c r="S128" s="32">
        <f t="shared" si="27"/>
        <v>2.4129647679270144E-2</v>
      </c>
      <c r="T128" s="32">
        <f t="shared" si="28"/>
        <v>0.81206041627470116</v>
      </c>
      <c r="U128" s="32">
        <f t="shared" si="29"/>
        <v>-1.002935339374456</v>
      </c>
      <c r="V128" s="37">
        <f t="shared" si="30"/>
        <v>4.072964236008577E-2</v>
      </c>
      <c r="W128"/>
      <c r="AK128" s="45" t="s">
        <v>78</v>
      </c>
      <c r="AL128" s="45">
        <v>7</v>
      </c>
      <c r="AM128" s="45">
        <v>30</v>
      </c>
      <c r="AN128" s="45">
        <v>4.2857142860000002</v>
      </c>
      <c r="AO128" s="45">
        <v>0.571428571</v>
      </c>
      <c r="AP128" s="45"/>
      <c r="AQ128" s="45"/>
      <c r="AR128" s="45"/>
    </row>
    <row r="129" spans="1:44" x14ac:dyDescent="0.35">
      <c r="A129">
        <v>4</v>
      </c>
      <c r="B129">
        <v>4</v>
      </c>
      <c r="C129">
        <v>4</v>
      </c>
      <c r="D129">
        <v>5</v>
      </c>
      <c r="E129">
        <v>2</v>
      </c>
      <c r="F129">
        <v>5</v>
      </c>
      <c r="G129">
        <v>3</v>
      </c>
      <c r="H129" s="25">
        <f t="shared" si="16"/>
        <v>4</v>
      </c>
      <c r="I129" s="25">
        <f t="shared" si="17"/>
        <v>2</v>
      </c>
      <c r="J129" s="25">
        <f t="shared" si="18"/>
        <v>4</v>
      </c>
      <c r="K129" s="25">
        <f t="shared" si="19"/>
        <v>1</v>
      </c>
      <c r="L129" s="25">
        <f t="shared" si="20"/>
        <v>4</v>
      </c>
      <c r="M129" s="25">
        <f t="shared" si="21"/>
        <v>5</v>
      </c>
      <c r="N129" s="25">
        <f t="shared" si="22"/>
        <v>3</v>
      </c>
      <c r="O129" s="32">
        <f t="shared" si="23"/>
        <v>-5.6401471461296142E-2</v>
      </c>
      <c r="P129" s="32">
        <f t="shared" si="24"/>
        <v>-1.2927857385104427</v>
      </c>
      <c r="Q129" s="32">
        <f t="shared" si="25"/>
        <v>-9.6984149849158471E-2</v>
      </c>
      <c r="R129" s="32">
        <f t="shared" si="26"/>
        <v>-2.2884705377570564</v>
      </c>
      <c r="S129" s="32">
        <f t="shared" si="27"/>
        <v>2.4129647679270144E-2</v>
      </c>
      <c r="T129" s="32">
        <f t="shared" si="28"/>
        <v>0.81206041627470116</v>
      </c>
      <c r="U129" s="32">
        <f t="shared" si="29"/>
        <v>-1.002935339374456</v>
      </c>
      <c r="V129" s="37">
        <f t="shared" si="30"/>
        <v>-0.55734102471406266</v>
      </c>
      <c r="W129"/>
      <c r="AK129" s="45" t="s">
        <v>78</v>
      </c>
      <c r="AL129" s="45">
        <v>7</v>
      </c>
      <c r="AM129" s="45">
        <v>30</v>
      </c>
      <c r="AN129" s="45">
        <v>4.2857142860000002</v>
      </c>
      <c r="AO129" s="45">
        <v>0.90476190499999998</v>
      </c>
      <c r="AP129" s="45"/>
      <c r="AQ129" s="45"/>
      <c r="AR129" s="45"/>
    </row>
    <row r="130" spans="1:44" x14ac:dyDescent="0.35">
      <c r="A130">
        <v>5</v>
      </c>
      <c r="B130">
        <v>3</v>
      </c>
      <c r="C130">
        <v>5</v>
      </c>
      <c r="D130">
        <v>2</v>
      </c>
      <c r="E130">
        <v>3</v>
      </c>
      <c r="F130">
        <v>5</v>
      </c>
      <c r="G130">
        <v>3</v>
      </c>
      <c r="H130" s="25">
        <f t="shared" ref="H130:H193" si="31">IF(ISBLANK(A130),"",A130)</f>
        <v>5</v>
      </c>
      <c r="I130" s="25">
        <f t="shared" ref="I130:I193" si="32">IF(ISBLANK(B130),"",6-B130)</f>
        <v>3</v>
      </c>
      <c r="J130" s="25">
        <f t="shared" ref="J130:J193" si="33">IF(ISBLANK(C130),"",C130)</f>
        <v>5</v>
      </c>
      <c r="K130" s="25">
        <f t="shared" ref="K130:K193" si="34">IF(ISBLANK(D130),"",6-D130)</f>
        <v>4</v>
      </c>
      <c r="L130" s="25">
        <f t="shared" ref="L130:L193" si="35">IF(ISBLANK(E130),"",6-E130)</f>
        <v>3</v>
      </c>
      <c r="M130" s="25">
        <f t="shared" ref="M130:M193" si="36">IF(ISBLANK(F130),"",F130)</f>
        <v>5</v>
      </c>
      <c r="N130" s="25">
        <f t="shared" ref="N130:N193" si="37">IF(ISBLANK(G130),"",G130)</f>
        <v>3</v>
      </c>
      <c r="O130" s="32">
        <f t="shared" ref="O130:O193" si="38">IF(ISTEXT(H130),"",STANDARDIZE(H130,H$500,H$501))</f>
        <v>0.84420266961423651</v>
      </c>
      <c r="P130" s="32">
        <f t="shared" ref="P130:P193" si="39">IF(ISTEXT(I130),"",STANDARDIZE(I130,I$500,I$501))</f>
        <v>-0.51458870665983425</v>
      </c>
      <c r="Q130" s="32">
        <f t="shared" ref="Q130:Q193" si="40">IF(ISTEXT(J130),"",STANDARDIZE(J130,J$500,J$501))</f>
        <v>0.80698132232978881</v>
      </c>
      <c r="R130" s="32">
        <f t="shared" ref="R130:R193" si="41">IF(ISTEXT(K130),"",STANDARDIZE(K130,K$500,K$501))</f>
        <v>0.21586162773242673</v>
      </c>
      <c r="S130" s="32">
        <f t="shared" ref="S130:S193" si="42">IF(ISTEXT(L130),"",STANDARDIZE(L130,L$500,L$501))</f>
        <v>-0.82040802109518784</v>
      </c>
      <c r="T130" s="32">
        <f t="shared" ref="T130:T193" si="43">IF(ISTEXT(M130),"",STANDARDIZE(M130,M$500,M$501))</f>
        <v>0.81206041627470116</v>
      </c>
      <c r="U130" s="32">
        <f t="shared" ref="U130:U193" si="44">IF(ISTEXT(N130),"",STANDARDIZE(N130,N$500,N$501))</f>
        <v>-1.002935339374456</v>
      </c>
      <c r="V130" s="37">
        <f t="shared" ref="V130:V193" si="45">AVERAGE(O130:U130)</f>
        <v>4.8739138403096467E-2</v>
      </c>
      <c r="W130"/>
      <c r="AK130" s="45" t="s">
        <v>78</v>
      </c>
      <c r="AL130" s="45">
        <v>7</v>
      </c>
      <c r="AM130" s="45">
        <v>26</v>
      </c>
      <c r="AN130" s="45">
        <v>3.7142857139999998</v>
      </c>
      <c r="AO130" s="45">
        <v>2.2380952380000001</v>
      </c>
      <c r="AP130" s="45"/>
      <c r="AQ130" s="45"/>
      <c r="AR130" s="45"/>
    </row>
    <row r="131" spans="1:44" x14ac:dyDescent="0.35">
      <c r="A131">
        <v>5</v>
      </c>
      <c r="B131">
        <v>3</v>
      </c>
      <c r="C131">
        <v>5</v>
      </c>
      <c r="D131">
        <v>3</v>
      </c>
      <c r="E131">
        <v>3</v>
      </c>
      <c r="F131">
        <v>5</v>
      </c>
      <c r="G131">
        <v>3</v>
      </c>
      <c r="H131" s="25">
        <f t="shared" si="31"/>
        <v>5</v>
      </c>
      <c r="I131" s="25">
        <f t="shared" si="32"/>
        <v>3</v>
      </c>
      <c r="J131" s="25">
        <f t="shared" si="33"/>
        <v>5</v>
      </c>
      <c r="K131" s="25">
        <f t="shared" si="34"/>
        <v>3</v>
      </c>
      <c r="L131" s="25">
        <f t="shared" si="35"/>
        <v>3</v>
      </c>
      <c r="M131" s="25">
        <f t="shared" si="36"/>
        <v>5</v>
      </c>
      <c r="N131" s="25">
        <f t="shared" si="37"/>
        <v>3</v>
      </c>
      <c r="O131" s="32">
        <f t="shared" si="38"/>
        <v>0.84420266961423651</v>
      </c>
      <c r="P131" s="32">
        <f t="shared" si="39"/>
        <v>-0.51458870665983425</v>
      </c>
      <c r="Q131" s="32">
        <f t="shared" si="40"/>
        <v>0.80698132232978881</v>
      </c>
      <c r="R131" s="32">
        <f t="shared" si="41"/>
        <v>-0.61891576076406762</v>
      </c>
      <c r="S131" s="32">
        <f t="shared" si="42"/>
        <v>-0.82040802109518784</v>
      </c>
      <c r="T131" s="32">
        <f t="shared" si="43"/>
        <v>0.81206041627470116</v>
      </c>
      <c r="U131" s="32">
        <f t="shared" si="44"/>
        <v>-1.002935339374456</v>
      </c>
      <c r="V131" s="37">
        <f t="shared" si="45"/>
        <v>-7.0514774239259878E-2</v>
      </c>
      <c r="W131"/>
      <c r="AK131" s="45" t="s">
        <v>78</v>
      </c>
      <c r="AL131" s="45">
        <v>7</v>
      </c>
      <c r="AM131" s="45">
        <v>28</v>
      </c>
      <c r="AN131" s="45">
        <v>4</v>
      </c>
      <c r="AO131" s="45">
        <v>0.66666666699999999</v>
      </c>
      <c r="AP131" s="45"/>
      <c r="AQ131" s="45"/>
      <c r="AR131" s="45"/>
    </row>
    <row r="132" spans="1:44" x14ac:dyDescent="0.35">
      <c r="A132">
        <v>4</v>
      </c>
      <c r="B132">
        <v>4</v>
      </c>
      <c r="C132">
        <v>5</v>
      </c>
      <c r="D132">
        <v>4</v>
      </c>
      <c r="E132">
        <v>5</v>
      </c>
      <c r="F132">
        <v>5</v>
      </c>
      <c r="G132">
        <v>3</v>
      </c>
      <c r="H132" s="25">
        <f t="shared" si="31"/>
        <v>4</v>
      </c>
      <c r="I132" s="25">
        <f t="shared" si="32"/>
        <v>2</v>
      </c>
      <c r="J132" s="25">
        <f t="shared" si="33"/>
        <v>5</v>
      </c>
      <c r="K132" s="25">
        <f t="shared" si="34"/>
        <v>2</v>
      </c>
      <c r="L132" s="25">
        <f t="shared" si="35"/>
        <v>1</v>
      </c>
      <c r="M132" s="25">
        <f t="shared" si="36"/>
        <v>5</v>
      </c>
      <c r="N132" s="25">
        <f t="shared" si="37"/>
        <v>3</v>
      </c>
      <c r="O132" s="32">
        <f t="shared" si="38"/>
        <v>-5.6401471461296142E-2</v>
      </c>
      <c r="P132" s="32">
        <f t="shared" si="39"/>
        <v>-1.2927857385104427</v>
      </c>
      <c r="Q132" s="32">
        <f t="shared" si="40"/>
        <v>0.80698132232978881</v>
      </c>
      <c r="R132" s="32">
        <f t="shared" si="41"/>
        <v>-1.453693149260562</v>
      </c>
      <c r="S132" s="32">
        <f t="shared" si="42"/>
        <v>-2.5094833586441041</v>
      </c>
      <c r="T132" s="32">
        <f t="shared" si="43"/>
        <v>0.81206041627470116</v>
      </c>
      <c r="U132" s="32">
        <f t="shared" si="44"/>
        <v>-1.002935339374456</v>
      </c>
      <c r="V132" s="37">
        <f t="shared" si="45"/>
        <v>-0.67089390266376725</v>
      </c>
      <c r="W132"/>
      <c r="AK132" s="45" t="s">
        <v>78</v>
      </c>
      <c r="AL132" s="45">
        <v>7</v>
      </c>
      <c r="AM132" s="45">
        <v>23</v>
      </c>
      <c r="AN132" s="45">
        <v>3.2857142860000002</v>
      </c>
      <c r="AO132" s="45">
        <v>1.904761905</v>
      </c>
      <c r="AP132" s="45"/>
      <c r="AQ132" s="45"/>
      <c r="AR132" s="45"/>
    </row>
    <row r="133" spans="1:44" x14ac:dyDescent="0.35">
      <c r="A133">
        <v>4</v>
      </c>
      <c r="B133">
        <v>4</v>
      </c>
      <c r="C133">
        <v>5</v>
      </c>
      <c r="D133">
        <v>2</v>
      </c>
      <c r="E133">
        <v>1</v>
      </c>
      <c r="F133">
        <v>1</v>
      </c>
      <c r="G133">
        <v>4</v>
      </c>
      <c r="H133" s="25">
        <f t="shared" si="31"/>
        <v>4</v>
      </c>
      <c r="I133" s="25">
        <f t="shared" si="32"/>
        <v>2</v>
      </c>
      <c r="J133" s="25">
        <f t="shared" si="33"/>
        <v>5</v>
      </c>
      <c r="K133" s="25">
        <f t="shared" si="34"/>
        <v>4</v>
      </c>
      <c r="L133" s="25">
        <f t="shared" si="35"/>
        <v>5</v>
      </c>
      <c r="M133" s="25">
        <f t="shared" si="36"/>
        <v>1</v>
      </c>
      <c r="N133" s="25">
        <f t="shared" si="37"/>
        <v>4</v>
      </c>
      <c r="O133" s="32">
        <f t="shared" si="38"/>
        <v>-5.6401471461296142E-2</v>
      </c>
      <c r="P133" s="32">
        <f t="shared" si="39"/>
        <v>-1.2927857385104427</v>
      </c>
      <c r="Q133" s="32">
        <f t="shared" si="40"/>
        <v>0.80698132232978881</v>
      </c>
      <c r="R133" s="32">
        <f t="shared" si="41"/>
        <v>0.21586162773242673</v>
      </c>
      <c r="S133" s="32">
        <f t="shared" si="42"/>
        <v>0.86866731645372819</v>
      </c>
      <c r="T133" s="32">
        <f t="shared" si="43"/>
        <v>-2.9370783280215829</v>
      </c>
      <c r="U133" s="32">
        <f t="shared" si="44"/>
        <v>-9.8649377643389324E-2</v>
      </c>
      <c r="V133" s="37">
        <f t="shared" si="45"/>
        <v>-0.35620066416010959</v>
      </c>
      <c r="W133"/>
      <c r="AK133" s="45" t="s">
        <v>78</v>
      </c>
      <c r="AL133" s="45">
        <v>7</v>
      </c>
      <c r="AM133" s="45">
        <v>28</v>
      </c>
      <c r="AN133" s="45">
        <v>4</v>
      </c>
      <c r="AO133" s="45">
        <v>1</v>
      </c>
      <c r="AP133" s="45"/>
      <c r="AQ133" s="45"/>
      <c r="AR133" s="45"/>
    </row>
    <row r="134" spans="1:44" x14ac:dyDescent="0.35">
      <c r="A134">
        <v>3</v>
      </c>
      <c r="B134">
        <v>3</v>
      </c>
      <c r="C134">
        <v>2</v>
      </c>
      <c r="D134">
        <v>5</v>
      </c>
      <c r="E134">
        <v>4</v>
      </c>
      <c r="F134">
        <v>1</v>
      </c>
      <c r="G134">
        <v>4</v>
      </c>
      <c r="H134" s="25">
        <f t="shared" si="31"/>
        <v>3</v>
      </c>
      <c r="I134" s="25">
        <f t="shared" si="32"/>
        <v>3</v>
      </c>
      <c r="J134" s="25">
        <f t="shared" si="33"/>
        <v>2</v>
      </c>
      <c r="K134" s="25">
        <f t="shared" si="34"/>
        <v>1</v>
      </c>
      <c r="L134" s="25">
        <f t="shared" si="35"/>
        <v>2</v>
      </c>
      <c r="M134" s="25">
        <f t="shared" si="36"/>
        <v>1</v>
      </c>
      <c r="N134" s="25">
        <f t="shared" si="37"/>
        <v>4</v>
      </c>
      <c r="O134" s="32">
        <f t="shared" si="38"/>
        <v>-0.95700561253682881</v>
      </c>
      <c r="P134" s="32">
        <f t="shared" si="39"/>
        <v>-0.51458870665983425</v>
      </c>
      <c r="Q134" s="32">
        <f t="shared" si="40"/>
        <v>-1.904915094207053</v>
      </c>
      <c r="R134" s="32">
        <f t="shared" si="41"/>
        <v>-2.2884705377570564</v>
      </c>
      <c r="S134" s="32">
        <f t="shared" si="42"/>
        <v>-1.664945689869646</v>
      </c>
      <c r="T134" s="32">
        <f t="shared" si="43"/>
        <v>-2.9370783280215829</v>
      </c>
      <c r="U134" s="32">
        <f t="shared" si="44"/>
        <v>-9.8649377643389324E-2</v>
      </c>
      <c r="V134" s="37">
        <f t="shared" si="45"/>
        <v>-1.4808076209564844</v>
      </c>
      <c r="W134"/>
      <c r="AK134" s="45" t="s">
        <v>78</v>
      </c>
      <c r="AL134" s="45">
        <v>7</v>
      </c>
      <c r="AM134" s="45">
        <v>27</v>
      </c>
      <c r="AN134" s="45">
        <v>3.8571428569999999</v>
      </c>
      <c r="AO134" s="45">
        <v>1.1428571430000001</v>
      </c>
      <c r="AP134" s="45"/>
      <c r="AQ134" s="45"/>
      <c r="AR134" s="45"/>
    </row>
    <row r="135" spans="1:44" x14ac:dyDescent="0.35">
      <c r="A135">
        <v>2</v>
      </c>
      <c r="B135">
        <v>2</v>
      </c>
      <c r="C135">
        <v>4</v>
      </c>
      <c r="D135">
        <v>4</v>
      </c>
      <c r="E135">
        <v>3</v>
      </c>
      <c r="F135">
        <v>2</v>
      </c>
      <c r="G135">
        <v>4</v>
      </c>
      <c r="H135" s="25">
        <f t="shared" si="31"/>
        <v>2</v>
      </c>
      <c r="I135" s="25">
        <f t="shared" si="32"/>
        <v>4</v>
      </c>
      <c r="J135" s="25">
        <f t="shared" si="33"/>
        <v>4</v>
      </c>
      <c r="K135" s="25">
        <f t="shared" si="34"/>
        <v>2</v>
      </c>
      <c r="L135" s="25">
        <f t="shared" si="35"/>
        <v>3</v>
      </c>
      <c r="M135" s="25">
        <f t="shared" si="36"/>
        <v>2</v>
      </c>
      <c r="N135" s="25">
        <f t="shared" si="37"/>
        <v>4</v>
      </c>
      <c r="O135" s="32">
        <f t="shared" si="38"/>
        <v>-1.8576097536123615</v>
      </c>
      <c r="P135" s="32">
        <f t="shared" si="39"/>
        <v>0.26360832519077404</v>
      </c>
      <c r="Q135" s="32">
        <f t="shared" si="40"/>
        <v>-9.6984149849158471E-2</v>
      </c>
      <c r="R135" s="32">
        <f t="shared" si="41"/>
        <v>-1.453693149260562</v>
      </c>
      <c r="S135" s="32">
        <f t="shared" si="42"/>
        <v>-0.82040802109518784</v>
      </c>
      <c r="T135" s="32">
        <f t="shared" si="43"/>
        <v>-1.9997936419475117</v>
      </c>
      <c r="U135" s="32">
        <f t="shared" si="44"/>
        <v>-9.8649377643389324E-2</v>
      </c>
      <c r="V135" s="37">
        <f t="shared" si="45"/>
        <v>-0.86621853831677098</v>
      </c>
      <c r="W135"/>
      <c r="AK135" s="45" t="s">
        <v>78</v>
      </c>
      <c r="AL135" s="45">
        <v>7</v>
      </c>
      <c r="AM135" s="45">
        <v>22</v>
      </c>
      <c r="AN135" s="45">
        <v>3.1428571430000001</v>
      </c>
      <c r="AO135" s="45">
        <v>2.4761904760000002</v>
      </c>
      <c r="AP135" s="45"/>
      <c r="AQ135" s="45"/>
      <c r="AR135" s="45"/>
    </row>
    <row r="136" spans="1:44" x14ac:dyDescent="0.35">
      <c r="A136">
        <v>4</v>
      </c>
      <c r="B136">
        <v>1</v>
      </c>
      <c r="C136">
        <v>5</v>
      </c>
      <c r="D136">
        <v>1</v>
      </c>
      <c r="E136">
        <v>1</v>
      </c>
      <c r="F136">
        <v>3</v>
      </c>
      <c r="G136">
        <v>4</v>
      </c>
      <c r="H136" s="25">
        <f t="shared" si="31"/>
        <v>4</v>
      </c>
      <c r="I136" s="25">
        <f t="shared" si="32"/>
        <v>5</v>
      </c>
      <c r="J136" s="25">
        <f t="shared" si="33"/>
        <v>5</v>
      </c>
      <c r="K136" s="25">
        <f t="shared" si="34"/>
        <v>5</v>
      </c>
      <c r="L136" s="25">
        <f t="shared" si="35"/>
        <v>5</v>
      </c>
      <c r="M136" s="25">
        <f t="shared" si="36"/>
        <v>3</v>
      </c>
      <c r="N136" s="25">
        <f t="shared" si="37"/>
        <v>4</v>
      </c>
      <c r="O136" s="32">
        <f t="shared" si="38"/>
        <v>-5.6401471461296142E-2</v>
      </c>
      <c r="P136" s="32">
        <f t="shared" si="39"/>
        <v>1.0418053570413823</v>
      </c>
      <c r="Q136" s="32">
        <f t="shared" si="40"/>
        <v>0.80698132232978881</v>
      </c>
      <c r="R136" s="32">
        <f t="shared" si="41"/>
        <v>1.0506390162289212</v>
      </c>
      <c r="S136" s="32">
        <f t="shared" si="42"/>
        <v>0.86866731645372819</v>
      </c>
      <c r="T136" s="32">
        <f t="shared" si="43"/>
        <v>-1.0625089558734409</v>
      </c>
      <c r="U136" s="32">
        <f t="shared" si="44"/>
        <v>-9.8649377643389324E-2</v>
      </c>
      <c r="V136" s="37">
        <f t="shared" si="45"/>
        <v>0.36436188672509917</v>
      </c>
      <c r="W136"/>
      <c r="AK136" s="45" t="s">
        <v>78</v>
      </c>
      <c r="AL136" s="45">
        <v>7</v>
      </c>
      <c r="AM136" s="45">
        <v>25</v>
      </c>
      <c r="AN136" s="45">
        <v>3.5714285710000002</v>
      </c>
      <c r="AO136" s="45">
        <v>2.2857142860000002</v>
      </c>
      <c r="AP136" s="45"/>
      <c r="AQ136" s="45"/>
      <c r="AR136" s="45"/>
    </row>
    <row r="137" spans="1:44" x14ac:dyDescent="0.35">
      <c r="A137">
        <v>5</v>
      </c>
      <c r="B137">
        <v>1</v>
      </c>
      <c r="C137">
        <v>3</v>
      </c>
      <c r="D137">
        <v>3</v>
      </c>
      <c r="E137">
        <v>1</v>
      </c>
      <c r="F137">
        <v>3</v>
      </c>
      <c r="G137">
        <v>4</v>
      </c>
      <c r="H137" s="25">
        <f t="shared" si="31"/>
        <v>5</v>
      </c>
      <c r="I137" s="25">
        <f t="shared" si="32"/>
        <v>5</v>
      </c>
      <c r="J137" s="25">
        <f t="shared" si="33"/>
        <v>3</v>
      </c>
      <c r="K137" s="25">
        <f t="shared" si="34"/>
        <v>3</v>
      </c>
      <c r="L137" s="25">
        <f t="shared" si="35"/>
        <v>5</v>
      </c>
      <c r="M137" s="25">
        <f t="shared" si="36"/>
        <v>3</v>
      </c>
      <c r="N137" s="25">
        <f t="shared" si="37"/>
        <v>4</v>
      </c>
      <c r="O137" s="32">
        <f t="shared" si="38"/>
        <v>0.84420266961423651</v>
      </c>
      <c r="P137" s="32">
        <f t="shared" si="39"/>
        <v>1.0418053570413823</v>
      </c>
      <c r="Q137" s="32">
        <f t="shared" si="40"/>
        <v>-1.0009496220281058</v>
      </c>
      <c r="R137" s="32">
        <f t="shared" si="41"/>
        <v>-0.61891576076406762</v>
      </c>
      <c r="S137" s="32">
        <f t="shared" si="42"/>
        <v>0.86866731645372819</v>
      </c>
      <c r="T137" s="32">
        <f t="shared" si="43"/>
        <v>-1.0625089558734409</v>
      </c>
      <c r="U137" s="32">
        <f t="shared" si="44"/>
        <v>-9.8649377643389324E-2</v>
      </c>
      <c r="V137" s="37">
        <f t="shared" si="45"/>
        <v>-3.764053314236634E-3</v>
      </c>
      <c r="W137"/>
      <c r="AK137" s="45" t="s">
        <v>78</v>
      </c>
      <c r="AL137" s="45">
        <v>7</v>
      </c>
      <c r="AM137" s="45">
        <v>16</v>
      </c>
      <c r="AN137" s="45">
        <v>2.2857142860000002</v>
      </c>
      <c r="AO137" s="45">
        <v>1.2380952380000001</v>
      </c>
      <c r="AP137" s="45"/>
      <c r="AQ137" s="45"/>
      <c r="AR137" s="45"/>
    </row>
    <row r="138" spans="1:44" x14ac:dyDescent="0.35">
      <c r="A138">
        <v>5</v>
      </c>
      <c r="B138">
        <v>5</v>
      </c>
      <c r="C138">
        <v>5</v>
      </c>
      <c r="D138">
        <v>3</v>
      </c>
      <c r="E138">
        <v>1</v>
      </c>
      <c r="F138">
        <v>3</v>
      </c>
      <c r="G138">
        <v>4</v>
      </c>
      <c r="H138" s="25">
        <f t="shared" si="31"/>
        <v>5</v>
      </c>
      <c r="I138" s="25">
        <f t="shared" si="32"/>
        <v>1</v>
      </c>
      <c r="J138" s="25">
        <f t="shared" si="33"/>
        <v>5</v>
      </c>
      <c r="K138" s="25">
        <f t="shared" si="34"/>
        <v>3</v>
      </c>
      <c r="L138" s="25">
        <f t="shared" si="35"/>
        <v>5</v>
      </c>
      <c r="M138" s="25">
        <f t="shared" si="36"/>
        <v>3</v>
      </c>
      <c r="N138" s="25">
        <f t="shared" si="37"/>
        <v>4</v>
      </c>
      <c r="O138" s="32">
        <f t="shared" si="38"/>
        <v>0.84420266961423651</v>
      </c>
      <c r="P138" s="32">
        <f t="shared" si="39"/>
        <v>-2.0709827703610508</v>
      </c>
      <c r="Q138" s="32">
        <f t="shared" si="40"/>
        <v>0.80698132232978881</v>
      </c>
      <c r="R138" s="32">
        <f t="shared" si="41"/>
        <v>-0.61891576076406762</v>
      </c>
      <c r="S138" s="32">
        <f t="shared" si="42"/>
        <v>0.86866731645372819</v>
      </c>
      <c r="T138" s="32">
        <f t="shared" si="43"/>
        <v>-1.0625089558734409</v>
      </c>
      <c r="U138" s="32">
        <f t="shared" si="44"/>
        <v>-9.8649377643389324E-2</v>
      </c>
      <c r="V138" s="37">
        <f t="shared" si="45"/>
        <v>-0.19017222232059927</v>
      </c>
      <c r="W138"/>
      <c r="AK138" s="45" t="s">
        <v>78</v>
      </c>
      <c r="AL138" s="45">
        <v>7</v>
      </c>
      <c r="AM138" s="45">
        <v>21</v>
      </c>
      <c r="AN138" s="45">
        <v>3</v>
      </c>
      <c r="AO138" s="45">
        <v>1</v>
      </c>
      <c r="AP138" s="45"/>
      <c r="AQ138" s="45"/>
      <c r="AR138" s="45"/>
    </row>
    <row r="139" spans="1:44" x14ac:dyDescent="0.35">
      <c r="A139">
        <v>5</v>
      </c>
      <c r="B139">
        <v>1</v>
      </c>
      <c r="C139">
        <v>5</v>
      </c>
      <c r="D139">
        <v>4</v>
      </c>
      <c r="E139">
        <v>1</v>
      </c>
      <c r="F139">
        <v>3</v>
      </c>
      <c r="G139">
        <v>4</v>
      </c>
      <c r="H139" s="25">
        <f t="shared" si="31"/>
        <v>5</v>
      </c>
      <c r="I139" s="25">
        <f t="shared" si="32"/>
        <v>5</v>
      </c>
      <c r="J139" s="25">
        <f t="shared" si="33"/>
        <v>5</v>
      </c>
      <c r="K139" s="25">
        <f t="shared" si="34"/>
        <v>2</v>
      </c>
      <c r="L139" s="25">
        <f t="shared" si="35"/>
        <v>5</v>
      </c>
      <c r="M139" s="25">
        <f t="shared" si="36"/>
        <v>3</v>
      </c>
      <c r="N139" s="25">
        <f t="shared" si="37"/>
        <v>4</v>
      </c>
      <c r="O139" s="32">
        <f t="shared" si="38"/>
        <v>0.84420266961423651</v>
      </c>
      <c r="P139" s="32">
        <f t="shared" si="39"/>
        <v>1.0418053570413823</v>
      </c>
      <c r="Q139" s="32">
        <f t="shared" si="40"/>
        <v>0.80698132232978881</v>
      </c>
      <c r="R139" s="32">
        <f t="shared" si="41"/>
        <v>-1.453693149260562</v>
      </c>
      <c r="S139" s="32">
        <f t="shared" si="42"/>
        <v>0.86866731645372819</v>
      </c>
      <c r="T139" s="32">
        <f t="shared" si="43"/>
        <v>-1.0625089558734409</v>
      </c>
      <c r="U139" s="32">
        <f t="shared" si="44"/>
        <v>-9.8649377643389324E-2</v>
      </c>
      <c r="V139" s="37">
        <f t="shared" si="45"/>
        <v>0.13525788323739191</v>
      </c>
      <c r="W139"/>
      <c r="AK139" s="45" t="s">
        <v>78</v>
      </c>
      <c r="AL139" s="45">
        <v>7</v>
      </c>
      <c r="AM139" s="45">
        <v>31</v>
      </c>
      <c r="AN139" s="45">
        <v>4.4285714289999998</v>
      </c>
      <c r="AO139" s="45">
        <v>0.61904761900000005</v>
      </c>
      <c r="AP139" s="45"/>
      <c r="AQ139" s="45"/>
      <c r="AR139" s="45"/>
    </row>
    <row r="140" spans="1:44" x14ac:dyDescent="0.35">
      <c r="A140">
        <v>4</v>
      </c>
      <c r="B140">
        <v>3</v>
      </c>
      <c r="C140">
        <v>5</v>
      </c>
      <c r="D140">
        <v>1</v>
      </c>
      <c r="E140">
        <v>2</v>
      </c>
      <c r="F140">
        <v>3</v>
      </c>
      <c r="G140">
        <v>4</v>
      </c>
      <c r="H140" s="25">
        <f t="shared" si="31"/>
        <v>4</v>
      </c>
      <c r="I140" s="25">
        <f t="shared" si="32"/>
        <v>3</v>
      </c>
      <c r="J140" s="25">
        <f t="shared" si="33"/>
        <v>5</v>
      </c>
      <c r="K140" s="25">
        <f t="shared" si="34"/>
        <v>5</v>
      </c>
      <c r="L140" s="25">
        <f t="shared" si="35"/>
        <v>4</v>
      </c>
      <c r="M140" s="25">
        <f t="shared" si="36"/>
        <v>3</v>
      </c>
      <c r="N140" s="25">
        <f t="shared" si="37"/>
        <v>4</v>
      </c>
      <c r="O140" s="32">
        <f t="shared" si="38"/>
        <v>-5.6401471461296142E-2</v>
      </c>
      <c r="P140" s="32">
        <f t="shared" si="39"/>
        <v>-0.51458870665983425</v>
      </c>
      <c r="Q140" s="32">
        <f t="shared" si="40"/>
        <v>0.80698132232978881</v>
      </c>
      <c r="R140" s="32">
        <f t="shared" si="41"/>
        <v>1.0506390162289212</v>
      </c>
      <c r="S140" s="32">
        <f t="shared" si="42"/>
        <v>2.4129647679270144E-2</v>
      </c>
      <c r="T140" s="32">
        <f t="shared" si="43"/>
        <v>-1.0625089558734409</v>
      </c>
      <c r="U140" s="32">
        <f t="shared" si="44"/>
        <v>-9.8649377643389324E-2</v>
      </c>
      <c r="V140" s="37">
        <f t="shared" si="45"/>
        <v>2.1371639228574213E-2</v>
      </c>
      <c r="W140"/>
      <c r="AK140" s="45" t="s">
        <v>78</v>
      </c>
      <c r="AL140" s="45">
        <v>7</v>
      </c>
      <c r="AM140" s="45">
        <v>28</v>
      </c>
      <c r="AN140" s="45">
        <v>4</v>
      </c>
      <c r="AO140" s="45">
        <v>1</v>
      </c>
      <c r="AP140" s="45"/>
      <c r="AQ140" s="45"/>
      <c r="AR140" s="45"/>
    </row>
    <row r="141" spans="1:44" x14ac:dyDescent="0.35">
      <c r="A141">
        <v>4</v>
      </c>
      <c r="B141">
        <v>2</v>
      </c>
      <c r="C141">
        <v>3</v>
      </c>
      <c r="D141">
        <v>2</v>
      </c>
      <c r="E141">
        <v>2</v>
      </c>
      <c r="F141">
        <v>3</v>
      </c>
      <c r="G141">
        <v>4</v>
      </c>
      <c r="H141" s="25">
        <f t="shared" si="31"/>
        <v>4</v>
      </c>
      <c r="I141" s="25">
        <f t="shared" si="32"/>
        <v>4</v>
      </c>
      <c r="J141" s="25">
        <f t="shared" si="33"/>
        <v>3</v>
      </c>
      <c r="K141" s="25">
        <f t="shared" si="34"/>
        <v>4</v>
      </c>
      <c r="L141" s="25">
        <f t="shared" si="35"/>
        <v>4</v>
      </c>
      <c r="M141" s="25">
        <f t="shared" si="36"/>
        <v>3</v>
      </c>
      <c r="N141" s="25">
        <f t="shared" si="37"/>
        <v>4</v>
      </c>
      <c r="O141" s="32">
        <f t="shared" si="38"/>
        <v>-5.6401471461296142E-2</v>
      </c>
      <c r="P141" s="32">
        <f t="shared" si="39"/>
        <v>0.26360832519077404</v>
      </c>
      <c r="Q141" s="32">
        <f t="shared" si="40"/>
        <v>-1.0009496220281058</v>
      </c>
      <c r="R141" s="32">
        <f t="shared" si="41"/>
        <v>0.21586162773242673</v>
      </c>
      <c r="S141" s="32">
        <f t="shared" si="42"/>
        <v>2.4129647679270144E-2</v>
      </c>
      <c r="T141" s="32">
        <f t="shared" si="43"/>
        <v>-1.0625089558734409</v>
      </c>
      <c r="U141" s="32">
        <f t="shared" si="44"/>
        <v>-9.8649377643389324E-2</v>
      </c>
      <c r="V141" s="37">
        <f t="shared" si="45"/>
        <v>-0.2449871180576802</v>
      </c>
      <c r="W141"/>
      <c r="AK141" s="45" t="s">
        <v>78</v>
      </c>
      <c r="AL141" s="45">
        <v>7</v>
      </c>
      <c r="AM141" s="45">
        <v>26</v>
      </c>
      <c r="AN141" s="45">
        <v>3.7142857139999998</v>
      </c>
      <c r="AO141" s="45">
        <v>2.2380952380000001</v>
      </c>
      <c r="AP141" s="45"/>
      <c r="AQ141" s="45"/>
      <c r="AR141" s="45"/>
    </row>
    <row r="142" spans="1:44" x14ac:dyDescent="0.35">
      <c r="A142">
        <v>3</v>
      </c>
      <c r="B142">
        <v>2</v>
      </c>
      <c r="C142">
        <v>4</v>
      </c>
      <c r="D142">
        <v>2</v>
      </c>
      <c r="E142">
        <v>2</v>
      </c>
      <c r="F142">
        <v>3</v>
      </c>
      <c r="G142">
        <v>4</v>
      </c>
      <c r="H142" s="25">
        <f t="shared" si="31"/>
        <v>3</v>
      </c>
      <c r="I142" s="25">
        <f t="shared" si="32"/>
        <v>4</v>
      </c>
      <c r="J142" s="25">
        <f t="shared" si="33"/>
        <v>4</v>
      </c>
      <c r="K142" s="25">
        <f t="shared" si="34"/>
        <v>4</v>
      </c>
      <c r="L142" s="25">
        <f t="shared" si="35"/>
        <v>4</v>
      </c>
      <c r="M142" s="25">
        <f t="shared" si="36"/>
        <v>3</v>
      </c>
      <c r="N142" s="25">
        <f t="shared" si="37"/>
        <v>4</v>
      </c>
      <c r="O142" s="32">
        <f t="shared" si="38"/>
        <v>-0.95700561253682881</v>
      </c>
      <c r="P142" s="32">
        <f t="shared" si="39"/>
        <v>0.26360832519077404</v>
      </c>
      <c r="Q142" s="32">
        <f t="shared" si="40"/>
        <v>-9.6984149849158471E-2</v>
      </c>
      <c r="R142" s="32">
        <f t="shared" si="41"/>
        <v>0.21586162773242673</v>
      </c>
      <c r="S142" s="32">
        <f t="shared" si="42"/>
        <v>2.4129647679270144E-2</v>
      </c>
      <c r="T142" s="32">
        <f t="shared" si="43"/>
        <v>-1.0625089558734409</v>
      </c>
      <c r="U142" s="32">
        <f t="shared" si="44"/>
        <v>-9.8649377643389324E-2</v>
      </c>
      <c r="V142" s="37">
        <f t="shared" si="45"/>
        <v>-0.24450692790004952</v>
      </c>
      <c r="W142"/>
      <c r="AK142" s="45" t="s">
        <v>78</v>
      </c>
      <c r="AL142" s="45">
        <v>7</v>
      </c>
      <c r="AM142" s="45">
        <v>29</v>
      </c>
      <c r="AN142" s="45">
        <v>4.1428571429999996</v>
      </c>
      <c r="AO142" s="45">
        <v>1.476190476</v>
      </c>
      <c r="AP142" s="45"/>
      <c r="AQ142" s="45"/>
      <c r="AR142" s="45"/>
    </row>
    <row r="143" spans="1:44" x14ac:dyDescent="0.35">
      <c r="A143">
        <v>4</v>
      </c>
      <c r="B143">
        <v>3</v>
      </c>
      <c r="C143">
        <v>4</v>
      </c>
      <c r="D143">
        <v>2</v>
      </c>
      <c r="E143">
        <v>2</v>
      </c>
      <c r="F143">
        <v>3</v>
      </c>
      <c r="G143">
        <v>4</v>
      </c>
      <c r="H143" s="25">
        <f t="shared" si="31"/>
        <v>4</v>
      </c>
      <c r="I143" s="25">
        <f t="shared" si="32"/>
        <v>3</v>
      </c>
      <c r="J143" s="25">
        <f t="shared" si="33"/>
        <v>4</v>
      </c>
      <c r="K143" s="25">
        <f t="shared" si="34"/>
        <v>4</v>
      </c>
      <c r="L143" s="25">
        <f t="shared" si="35"/>
        <v>4</v>
      </c>
      <c r="M143" s="25">
        <f t="shared" si="36"/>
        <v>3</v>
      </c>
      <c r="N143" s="25">
        <f t="shared" si="37"/>
        <v>4</v>
      </c>
      <c r="O143" s="32">
        <f t="shared" si="38"/>
        <v>-5.6401471461296142E-2</v>
      </c>
      <c r="P143" s="32">
        <f t="shared" si="39"/>
        <v>-0.51458870665983425</v>
      </c>
      <c r="Q143" s="32">
        <f t="shared" si="40"/>
        <v>-9.6984149849158471E-2</v>
      </c>
      <c r="R143" s="32">
        <f t="shared" si="41"/>
        <v>0.21586162773242673</v>
      </c>
      <c r="S143" s="32">
        <f t="shared" si="42"/>
        <v>2.4129647679270144E-2</v>
      </c>
      <c r="T143" s="32">
        <f t="shared" si="43"/>
        <v>-1.0625089558734409</v>
      </c>
      <c r="U143" s="32">
        <f t="shared" si="44"/>
        <v>-9.8649377643389324E-2</v>
      </c>
      <c r="V143" s="37">
        <f t="shared" si="45"/>
        <v>-0.22702019801077464</v>
      </c>
      <c r="W143"/>
      <c r="AK143" s="45" t="s">
        <v>78</v>
      </c>
      <c r="AL143" s="45">
        <v>7</v>
      </c>
      <c r="AM143" s="45">
        <v>28</v>
      </c>
      <c r="AN143" s="45">
        <v>4</v>
      </c>
      <c r="AO143" s="45">
        <v>0.66666666699999999</v>
      </c>
      <c r="AP143" s="45"/>
      <c r="AQ143" s="45"/>
      <c r="AR143" s="45"/>
    </row>
    <row r="144" spans="1:44" x14ac:dyDescent="0.35">
      <c r="A144">
        <v>4</v>
      </c>
      <c r="B144">
        <v>3</v>
      </c>
      <c r="C144">
        <v>4</v>
      </c>
      <c r="D144">
        <v>2</v>
      </c>
      <c r="E144">
        <v>2</v>
      </c>
      <c r="F144">
        <v>3</v>
      </c>
      <c r="G144">
        <v>4</v>
      </c>
      <c r="H144" s="25">
        <f t="shared" si="31"/>
        <v>4</v>
      </c>
      <c r="I144" s="25">
        <f t="shared" si="32"/>
        <v>3</v>
      </c>
      <c r="J144" s="25">
        <f t="shared" si="33"/>
        <v>4</v>
      </c>
      <c r="K144" s="25">
        <f t="shared" si="34"/>
        <v>4</v>
      </c>
      <c r="L144" s="25">
        <f t="shared" si="35"/>
        <v>4</v>
      </c>
      <c r="M144" s="25">
        <f t="shared" si="36"/>
        <v>3</v>
      </c>
      <c r="N144" s="25">
        <f t="shared" si="37"/>
        <v>4</v>
      </c>
      <c r="O144" s="32">
        <f t="shared" si="38"/>
        <v>-5.6401471461296142E-2</v>
      </c>
      <c r="P144" s="32">
        <f t="shared" si="39"/>
        <v>-0.51458870665983425</v>
      </c>
      <c r="Q144" s="32">
        <f t="shared" si="40"/>
        <v>-9.6984149849158471E-2</v>
      </c>
      <c r="R144" s="32">
        <f t="shared" si="41"/>
        <v>0.21586162773242673</v>
      </c>
      <c r="S144" s="32">
        <f t="shared" si="42"/>
        <v>2.4129647679270144E-2</v>
      </c>
      <c r="T144" s="32">
        <f t="shared" si="43"/>
        <v>-1.0625089558734409</v>
      </c>
      <c r="U144" s="32">
        <f t="shared" si="44"/>
        <v>-9.8649377643389324E-2</v>
      </c>
      <c r="V144" s="37">
        <f t="shared" si="45"/>
        <v>-0.22702019801077464</v>
      </c>
      <c r="W144"/>
      <c r="AK144" s="45" t="s">
        <v>78</v>
      </c>
      <c r="AL144" s="45">
        <v>7</v>
      </c>
      <c r="AM144" s="45">
        <v>26</v>
      </c>
      <c r="AN144" s="45">
        <v>3.7142857139999998</v>
      </c>
      <c r="AO144" s="45">
        <v>0.23809523799999999</v>
      </c>
      <c r="AP144" s="45"/>
      <c r="AQ144" s="45"/>
      <c r="AR144" s="45"/>
    </row>
    <row r="145" spans="1:44" x14ac:dyDescent="0.35">
      <c r="A145">
        <v>3</v>
      </c>
      <c r="B145">
        <v>4</v>
      </c>
      <c r="C145">
        <v>3</v>
      </c>
      <c r="D145">
        <v>3</v>
      </c>
      <c r="E145">
        <v>2</v>
      </c>
      <c r="F145">
        <v>3</v>
      </c>
      <c r="G145">
        <v>4</v>
      </c>
      <c r="H145" s="25">
        <f t="shared" si="31"/>
        <v>3</v>
      </c>
      <c r="I145" s="25">
        <f t="shared" si="32"/>
        <v>2</v>
      </c>
      <c r="J145" s="25">
        <f t="shared" si="33"/>
        <v>3</v>
      </c>
      <c r="K145" s="25">
        <f t="shared" si="34"/>
        <v>3</v>
      </c>
      <c r="L145" s="25">
        <f t="shared" si="35"/>
        <v>4</v>
      </c>
      <c r="M145" s="25">
        <f t="shared" si="36"/>
        <v>3</v>
      </c>
      <c r="N145" s="25">
        <f t="shared" si="37"/>
        <v>4</v>
      </c>
      <c r="O145" s="32">
        <f t="shared" si="38"/>
        <v>-0.95700561253682881</v>
      </c>
      <c r="P145" s="32">
        <f t="shared" si="39"/>
        <v>-1.2927857385104427</v>
      </c>
      <c r="Q145" s="32">
        <f t="shared" si="40"/>
        <v>-1.0009496220281058</v>
      </c>
      <c r="R145" s="32">
        <f t="shared" si="41"/>
        <v>-0.61891576076406762</v>
      </c>
      <c r="S145" s="32">
        <f t="shared" si="42"/>
        <v>2.4129647679270144E-2</v>
      </c>
      <c r="T145" s="32">
        <f t="shared" si="43"/>
        <v>-1.0625089558734409</v>
      </c>
      <c r="U145" s="32">
        <f t="shared" si="44"/>
        <v>-9.8649377643389324E-2</v>
      </c>
      <c r="V145" s="37">
        <f t="shared" si="45"/>
        <v>-0.71524077423957222</v>
      </c>
      <c r="W145"/>
      <c r="AK145" s="45" t="s">
        <v>78</v>
      </c>
      <c r="AL145" s="45">
        <v>7</v>
      </c>
      <c r="AM145" s="45">
        <v>26</v>
      </c>
      <c r="AN145" s="45">
        <v>3.7142857139999998</v>
      </c>
      <c r="AO145" s="45">
        <v>0.23809523799999999</v>
      </c>
      <c r="AP145" s="45"/>
      <c r="AQ145" s="45"/>
      <c r="AR145" s="45"/>
    </row>
    <row r="146" spans="1:44" x14ac:dyDescent="0.35">
      <c r="A146">
        <v>3</v>
      </c>
      <c r="B146">
        <v>4</v>
      </c>
      <c r="C146">
        <v>4</v>
      </c>
      <c r="D146">
        <v>3</v>
      </c>
      <c r="E146">
        <v>2</v>
      </c>
      <c r="F146">
        <v>3</v>
      </c>
      <c r="G146">
        <v>4</v>
      </c>
      <c r="H146" s="25">
        <f t="shared" si="31"/>
        <v>3</v>
      </c>
      <c r="I146" s="25">
        <f t="shared" si="32"/>
        <v>2</v>
      </c>
      <c r="J146" s="25">
        <f t="shared" si="33"/>
        <v>4</v>
      </c>
      <c r="K146" s="25">
        <f t="shared" si="34"/>
        <v>3</v>
      </c>
      <c r="L146" s="25">
        <f t="shared" si="35"/>
        <v>4</v>
      </c>
      <c r="M146" s="25">
        <f t="shared" si="36"/>
        <v>3</v>
      </c>
      <c r="N146" s="25">
        <f t="shared" si="37"/>
        <v>4</v>
      </c>
      <c r="O146" s="32">
        <f t="shared" si="38"/>
        <v>-0.95700561253682881</v>
      </c>
      <c r="P146" s="32">
        <f t="shared" si="39"/>
        <v>-1.2927857385104427</v>
      </c>
      <c r="Q146" s="32">
        <f t="shared" si="40"/>
        <v>-9.6984149849158471E-2</v>
      </c>
      <c r="R146" s="32">
        <f t="shared" si="41"/>
        <v>-0.61891576076406762</v>
      </c>
      <c r="S146" s="32">
        <f t="shared" si="42"/>
        <v>2.4129647679270144E-2</v>
      </c>
      <c r="T146" s="32">
        <f t="shared" si="43"/>
        <v>-1.0625089558734409</v>
      </c>
      <c r="U146" s="32">
        <f t="shared" si="44"/>
        <v>-9.8649377643389324E-2</v>
      </c>
      <c r="V146" s="37">
        <f t="shared" si="45"/>
        <v>-0.58610284964257964</v>
      </c>
      <c r="W146"/>
      <c r="AK146" s="45" t="s">
        <v>78</v>
      </c>
      <c r="AL146" s="45">
        <v>7</v>
      </c>
      <c r="AM146" s="45">
        <v>26</v>
      </c>
      <c r="AN146" s="45">
        <v>3.7142857139999998</v>
      </c>
      <c r="AO146" s="45">
        <v>0.23809523799999999</v>
      </c>
      <c r="AP146" s="45"/>
      <c r="AQ146" s="45"/>
      <c r="AR146" s="45"/>
    </row>
    <row r="147" spans="1:44" x14ac:dyDescent="0.35">
      <c r="A147">
        <v>4</v>
      </c>
      <c r="B147">
        <v>3</v>
      </c>
      <c r="C147">
        <v>5</v>
      </c>
      <c r="D147">
        <v>3</v>
      </c>
      <c r="E147">
        <v>2</v>
      </c>
      <c r="F147">
        <v>3</v>
      </c>
      <c r="G147">
        <v>4</v>
      </c>
      <c r="H147" s="25">
        <f t="shared" si="31"/>
        <v>4</v>
      </c>
      <c r="I147" s="25">
        <f t="shared" si="32"/>
        <v>3</v>
      </c>
      <c r="J147" s="25">
        <f t="shared" si="33"/>
        <v>5</v>
      </c>
      <c r="K147" s="25">
        <f t="shared" si="34"/>
        <v>3</v>
      </c>
      <c r="L147" s="25">
        <f t="shared" si="35"/>
        <v>4</v>
      </c>
      <c r="M147" s="25">
        <f t="shared" si="36"/>
        <v>3</v>
      </c>
      <c r="N147" s="25">
        <f t="shared" si="37"/>
        <v>4</v>
      </c>
      <c r="O147" s="32">
        <f t="shared" si="38"/>
        <v>-5.6401471461296142E-2</v>
      </c>
      <c r="P147" s="32">
        <f t="shared" si="39"/>
        <v>-0.51458870665983425</v>
      </c>
      <c r="Q147" s="32">
        <f t="shared" si="40"/>
        <v>0.80698132232978881</v>
      </c>
      <c r="R147" s="32">
        <f t="shared" si="41"/>
        <v>-0.61891576076406762</v>
      </c>
      <c r="S147" s="32">
        <f t="shared" si="42"/>
        <v>2.4129647679270144E-2</v>
      </c>
      <c r="T147" s="32">
        <f t="shared" si="43"/>
        <v>-1.0625089558734409</v>
      </c>
      <c r="U147" s="32">
        <f t="shared" si="44"/>
        <v>-9.8649377643389324E-2</v>
      </c>
      <c r="V147" s="37">
        <f t="shared" si="45"/>
        <v>-0.21713618605613849</v>
      </c>
      <c r="W147"/>
      <c r="AK147" s="45" t="s">
        <v>78</v>
      </c>
      <c r="AL147" s="45">
        <v>7</v>
      </c>
      <c r="AM147" s="45">
        <v>26</v>
      </c>
      <c r="AN147" s="45">
        <v>3.7142857139999998</v>
      </c>
      <c r="AO147" s="45">
        <v>0.23809523799999999</v>
      </c>
      <c r="AP147" s="45"/>
      <c r="AQ147" s="45"/>
      <c r="AR147" s="45"/>
    </row>
    <row r="148" spans="1:44" x14ac:dyDescent="0.35">
      <c r="A148">
        <v>1</v>
      </c>
      <c r="B148">
        <v>4</v>
      </c>
      <c r="C148">
        <v>5</v>
      </c>
      <c r="D148">
        <v>3</v>
      </c>
      <c r="E148">
        <v>2</v>
      </c>
      <c r="F148">
        <v>3</v>
      </c>
      <c r="G148">
        <v>4</v>
      </c>
      <c r="H148" s="25">
        <f t="shared" si="31"/>
        <v>1</v>
      </c>
      <c r="I148" s="25">
        <f t="shared" si="32"/>
        <v>2</v>
      </c>
      <c r="J148" s="25">
        <f t="shared" si="33"/>
        <v>5</v>
      </c>
      <c r="K148" s="25">
        <f t="shared" si="34"/>
        <v>3</v>
      </c>
      <c r="L148" s="25">
        <f t="shared" si="35"/>
        <v>4</v>
      </c>
      <c r="M148" s="25">
        <f t="shared" si="36"/>
        <v>3</v>
      </c>
      <c r="N148" s="25">
        <f t="shared" si="37"/>
        <v>4</v>
      </c>
      <c r="O148" s="32">
        <f t="shared" si="38"/>
        <v>-2.758213894687894</v>
      </c>
      <c r="P148" s="32">
        <f t="shared" si="39"/>
        <v>-1.2927857385104427</v>
      </c>
      <c r="Q148" s="32">
        <f t="shared" si="40"/>
        <v>0.80698132232978881</v>
      </c>
      <c r="R148" s="32">
        <f t="shared" si="41"/>
        <v>-0.61891576076406762</v>
      </c>
      <c r="S148" s="32">
        <f t="shared" si="42"/>
        <v>2.4129647679270144E-2</v>
      </c>
      <c r="T148" s="32">
        <f t="shared" si="43"/>
        <v>-1.0625089558734409</v>
      </c>
      <c r="U148" s="32">
        <f t="shared" si="44"/>
        <v>-9.8649377643389324E-2</v>
      </c>
      <c r="V148" s="37">
        <f t="shared" si="45"/>
        <v>-0.71428039392431075</v>
      </c>
      <c r="W148"/>
      <c r="AK148" s="45" t="s">
        <v>78</v>
      </c>
      <c r="AL148" s="45">
        <v>7</v>
      </c>
      <c r="AM148" s="45">
        <v>22</v>
      </c>
      <c r="AN148" s="45">
        <v>3.1428571430000001</v>
      </c>
      <c r="AO148" s="45">
        <v>0.47619047599999997</v>
      </c>
      <c r="AP148" s="45"/>
      <c r="AQ148" s="45"/>
      <c r="AR148" s="45"/>
    </row>
    <row r="149" spans="1:44" x14ac:dyDescent="0.35">
      <c r="A149">
        <v>3</v>
      </c>
      <c r="B149">
        <v>1</v>
      </c>
      <c r="C149">
        <v>3</v>
      </c>
      <c r="D149">
        <v>2</v>
      </c>
      <c r="E149">
        <v>3</v>
      </c>
      <c r="F149">
        <v>3</v>
      </c>
      <c r="G149">
        <v>4</v>
      </c>
      <c r="H149" s="25">
        <f t="shared" si="31"/>
        <v>3</v>
      </c>
      <c r="I149" s="25">
        <f t="shared" si="32"/>
        <v>5</v>
      </c>
      <c r="J149" s="25">
        <f t="shared" si="33"/>
        <v>3</v>
      </c>
      <c r="K149" s="25">
        <f t="shared" si="34"/>
        <v>4</v>
      </c>
      <c r="L149" s="25">
        <f t="shared" si="35"/>
        <v>3</v>
      </c>
      <c r="M149" s="25">
        <f t="shared" si="36"/>
        <v>3</v>
      </c>
      <c r="N149" s="25">
        <f t="shared" si="37"/>
        <v>4</v>
      </c>
      <c r="O149" s="32">
        <f t="shared" si="38"/>
        <v>-0.95700561253682881</v>
      </c>
      <c r="P149" s="32">
        <f t="shared" si="39"/>
        <v>1.0418053570413823</v>
      </c>
      <c r="Q149" s="32">
        <f t="shared" si="40"/>
        <v>-1.0009496220281058</v>
      </c>
      <c r="R149" s="32">
        <f t="shared" si="41"/>
        <v>0.21586162773242673</v>
      </c>
      <c r="S149" s="32">
        <f t="shared" si="42"/>
        <v>-0.82040802109518784</v>
      </c>
      <c r="T149" s="32">
        <f t="shared" si="43"/>
        <v>-1.0625089558734409</v>
      </c>
      <c r="U149" s="32">
        <f t="shared" si="44"/>
        <v>-9.8649377643389324E-2</v>
      </c>
      <c r="V149" s="37">
        <f t="shared" si="45"/>
        <v>-0.3831220863433063</v>
      </c>
      <c r="W149"/>
      <c r="AK149" s="45" t="s">
        <v>78</v>
      </c>
      <c r="AL149" s="45">
        <v>7</v>
      </c>
      <c r="AM149" s="45">
        <v>23</v>
      </c>
      <c r="AN149" s="45">
        <v>3.2857142860000002</v>
      </c>
      <c r="AO149" s="45">
        <v>0.571428571</v>
      </c>
      <c r="AP149" s="45"/>
      <c r="AQ149" s="45"/>
      <c r="AR149" s="45"/>
    </row>
    <row r="150" spans="1:44" x14ac:dyDescent="0.35">
      <c r="A150">
        <v>4</v>
      </c>
      <c r="B150">
        <v>3</v>
      </c>
      <c r="C150">
        <v>4</v>
      </c>
      <c r="D150">
        <v>3</v>
      </c>
      <c r="E150">
        <v>4</v>
      </c>
      <c r="F150">
        <v>3</v>
      </c>
      <c r="G150">
        <v>4</v>
      </c>
      <c r="H150" s="25">
        <f t="shared" si="31"/>
        <v>4</v>
      </c>
      <c r="I150" s="25">
        <f t="shared" si="32"/>
        <v>3</v>
      </c>
      <c r="J150" s="25">
        <f t="shared" si="33"/>
        <v>4</v>
      </c>
      <c r="K150" s="25">
        <f t="shared" si="34"/>
        <v>3</v>
      </c>
      <c r="L150" s="25">
        <f t="shared" si="35"/>
        <v>2</v>
      </c>
      <c r="M150" s="25">
        <f t="shared" si="36"/>
        <v>3</v>
      </c>
      <c r="N150" s="25">
        <f t="shared" si="37"/>
        <v>4</v>
      </c>
      <c r="O150" s="32">
        <f t="shared" si="38"/>
        <v>-5.6401471461296142E-2</v>
      </c>
      <c r="P150" s="32">
        <f t="shared" si="39"/>
        <v>-0.51458870665983425</v>
      </c>
      <c r="Q150" s="32">
        <f t="shared" si="40"/>
        <v>-9.6984149849158471E-2</v>
      </c>
      <c r="R150" s="32">
        <f t="shared" si="41"/>
        <v>-0.61891576076406762</v>
      </c>
      <c r="S150" s="32">
        <f t="shared" si="42"/>
        <v>-1.664945689869646</v>
      </c>
      <c r="T150" s="32">
        <f t="shared" si="43"/>
        <v>-1.0625089558734409</v>
      </c>
      <c r="U150" s="32">
        <f t="shared" si="44"/>
        <v>-9.8649377643389324E-2</v>
      </c>
      <c r="V150" s="37">
        <f t="shared" si="45"/>
        <v>-0.58757058744583335</v>
      </c>
      <c r="W150"/>
      <c r="AK150" s="45" t="s">
        <v>78</v>
      </c>
      <c r="AL150" s="45">
        <v>7</v>
      </c>
      <c r="AM150" s="45">
        <v>26</v>
      </c>
      <c r="AN150" s="45">
        <v>3.7142857139999998</v>
      </c>
      <c r="AO150" s="45">
        <v>0.571428571</v>
      </c>
      <c r="AP150" s="45"/>
      <c r="AQ150" s="45"/>
      <c r="AR150" s="45"/>
    </row>
    <row r="151" spans="1:44" x14ac:dyDescent="0.35">
      <c r="A151">
        <v>4</v>
      </c>
      <c r="B151">
        <v>4</v>
      </c>
      <c r="C151">
        <v>4</v>
      </c>
      <c r="D151">
        <v>3</v>
      </c>
      <c r="E151">
        <v>4</v>
      </c>
      <c r="F151">
        <v>3</v>
      </c>
      <c r="G151">
        <v>4</v>
      </c>
      <c r="H151" s="25">
        <f t="shared" si="31"/>
        <v>4</v>
      </c>
      <c r="I151" s="25">
        <f t="shared" si="32"/>
        <v>2</v>
      </c>
      <c r="J151" s="25">
        <f t="shared" si="33"/>
        <v>4</v>
      </c>
      <c r="K151" s="25">
        <f t="shared" si="34"/>
        <v>3</v>
      </c>
      <c r="L151" s="25">
        <f t="shared" si="35"/>
        <v>2</v>
      </c>
      <c r="M151" s="25">
        <f t="shared" si="36"/>
        <v>3</v>
      </c>
      <c r="N151" s="25">
        <f t="shared" si="37"/>
        <v>4</v>
      </c>
      <c r="O151" s="32">
        <f t="shared" si="38"/>
        <v>-5.6401471461296142E-2</v>
      </c>
      <c r="P151" s="32">
        <f t="shared" si="39"/>
        <v>-1.2927857385104427</v>
      </c>
      <c r="Q151" s="32">
        <f t="shared" si="40"/>
        <v>-9.6984149849158471E-2</v>
      </c>
      <c r="R151" s="32">
        <f t="shared" si="41"/>
        <v>-0.61891576076406762</v>
      </c>
      <c r="S151" s="32">
        <f t="shared" si="42"/>
        <v>-1.664945689869646</v>
      </c>
      <c r="T151" s="32">
        <f t="shared" si="43"/>
        <v>-1.0625089558734409</v>
      </c>
      <c r="U151" s="32">
        <f t="shared" si="44"/>
        <v>-9.8649377643389324E-2</v>
      </c>
      <c r="V151" s="37">
        <f t="shared" si="45"/>
        <v>-0.69874159199592012</v>
      </c>
      <c r="W151"/>
      <c r="AK151" s="45" t="s">
        <v>78</v>
      </c>
      <c r="AL151" s="45">
        <v>7</v>
      </c>
      <c r="AM151" s="45">
        <v>22</v>
      </c>
      <c r="AN151" s="45">
        <v>3.1428571430000001</v>
      </c>
      <c r="AO151" s="45">
        <v>1.80952381</v>
      </c>
      <c r="AP151" s="45"/>
      <c r="AQ151" s="45"/>
      <c r="AR151" s="45"/>
    </row>
    <row r="152" spans="1:44" x14ac:dyDescent="0.35">
      <c r="A152">
        <v>3</v>
      </c>
      <c r="B152">
        <v>1</v>
      </c>
      <c r="C152">
        <v>4</v>
      </c>
      <c r="D152">
        <v>1</v>
      </c>
      <c r="E152">
        <v>1</v>
      </c>
      <c r="F152">
        <v>4</v>
      </c>
      <c r="G152">
        <v>4</v>
      </c>
      <c r="H152" s="25">
        <f t="shared" si="31"/>
        <v>3</v>
      </c>
      <c r="I152" s="25">
        <f t="shared" si="32"/>
        <v>5</v>
      </c>
      <c r="J152" s="25">
        <f t="shared" si="33"/>
        <v>4</v>
      </c>
      <c r="K152" s="25">
        <f t="shared" si="34"/>
        <v>5</v>
      </c>
      <c r="L152" s="25">
        <f t="shared" si="35"/>
        <v>5</v>
      </c>
      <c r="M152" s="25">
        <f t="shared" si="36"/>
        <v>4</v>
      </c>
      <c r="N152" s="25">
        <f t="shared" si="37"/>
        <v>4</v>
      </c>
      <c r="O152" s="32">
        <f t="shared" si="38"/>
        <v>-0.95700561253682881</v>
      </c>
      <c r="P152" s="32">
        <f t="shared" si="39"/>
        <v>1.0418053570413823</v>
      </c>
      <c r="Q152" s="32">
        <f t="shared" si="40"/>
        <v>-9.6984149849158471E-2</v>
      </c>
      <c r="R152" s="32">
        <f t="shared" si="41"/>
        <v>1.0506390162289212</v>
      </c>
      <c r="S152" s="32">
        <f t="shared" si="42"/>
        <v>0.86866731645372819</v>
      </c>
      <c r="T152" s="32">
        <f t="shared" si="43"/>
        <v>-0.12522426979936985</v>
      </c>
      <c r="U152" s="32">
        <f t="shared" si="44"/>
        <v>-9.8649377643389324E-2</v>
      </c>
      <c r="V152" s="37">
        <f t="shared" si="45"/>
        <v>0.24046403998504071</v>
      </c>
      <c r="W152"/>
      <c r="AK152" s="45" t="s">
        <v>78</v>
      </c>
      <c r="AL152" s="45">
        <v>7</v>
      </c>
      <c r="AM152" s="45">
        <v>25</v>
      </c>
      <c r="AN152" s="45">
        <v>3.5714285710000002</v>
      </c>
      <c r="AO152" s="45">
        <v>0.61904761900000005</v>
      </c>
      <c r="AP152" s="45"/>
      <c r="AQ152" s="45"/>
      <c r="AR152" s="45"/>
    </row>
    <row r="153" spans="1:44" x14ac:dyDescent="0.35">
      <c r="A153">
        <v>5</v>
      </c>
      <c r="B153">
        <v>1</v>
      </c>
      <c r="C153">
        <v>5</v>
      </c>
      <c r="D153">
        <v>1</v>
      </c>
      <c r="E153">
        <v>1</v>
      </c>
      <c r="F153">
        <v>4</v>
      </c>
      <c r="G153">
        <v>4</v>
      </c>
      <c r="H153" s="25">
        <f t="shared" si="31"/>
        <v>5</v>
      </c>
      <c r="I153" s="25">
        <f t="shared" si="32"/>
        <v>5</v>
      </c>
      <c r="J153" s="25">
        <f t="shared" si="33"/>
        <v>5</v>
      </c>
      <c r="K153" s="25">
        <f t="shared" si="34"/>
        <v>5</v>
      </c>
      <c r="L153" s="25">
        <f t="shared" si="35"/>
        <v>5</v>
      </c>
      <c r="M153" s="25">
        <f t="shared" si="36"/>
        <v>4</v>
      </c>
      <c r="N153" s="25">
        <f t="shared" si="37"/>
        <v>4</v>
      </c>
      <c r="O153" s="32">
        <f t="shared" si="38"/>
        <v>0.84420266961423651</v>
      </c>
      <c r="P153" s="32">
        <f t="shared" si="39"/>
        <v>1.0418053570413823</v>
      </c>
      <c r="Q153" s="32">
        <f t="shared" si="40"/>
        <v>0.80698132232978881</v>
      </c>
      <c r="R153" s="32">
        <f t="shared" si="41"/>
        <v>1.0506390162289212</v>
      </c>
      <c r="S153" s="32">
        <f t="shared" si="42"/>
        <v>0.86866731645372819</v>
      </c>
      <c r="T153" s="32">
        <f t="shared" si="43"/>
        <v>-0.12522426979936985</v>
      </c>
      <c r="U153" s="32">
        <f t="shared" si="44"/>
        <v>-9.8649377643389324E-2</v>
      </c>
      <c r="V153" s="37">
        <f t="shared" si="45"/>
        <v>0.62691743346075679</v>
      </c>
      <c r="W153"/>
      <c r="AK153" s="45" t="s">
        <v>78</v>
      </c>
      <c r="AL153" s="45">
        <v>7</v>
      </c>
      <c r="AM153" s="45">
        <v>23</v>
      </c>
      <c r="AN153" s="45">
        <v>3.2857142860000002</v>
      </c>
      <c r="AO153" s="45">
        <v>0.571428571</v>
      </c>
      <c r="AP153" s="45"/>
      <c r="AQ153" s="45"/>
      <c r="AR153" s="45"/>
    </row>
    <row r="154" spans="1:44" x14ac:dyDescent="0.35">
      <c r="A154">
        <v>5</v>
      </c>
      <c r="B154">
        <v>1</v>
      </c>
      <c r="C154">
        <v>5</v>
      </c>
      <c r="D154">
        <v>1</v>
      </c>
      <c r="E154">
        <v>1</v>
      </c>
      <c r="F154">
        <v>4</v>
      </c>
      <c r="G154">
        <v>4</v>
      </c>
      <c r="H154" s="25">
        <f t="shared" si="31"/>
        <v>5</v>
      </c>
      <c r="I154" s="25">
        <f t="shared" si="32"/>
        <v>5</v>
      </c>
      <c r="J154" s="25">
        <f t="shared" si="33"/>
        <v>5</v>
      </c>
      <c r="K154" s="25">
        <f t="shared" si="34"/>
        <v>5</v>
      </c>
      <c r="L154" s="25">
        <f t="shared" si="35"/>
        <v>5</v>
      </c>
      <c r="M154" s="25">
        <f t="shared" si="36"/>
        <v>4</v>
      </c>
      <c r="N154" s="25">
        <f t="shared" si="37"/>
        <v>4</v>
      </c>
      <c r="O154" s="32">
        <f t="shared" si="38"/>
        <v>0.84420266961423651</v>
      </c>
      <c r="P154" s="32">
        <f t="shared" si="39"/>
        <v>1.0418053570413823</v>
      </c>
      <c r="Q154" s="32">
        <f t="shared" si="40"/>
        <v>0.80698132232978881</v>
      </c>
      <c r="R154" s="32">
        <f t="shared" si="41"/>
        <v>1.0506390162289212</v>
      </c>
      <c r="S154" s="32">
        <f t="shared" si="42"/>
        <v>0.86866731645372819</v>
      </c>
      <c r="T154" s="32">
        <f t="shared" si="43"/>
        <v>-0.12522426979936985</v>
      </c>
      <c r="U154" s="32">
        <f t="shared" si="44"/>
        <v>-9.8649377643389324E-2</v>
      </c>
      <c r="V154" s="37">
        <f t="shared" si="45"/>
        <v>0.62691743346075679</v>
      </c>
      <c r="W154"/>
      <c r="AK154" s="45" t="s">
        <v>78</v>
      </c>
      <c r="AL154" s="45">
        <v>7</v>
      </c>
      <c r="AM154" s="45">
        <v>22</v>
      </c>
      <c r="AN154" s="45">
        <v>3.1428571430000001</v>
      </c>
      <c r="AO154" s="45">
        <v>0.80952380999999995</v>
      </c>
      <c r="AP154" s="45"/>
      <c r="AQ154" s="45"/>
      <c r="AR154" s="45"/>
    </row>
    <row r="155" spans="1:44" x14ac:dyDescent="0.35">
      <c r="A155">
        <v>5</v>
      </c>
      <c r="B155">
        <v>1</v>
      </c>
      <c r="C155">
        <v>5</v>
      </c>
      <c r="D155">
        <v>1</v>
      </c>
      <c r="E155">
        <v>1</v>
      </c>
      <c r="F155">
        <v>4</v>
      </c>
      <c r="G155">
        <v>4</v>
      </c>
      <c r="H155" s="25">
        <f t="shared" si="31"/>
        <v>5</v>
      </c>
      <c r="I155" s="25">
        <f t="shared" si="32"/>
        <v>5</v>
      </c>
      <c r="J155" s="25">
        <f t="shared" si="33"/>
        <v>5</v>
      </c>
      <c r="K155" s="25">
        <f t="shared" si="34"/>
        <v>5</v>
      </c>
      <c r="L155" s="25">
        <f t="shared" si="35"/>
        <v>5</v>
      </c>
      <c r="M155" s="25">
        <f t="shared" si="36"/>
        <v>4</v>
      </c>
      <c r="N155" s="25">
        <f t="shared" si="37"/>
        <v>4</v>
      </c>
      <c r="O155" s="32">
        <f t="shared" si="38"/>
        <v>0.84420266961423651</v>
      </c>
      <c r="P155" s="32">
        <f t="shared" si="39"/>
        <v>1.0418053570413823</v>
      </c>
      <c r="Q155" s="32">
        <f t="shared" si="40"/>
        <v>0.80698132232978881</v>
      </c>
      <c r="R155" s="32">
        <f t="shared" si="41"/>
        <v>1.0506390162289212</v>
      </c>
      <c r="S155" s="32">
        <f t="shared" si="42"/>
        <v>0.86866731645372819</v>
      </c>
      <c r="T155" s="32">
        <f t="shared" si="43"/>
        <v>-0.12522426979936985</v>
      </c>
      <c r="U155" s="32">
        <f t="shared" si="44"/>
        <v>-9.8649377643389324E-2</v>
      </c>
      <c r="V155" s="37">
        <f t="shared" si="45"/>
        <v>0.62691743346075679</v>
      </c>
      <c r="W155"/>
      <c r="AK155" s="45" t="s">
        <v>78</v>
      </c>
      <c r="AL155" s="45">
        <v>7</v>
      </c>
      <c r="AM155" s="45">
        <v>30</v>
      </c>
      <c r="AN155" s="45">
        <v>4.2857142860000002</v>
      </c>
      <c r="AO155" s="45">
        <v>0.571428571</v>
      </c>
      <c r="AP155" s="45"/>
      <c r="AQ155" s="45"/>
      <c r="AR155" s="45"/>
    </row>
    <row r="156" spans="1:44" x14ac:dyDescent="0.35">
      <c r="A156">
        <v>5</v>
      </c>
      <c r="B156">
        <v>2</v>
      </c>
      <c r="C156">
        <v>5</v>
      </c>
      <c r="D156">
        <v>1</v>
      </c>
      <c r="E156">
        <v>1</v>
      </c>
      <c r="F156">
        <v>4</v>
      </c>
      <c r="G156">
        <v>4</v>
      </c>
      <c r="H156" s="25">
        <f t="shared" si="31"/>
        <v>5</v>
      </c>
      <c r="I156" s="25">
        <f t="shared" si="32"/>
        <v>4</v>
      </c>
      <c r="J156" s="25">
        <f t="shared" si="33"/>
        <v>5</v>
      </c>
      <c r="K156" s="25">
        <f t="shared" si="34"/>
        <v>5</v>
      </c>
      <c r="L156" s="25">
        <f t="shared" si="35"/>
        <v>5</v>
      </c>
      <c r="M156" s="25">
        <f t="shared" si="36"/>
        <v>4</v>
      </c>
      <c r="N156" s="25">
        <f t="shared" si="37"/>
        <v>4</v>
      </c>
      <c r="O156" s="32">
        <f t="shared" si="38"/>
        <v>0.84420266961423651</v>
      </c>
      <c r="P156" s="32">
        <f t="shared" si="39"/>
        <v>0.26360832519077404</v>
      </c>
      <c r="Q156" s="32">
        <f t="shared" si="40"/>
        <v>0.80698132232978881</v>
      </c>
      <c r="R156" s="32">
        <f t="shared" si="41"/>
        <v>1.0506390162289212</v>
      </c>
      <c r="S156" s="32">
        <f t="shared" si="42"/>
        <v>0.86866731645372819</v>
      </c>
      <c r="T156" s="32">
        <f t="shared" si="43"/>
        <v>-0.12522426979936985</v>
      </c>
      <c r="U156" s="32">
        <f t="shared" si="44"/>
        <v>-9.8649377643389324E-2</v>
      </c>
      <c r="V156" s="37">
        <f t="shared" si="45"/>
        <v>0.51574642891066991</v>
      </c>
      <c r="W156"/>
      <c r="AK156" s="45" t="s">
        <v>78</v>
      </c>
      <c r="AL156" s="45">
        <v>7</v>
      </c>
      <c r="AM156" s="45">
        <v>33</v>
      </c>
      <c r="AN156" s="45">
        <v>4.7142857139999998</v>
      </c>
      <c r="AO156" s="45">
        <v>0.23809523799999999</v>
      </c>
      <c r="AP156" s="45"/>
      <c r="AQ156" s="45"/>
      <c r="AR156" s="45"/>
    </row>
    <row r="157" spans="1:44" x14ac:dyDescent="0.35">
      <c r="A157">
        <v>4</v>
      </c>
      <c r="B157">
        <v>2</v>
      </c>
      <c r="C157">
        <v>4</v>
      </c>
      <c r="D157">
        <v>2</v>
      </c>
      <c r="E157">
        <v>1</v>
      </c>
      <c r="F157">
        <v>4</v>
      </c>
      <c r="G157">
        <v>4</v>
      </c>
      <c r="H157" s="25">
        <f t="shared" si="31"/>
        <v>4</v>
      </c>
      <c r="I157" s="25">
        <f t="shared" si="32"/>
        <v>4</v>
      </c>
      <c r="J157" s="25">
        <f t="shared" si="33"/>
        <v>4</v>
      </c>
      <c r="K157" s="25">
        <f t="shared" si="34"/>
        <v>4</v>
      </c>
      <c r="L157" s="25">
        <f t="shared" si="35"/>
        <v>5</v>
      </c>
      <c r="M157" s="25">
        <f t="shared" si="36"/>
        <v>4</v>
      </c>
      <c r="N157" s="25">
        <f t="shared" si="37"/>
        <v>4</v>
      </c>
      <c r="O157" s="32">
        <f t="shared" si="38"/>
        <v>-5.6401471461296142E-2</v>
      </c>
      <c r="P157" s="32">
        <f t="shared" si="39"/>
        <v>0.26360832519077404</v>
      </c>
      <c r="Q157" s="32">
        <f t="shared" si="40"/>
        <v>-9.6984149849158471E-2</v>
      </c>
      <c r="R157" s="32">
        <f t="shared" si="41"/>
        <v>0.21586162773242673</v>
      </c>
      <c r="S157" s="32">
        <f t="shared" si="42"/>
        <v>0.86866731645372819</v>
      </c>
      <c r="T157" s="32">
        <f t="shared" si="43"/>
        <v>-0.12522426979936985</v>
      </c>
      <c r="U157" s="32">
        <f t="shared" si="44"/>
        <v>-9.8649377643389324E-2</v>
      </c>
      <c r="V157" s="37">
        <f t="shared" si="45"/>
        <v>0.13869685723195932</v>
      </c>
      <c r="W157"/>
      <c r="AK157" s="45" t="s">
        <v>78</v>
      </c>
      <c r="AL157" s="45">
        <v>7</v>
      </c>
      <c r="AM157" s="45">
        <v>33</v>
      </c>
      <c r="AN157" s="45">
        <v>4.7142857139999998</v>
      </c>
      <c r="AO157" s="45">
        <v>0.23809523799999999</v>
      </c>
      <c r="AP157" s="45"/>
      <c r="AQ157" s="45"/>
      <c r="AR157" s="45"/>
    </row>
    <row r="158" spans="1:44" x14ac:dyDescent="0.35">
      <c r="A158">
        <v>4</v>
      </c>
      <c r="B158">
        <v>3</v>
      </c>
      <c r="C158">
        <v>4</v>
      </c>
      <c r="D158">
        <v>2</v>
      </c>
      <c r="E158">
        <v>1</v>
      </c>
      <c r="F158">
        <v>4</v>
      </c>
      <c r="G158">
        <v>4</v>
      </c>
      <c r="H158" s="25">
        <f t="shared" si="31"/>
        <v>4</v>
      </c>
      <c r="I158" s="25">
        <f t="shared" si="32"/>
        <v>3</v>
      </c>
      <c r="J158" s="25">
        <f t="shared" si="33"/>
        <v>4</v>
      </c>
      <c r="K158" s="25">
        <f t="shared" si="34"/>
        <v>4</v>
      </c>
      <c r="L158" s="25">
        <f t="shared" si="35"/>
        <v>5</v>
      </c>
      <c r="M158" s="25">
        <f t="shared" si="36"/>
        <v>4</v>
      </c>
      <c r="N158" s="25">
        <f t="shared" si="37"/>
        <v>4</v>
      </c>
      <c r="O158" s="32">
        <f t="shared" si="38"/>
        <v>-5.6401471461296142E-2</v>
      </c>
      <c r="P158" s="32">
        <f t="shared" si="39"/>
        <v>-0.51458870665983425</v>
      </c>
      <c r="Q158" s="32">
        <f t="shared" si="40"/>
        <v>-9.6984149849158471E-2</v>
      </c>
      <c r="R158" s="32">
        <f t="shared" si="41"/>
        <v>0.21586162773242673</v>
      </c>
      <c r="S158" s="32">
        <f t="shared" si="42"/>
        <v>0.86866731645372819</v>
      </c>
      <c r="T158" s="32">
        <f t="shared" si="43"/>
        <v>-0.12522426979936985</v>
      </c>
      <c r="U158" s="32">
        <f t="shared" si="44"/>
        <v>-9.8649377643389324E-2</v>
      </c>
      <c r="V158" s="37">
        <f t="shared" si="45"/>
        <v>2.7525852681872409E-2</v>
      </c>
      <c r="W158"/>
      <c r="AK158" s="45" t="s">
        <v>78</v>
      </c>
      <c r="AL158" s="45">
        <v>7</v>
      </c>
      <c r="AM158" s="45">
        <v>33</v>
      </c>
      <c r="AN158" s="45">
        <v>4.7142857139999998</v>
      </c>
      <c r="AO158" s="45">
        <v>0.23809523799999999</v>
      </c>
      <c r="AP158" s="45"/>
      <c r="AQ158" s="45"/>
      <c r="AR158" s="45"/>
    </row>
    <row r="159" spans="1:44" x14ac:dyDescent="0.35">
      <c r="A159">
        <v>5</v>
      </c>
      <c r="B159">
        <v>2</v>
      </c>
      <c r="C159">
        <v>5</v>
      </c>
      <c r="D159">
        <v>2</v>
      </c>
      <c r="E159">
        <v>1</v>
      </c>
      <c r="F159">
        <v>4</v>
      </c>
      <c r="G159">
        <v>4</v>
      </c>
      <c r="H159" s="25">
        <f t="shared" si="31"/>
        <v>5</v>
      </c>
      <c r="I159" s="25">
        <f t="shared" si="32"/>
        <v>4</v>
      </c>
      <c r="J159" s="25">
        <f t="shared" si="33"/>
        <v>5</v>
      </c>
      <c r="K159" s="25">
        <f t="shared" si="34"/>
        <v>4</v>
      </c>
      <c r="L159" s="25">
        <f t="shared" si="35"/>
        <v>5</v>
      </c>
      <c r="M159" s="25">
        <f t="shared" si="36"/>
        <v>4</v>
      </c>
      <c r="N159" s="25">
        <f t="shared" si="37"/>
        <v>4</v>
      </c>
      <c r="O159" s="32">
        <f t="shared" si="38"/>
        <v>0.84420266961423651</v>
      </c>
      <c r="P159" s="32">
        <f t="shared" si="39"/>
        <v>0.26360832519077404</v>
      </c>
      <c r="Q159" s="32">
        <f t="shared" si="40"/>
        <v>0.80698132232978881</v>
      </c>
      <c r="R159" s="32">
        <f t="shared" si="41"/>
        <v>0.21586162773242673</v>
      </c>
      <c r="S159" s="32">
        <f t="shared" si="42"/>
        <v>0.86866731645372819</v>
      </c>
      <c r="T159" s="32">
        <f t="shared" si="43"/>
        <v>-0.12522426979936985</v>
      </c>
      <c r="U159" s="32">
        <f t="shared" si="44"/>
        <v>-9.8649377643389324E-2</v>
      </c>
      <c r="V159" s="37">
        <f t="shared" si="45"/>
        <v>0.39649251626831361</v>
      </c>
      <c r="W159"/>
      <c r="AK159" s="45" t="s">
        <v>78</v>
      </c>
      <c r="AL159" s="45">
        <v>7</v>
      </c>
      <c r="AM159" s="45">
        <v>32</v>
      </c>
      <c r="AN159" s="45">
        <v>4.5714285710000002</v>
      </c>
      <c r="AO159" s="45">
        <v>0.28571428599999998</v>
      </c>
      <c r="AP159" s="45"/>
      <c r="AQ159" s="45"/>
      <c r="AR159" s="45"/>
    </row>
    <row r="160" spans="1:44" x14ac:dyDescent="0.35">
      <c r="A160">
        <v>5</v>
      </c>
      <c r="B160">
        <v>3</v>
      </c>
      <c r="C160">
        <v>4</v>
      </c>
      <c r="D160">
        <v>3</v>
      </c>
      <c r="E160">
        <v>1</v>
      </c>
      <c r="F160">
        <v>4</v>
      </c>
      <c r="G160">
        <v>4</v>
      </c>
      <c r="H160" s="25">
        <f t="shared" si="31"/>
        <v>5</v>
      </c>
      <c r="I160" s="25">
        <f t="shared" si="32"/>
        <v>3</v>
      </c>
      <c r="J160" s="25">
        <f t="shared" si="33"/>
        <v>4</v>
      </c>
      <c r="K160" s="25">
        <f t="shared" si="34"/>
        <v>3</v>
      </c>
      <c r="L160" s="25">
        <f t="shared" si="35"/>
        <v>5</v>
      </c>
      <c r="M160" s="25">
        <f t="shared" si="36"/>
        <v>4</v>
      </c>
      <c r="N160" s="25">
        <f t="shared" si="37"/>
        <v>4</v>
      </c>
      <c r="O160" s="32">
        <f t="shared" si="38"/>
        <v>0.84420266961423651</v>
      </c>
      <c r="P160" s="32">
        <f t="shared" si="39"/>
        <v>-0.51458870665983425</v>
      </c>
      <c r="Q160" s="32">
        <f t="shared" si="40"/>
        <v>-9.6984149849158471E-2</v>
      </c>
      <c r="R160" s="32">
        <f t="shared" si="41"/>
        <v>-0.61891576076406762</v>
      </c>
      <c r="S160" s="32">
        <f t="shared" si="42"/>
        <v>0.86866731645372819</v>
      </c>
      <c r="T160" s="32">
        <f t="shared" si="43"/>
        <v>-0.12522426979936985</v>
      </c>
      <c r="U160" s="32">
        <f t="shared" si="44"/>
        <v>-9.8649377643389324E-2</v>
      </c>
      <c r="V160" s="37">
        <f t="shared" si="45"/>
        <v>3.6929674478877884E-2</v>
      </c>
      <c r="W160"/>
      <c r="AK160" s="45" t="s">
        <v>78</v>
      </c>
      <c r="AL160" s="45">
        <v>7</v>
      </c>
      <c r="AM160" s="45">
        <v>29</v>
      </c>
      <c r="AN160" s="45">
        <v>4.1428571429999996</v>
      </c>
      <c r="AO160" s="45">
        <v>0.14285714299999999</v>
      </c>
      <c r="AP160" s="45"/>
      <c r="AQ160" s="45"/>
      <c r="AR160" s="45"/>
    </row>
    <row r="161" spans="1:44" x14ac:dyDescent="0.35">
      <c r="A161">
        <v>3</v>
      </c>
      <c r="B161">
        <v>4</v>
      </c>
      <c r="C161">
        <v>4</v>
      </c>
      <c r="D161">
        <v>3</v>
      </c>
      <c r="E161">
        <v>1</v>
      </c>
      <c r="F161">
        <v>4</v>
      </c>
      <c r="G161">
        <v>4</v>
      </c>
      <c r="H161" s="25">
        <f t="shared" si="31"/>
        <v>3</v>
      </c>
      <c r="I161" s="25">
        <f t="shared" si="32"/>
        <v>2</v>
      </c>
      <c r="J161" s="25">
        <f t="shared" si="33"/>
        <v>4</v>
      </c>
      <c r="K161" s="25">
        <f t="shared" si="34"/>
        <v>3</v>
      </c>
      <c r="L161" s="25">
        <f t="shared" si="35"/>
        <v>5</v>
      </c>
      <c r="M161" s="25">
        <f t="shared" si="36"/>
        <v>4</v>
      </c>
      <c r="N161" s="25">
        <f t="shared" si="37"/>
        <v>4</v>
      </c>
      <c r="O161" s="32">
        <f t="shared" si="38"/>
        <v>-0.95700561253682881</v>
      </c>
      <c r="P161" s="32">
        <f t="shared" si="39"/>
        <v>-1.2927857385104427</v>
      </c>
      <c r="Q161" s="32">
        <f t="shared" si="40"/>
        <v>-9.6984149849158471E-2</v>
      </c>
      <c r="R161" s="32">
        <f t="shared" si="41"/>
        <v>-0.61891576076406762</v>
      </c>
      <c r="S161" s="32">
        <f t="shared" si="42"/>
        <v>0.86866731645372819</v>
      </c>
      <c r="T161" s="32">
        <f t="shared" si="43"/>
        <v>-0.12522426979936985</v>
      </c>
      <c r="U161" s="32">
        <f t="shared" si="44"/>
        <v>-9.8649377643389324E-2</v>
      </c>
      <c r="V161" s="37">
        <f t="shared" si="45"/>
        <v>-0.33155679894993256</v>
      </c>
      <c r="W161"/>
      <c r="AK161" s="45" t="s">
        <v>78</v>
      </c>
      <c r="AL161" s="45">
        <v>7</v>
      </c>
      <c r="AM161" s="45">
        <v>28</v>
      </c>
      <c r="AN161" s="45">
        <v>4</v>
      </c>
      <c r="AO161" s="45">
        <v>0.33333333300000001</v>
      </c>
      <c r="AP161" s="45"/>
      <c r="AQ161" s="45"/>
      <c r="AR161" s="45"/>
    </row>
    <row r="162" spans="1:44" x14ac:dyDescent="0.35">
      <c r="A162">
        <v>3</v>
      </c>
      <c r="B162">
        <v>1</v>
      </c>
      <c r="C162">
        <v>5</v>
      </c>
      <c r="D162">
        <v>3</v>
      </c>
      <c r="E162">
        <v>1</v>
      </c>
      <c r="F162">
        <v>4</v>
      </c>
      <c r="G162">
        <v>4</v>
      </c>
      <c r="H162" s="25">
        <f t="shared" si="31"/>
        <v>3</v>
      </c>
      <c r="I162" s="25">
        <f t="shared" si="32"/>
        <v>5</v>
      </c>
      <c r="J162" s="25">
        <f t="shared" si="33"/>
        <v>5</v>
      </c>
      <c r="K162" s="25">
        <f t="shared" si="34"/>
        <v>3</v>
      </c>
      <c r="L162" s="25">
        <f t="shared" si="35"/>
        <v>5</v>
      </c>
      <c r="M162" s="25">
        <f t="shared" si="36"/>
        <v>4</v>
      </c>
      <c r="N162" s="25">
        <f t="shared" si="37"/>
        <v>4</v>
      </c>
      <c r="O162" s="32">
        <f t="shared" si="38"/>
        <v>-0.95700561253682881</v>
      </c>
      <c r="P162" s="32">
        <f t="shared" si="39"/>
        <v>1.0418053570413823</v>
      </c>
      <c r="Q162" s="32">
        <f t="shared" si="40"/>
        <v>0.80698132232978881</v>
      </c>
      <c r="R162" s="32">
        <f t="shared" si="41"/>
        <v>-0.61891576076406762</v>
      </c>
      <c r="S162" s="32">
        <f t="shared" si="42"/>
        <v>0.86866731645372819</v>
      </c>
      <c r="T162" s="32">
        <f t="shared" si="43"/>
        <v>-0.12522426979936985</v>
      </c>
      <c r="U162" s="32">
        <f t="shared" si="44"/>
        <v>-9.8649377643389324E-2</v>
      </c>
      <c r="V162" s="37">
        <f t="shared" si="45"/>
        <v>0.13109413929732053</v>
      </c>
      <c r="W162"/>
      <c r="AK162" s="45" t="s">
        <v>78</v>
      </c>
      <c r="AL162" s="45">
        <v>7</v>
      </c>
      <c r="AM162" s="45">
        <v>31</v>
      </c>
      <c r="AN162" s="45">
        <v>4.4285714289999998</v>
      </c>
      <c r="AO162" s="45">
        <v>0.28571428599999998</v>
      </c>
      <c r="AP162" s="45"/>
      <c r="AQ162" s="45"/>
      <c r="AR162" s="45"/>
    </row>
    <row r="163" spans="1:44" x14ac:dyDescent="0.35">
      <c r="A163">
        <v>4</v>
      </c>
      <c r="B163">
        <v>1</v>
      </c>
      <c r="C163">
        <v>5</v>
      </c>
      <c r="D163">
        <v>3</v>
      </c>
      <c r="E163">
        <v>1</v>
      </c>
      <c r="F163">
        <v>4</v>
      </c>
      <c r="G163">
        <v>4</v>
      </c>
      <c r="H163" s="25">
        <f t="shared" si="31"/>
        <v>4</v>
      </c>
      <c r="I163" s="25">
        <f t="shared" si="32"/>
        <v>5</v>
      </c>
      <c r="J163" s="25">
        <f t="shared" si="33"/>
        <v>5</v>
      </c>
      <c r="K163" s="25">
        <f t="shared" si="34"/>
        <v>3</v>
      </c>
      <c r="L163" s="25">
        <f t="shared" si="35"/>
        <v>5</v>
      </c>
      <c r="M163" s="25">
        <f t="shared" si="36"/>
        <v>4</v>
      </c>
      <c r="N163" s="25">
        <f t="shared" si="37"/>
        <v>4</v>
      </c>
      <c r="O163" s="32">
        <f t="shared" si="38"/>
        <v>-5.6401471461296142E-2</v>
      </c>
      <c r="P163" s="32">
        <f t="shared" si="39"/>
        <v>1.0418053570413823</v>
      </c>
      <c r="Q163" s="32">
        <f t="shared" si="40"/>
        <v>0.80698132232978881</v>
      </c>
      <c r="R163" s="32">
        <f t="shared" si="41"/>
        <v>-0.61891576076406762</v>
      </c>
      <c r="S163" s="32">
        <f t="shared" si="42"/>
        <v>0.86866731645372819</v>
      </c>
      <c r="T163" s="32">
        <f t="shared" si="43"/>
        <v>-0.12522426979936985</v>
      </c>
      <c r="U163" s="32">
        <f t="shared" si="44"/>
        <v>-9.8649377643389324E-2</v>
      </c>
      <c r="V163" s="37">
        <f t="shared" si="45"/>
        <v>0.25975187373668235</v>
      </c>
      <c r="W163"/>
      <c r="AK163" s="45" t="s">
        <v>78</v>
      </c>
      <c r="AL163" s="45">
        <v>7</v>
      </c>
      <c r="AM163" s="45">
        <v>28</v>
      </c>
      <c r="AN163" s="45">
        <v>4</v>
      </c>
      <c r="AO163" s="45">
        <v>0.66666666699999999</v>
      </c>
      <c r="AP163" s="45"/>
      <c r="AQ163" s="45"/>
      <c r="AR163" s="45"/>
    </row>
    <row r="164" spans="1:44" x14ac:dyDescent="0.35">
      <c r="A164">
        <v>4</v>
      </c>
      <c r="B164">
        <v>3</v>
      </c>
      <c r="C164">
        <v>5</v>
      </c>
      <c r="D164">
        <v>3</v>
      </c>
      <c r="E164">
        <v>1</v>
      </c>
      <c r="F164">
        <v>4</v>
      </c>
      <c r="G164">
        <v>4</v>
      </c>
      <c r="H164" s="25">
        <f t="shared" si="31"/>
        <v>4</v>
      </c>
      <c r="I164" s="25">
        <f t="shared" si="32"/>
        <v>3</v>
      </c>
      <c r="J164" s="25">
        <f t="shared" si="33"/>
        <v>5</v>
      </c>
      <c r="K164" s="25">
        <f t="shared" si="34"/>
        <v>3</v>
      </c>
      <c r="L164" s="25">
        <f t="shared" si="35"/>
        <v>5</v>
      </c>
      <c r="M164" s="25">
        <f t="shared" si="36"/>
        <v>4</v>
      </c>
      <c r="N164" s="25">
        <f t="shared" si="37"/>
        <v>4</v>
      </c>
      <c r="O164" s="32">
        <f t="shared" si="38"/>
        <v>-5.6401471461296142E-2</v>
      </c>
      <c r="P164" s="32">
        <f t="shared" si="39"/>
        <v>-0.51458870665983425</v>
      </c>
      <c r="Q164" s="32">
        <f t="shared" si="40"/>
        <v>0.80698132232978881</v>
      </c>
      <c r="R164" s="32">
        <f t="shared" si="41"/>
        <v>-0.61891576076406762</v>
      </c>
      <c r="S164" s="32">
        <f t="shared" si="42"/>
        <v>0.86866731645372819</v>
      </c>
      <c r="T164" s="32">
        <f t="shared" si="43"/>
        <v>-0.12522426979936985</v>
      </c>
      <c r="U164" s="32">
        <f t="shared" si="44"/>
        <v>-9.8649377643389324E-2</v>
      </c>
      <c r="V164" s="37">
        <f t="shared" si="45"/>
        <v>3.7409864636508541E-2</v>
      </c>
      <c r="W164"/>
      <c r="AK164" s="45" t="s">
        <v>78</v>
      </c>
      <c r="AL164" s="45">
        <v>7</v>
      </c>
      <c r="AM164" s="45">
        <v>25</v>
      </c>
      <c r="AN164" s="45">
        <v>3.5714285710000002</v>
      </c>
      <c r="AO164" s="45">
        <v>0.95238095199999995</v>
      </c>
      <c r="AP164" s="45"/>
      <c r="AQ164" s="45"/>
      <c r="AR164" s="45"/>
    </row>
    <row r="165" spans="1:44" x14ac:dyDescent="0.35">
      <c r="A165">
        <v>3</v>
      </c>
      <c r="B165">
        <v>1</v>
      </c>
      <c r="C165">
        <v>1</v>
      </c>
      <c r="D165">
        <v>1</v>
      </c>
      <c r="E165">
        <v>2</v>
      </c>
      <c r="F165">
        <v>4</v>
      </c>
      <c r="G165">
        <v>4</v>
      </c>
      <c r="H165" s="25">
        <f t="shared" si="31"/>
        <v>3</v>
      </c>
      <c r="I165" s="25">
        <f t="shared" si="32"/>
        <v>5</v>
      </c>
      <c r="J165" s="25">
        <f t="shared" si="33"/>
        <v>1</v>
      </c>
      <c r="K165" s="25">
        <f t="shared" si="34"/>
        <v>5</v>
      </c>
      <c r="L165" s="25">
        <f t="shared" si="35"/>
        <v>4</v>
      </c>
      <c r="M165" s="25">
        <f t="shared" si="36"/>
        <v>4</v>
      </c>
      <c r="N165" s="25">
        <f t="shared" si="37"/>
        <v>4</v>
      </c>
      <c r="O165" s="32">
        <f t="shared" si="38"/>
        <v>-0.95700561253682881</v>
      </c>
      <c r="P165" s="32">
        <f t="shared" si="39"/>
        <v>1.0418053570413823</v>
      </c>
      <c r="Q165" s="32">
        <f t="shared" si="40"/>
        <v>-2.8088805663860001</v>
      </c>
      <c r="R165" s="32">
        <f t="shared" si="41"/>
        <v>1.0506390162289212</v>
      </c>
      <c r="S165" s="32">
        <f t="shared" si="42"/>
        <v>2.4129647679270144E-2</v>
      </c>
      <c r="T165" s="32">
        <f t="shared" si="43"/>
        <v>-0.12522426979936985</v>
      </c>
      <c r="U165" s="32">
        <f t="shared" si="44"/>
        <v>-9.8649377643389324E-2</v>
      </c>
      <c r="V165" s="37">
        <f t="shared" si="45"/>
        <v>-0.26759797220228781</v>
      </c>
      <c r="W165"/>
      <c r="AK165" s="45" t="s">
        <v>78</v>
      </c>
      <c r="AL165" s="45">
        <v>7</v>
      </c>
      <c r="AM165" s="45">
        <v>29</v>
      </c>
      <c r="AN165" s="45">
        <v>4.1428571429999996</v>
      </c>
      <c r="AO165" s="45">
        <v>0.80952380999999995</v>
      </c>
      <c r="AP165" s="45"/>
      <c r="AQ165" s="45"/>
      <c r="AR165" s="45"/>
    </row>
    <row r="166" spans="1:44" x14ac:dyDescent="0.35">
      <c r="A166">
        <v>4</v>
      </c>
      <c r="B166">
        <v>2</v>
      </c>
      <c r="C166">
        <v>5</v>
      </c>
      <c r="D166">
        <v>1</v>
      </c>
      <c r="E166">
        <v>2</v>
      </c>
      <c r="F166">
        <v>4</v>
      </c>
      <c r="G166">
        <v>4</v>
      </c>
      <c r="H166" s="25">
        <f t="shared" si="31"/>
        <v>4</v>
      </c>
      <c r="I166" s="25">
        <f t="shared" si="32"/>
        <v>4</v>
      </c>
      <c r="J166" s="25">
        <f t="shared" si="33"/>
        <v>5</v>
      </c>
      <c r="K166" s="25">
        <f t="shared" si="34"/>
        <v>5</v>
      </c>
      <c r="L166" s="25">
        <f t="shared" si="35"/>
        <v>4</v>
      </c>
      <c r="M166" s="25">
        <f t="shared" si="36"/>
        <v>4</v>
      </c>
      <c r="N166" s="25">
        <f t="shared" si="37"/>
        <v>4</v>
      </c>
      <c r="O166" s="32">
        <f t="shared" si="38"/>
        <v>-5.6401471461296142E-2</v>
      </c>
      <c r="P166" s="32">
        <f t="shared" si="39"/>
        <v>0.26360832519077404</v>
      </c>
      <c r="Q166" s="32">
        <f t="shared" si="40"/>
        <v>0.80698132232978881</v>
      </c>
      <c r="R166" s="32">
        <f t="shared" si="41"/>
        <v>1.0506390162289212</v>
      </c>
      <c r="S166" s="32">
        <f t="shared" si="42"/>
        <v>2.4129647679270144E-2</v>
      </c>
      <c r="T166" s="32">
        <f t="shared" si="43"/>
        <v>-0.12522426979936985</v>
      </c>
      <c r="U166" s="32">
        <f t="shared" si="44"/>
        <v>-9.8649377643389324E-2</v>
      </c>
      <c r="V166" s="37">
        <f t="shared" si="45"/>
        <v>0.26644045607495698</v>
      </c>
      <c r="W166"/>
      <c r="AK166" s="45" t="s">
        <v>78</v>
      </c>
      <c r="AL166" s="45">
        <v>7</v>
      </c>
      <c r="AM166" s="45">
        <v>30</v>
      </c>
      <c r="AN166" s="45">
        <v>4.2857142860000002</v>
      </c>
      <c r="AO166" s="45">
        <v>0.571428571</v>
      </c>
      <c r="AP166" s="45"/>
      <c r="AQ166" s="45"/>
      <c r="AR166" s="45"/>
    </row>
    <row r="167" spans="1:44" x14ac:dyDescent="0.35">
      <c r="A167">
        <v>3</v>
      </c>
      <c r="B167">
        <v>1</v>
      </c>
      <c r="C167">
        <v>2</v>
      </c>
      <c r="D167">
        <v>2</v>
      </c>
      <c r="E167">
        <v>2</v>
      </c>
      <c r="F167">
        <v>4</v>
      </c>
      <c r="G167">
        <v>4</v>
      </c>
      <c r="H167" s="25">
        <f t="shared" si="31"/>
        <v>3</v>
      </c>
      <c r="I167" s="25">
        <f t="shared" si="32"/>
        <v>5</v>
      </c>
      <c r="J167" s="25">
        <f t="shared" si="33"/>
        <v>2</v>
      </c>
      <c r="K167" s="25">
        <f t="shared" si="34"/>
        <v>4</v>
      </c>
      <c r="L167" s="25">
        <f t="shared" si="35"/>
        <v>4</v>
      </c>
      <c r="M167" s="25">
        <f t="shared" si="36"/>
        <v>4</v>
      </c>
      <c r="N167" s="25">
        <f t="shared" si="37"/>
        <v>4</v>
      </c>
      <c r="O167" s="32">
        <f t="shared" si="38"/>
        <v>-0.95700561253682881</v>
      </c>
      <c r="P167" s="32">
        <f t="shared" si="39"/>
        <v>1.0418053570413823</v>
      </c>
      <c r="Q167" s="32">
        <f t="shared" si="40"/>
        <v>-1.904915094207053</v>
      </c>
      <c r="R167" s="32">
        <f t="shared" si="41"/>
        <v>0.21586162773242673</v>
      </c>
      <c r="S167" s="32">
        <f t="shared" si="42"/>
        <v>2.4129647679270144E-2</v>
      </c>
      <c r="T167" s="32">
        <f t="shared" si="43"/>
        <v>-0.12522426979936985</v>
      </c>
      <c r="U167" s="32">
        <f t="shared" si="44"/>
        <v>-9.8649377643389324E-2</v>
      </c>
      <c r="V167" s="37">
        <f t="shared" si="45"/>
        <v>-0.25771396024765164</v>
      </c>
      <c r="W167"/>
      <c r="AK167" s="45" t="s">
        <v>78</v>
      </c>
      <c r="AL167" s="45">
        <v>7</v>
      </c>
      <c r="AM167" s="45">
        <v>28</v>
      </c>
      <c r="AN167" s="45">
        <v>4</v>
      </c>
      <c r="AO167" s="45">
        <v>0.66666666699999999</v>
      </c>
      <c r="AP167" s="45"/>
      <c r="AQ167" s="45"/>
      <c r="AR167" s="45"/>
    </row>
    <row r="168" spans="1:44" x14ac:dyDescent="0.35">
      <c r="A168">
        <v>4</v>
      </c>
      <c r="B168">
        <v>1</v>
      </c>
      <c r="C168">
        <v>2</v>
      </c>
      <c r="D168">
        <v>2</v>
      </c>
      <c r="E168">
        <v>2</v>
      </c>
      <c r="F168">
        <v>4</v>
      </c>
      <c r="G168">
        <v>4</v>
      </c>
      <c r="H168" s="25">
        <f t="shared" si="31"/>
        <v>4</v>
      </c>
      <c r="I168" s="25">
        <f t="shared" si="32"/>
        <v>5</v>
      </c>
      <c r="J168" s="25">
        <f t="shared" si="33"/>
        <v>2</v>
      </c>
      <c r="K168" s="25">
        <f t="shared" si="34"/>
        <v>4</v>
      </c>
      <c r="L168" s="25">
        <f t="shared" si="35"/>
        <v>4</v>
      </c>
      <c r="M168" s="25">
        <f t="shared" si="36"/>
        <v>4</v>
      </c>
      <c r="N168" s="25">
        <f t="shared" si="37"/>
        <v>4</v>
      </c>
      <c r="O168" s="32">
        <f t="shared" si="38"/>
        <v>-5.6401471461296142E-2</v>
      </c>
      <c r="P168" s="32">
        <f t="shared" si="39"/>
        <v>1.0418053570413823</v>
      </c>
      <c r="Q168" s="32">
        <f t="shared" si="40"/>
        <v>-1.904915094207053</v>
      </c>
      <c r="R168" s="32">
        <f t="shared" si="41"/>
        <v>0.21586162773242673</v>
      </c>
      <c r="S168" s="32">
        <f t="shared" si="42"/>
        <v>2.4129647679270144E-2</v>
      </c>
      <c r="T168" s="32">
        <f t="shared" si="43"/>
        <v>-0.12522426979936985</v>
      </c>
      <c r="U168" s="32">
        <f t="shared" si="44"/>
        <v>-9.8649377643389324E-2</v>
      </c>
      <c r="V168" s="37">
        <f t="shared" si="45"/>
        <v>-0.12905622580828985</v>
      </c>
      <c r="W168"/>
      <c r="AK168" s="45" t="s">
        <v>78</v>
      </c>
      <c r="AL168" s="45">
        <v>7</v>
      </c>
      <c r="AM168" s="45">
        <v>26</v>
      </c>
      <c r="AN168" s="45">
        <v>3.7142857139999998</v>
      </c>
      <c r="AO168" s="45">
        <v>1.904761905</v>
      </c>
      <c r="AP168" s="45"/>
      <c r="AQ168" s="45"/>
      <c r="AR168" s="45"/>
    </row>
    <row r="169" spans="1:44" x14ac:dyDescent="0.35">
      <c r="A169">
        <v>4</v>
      </c>
      <c r="B169">
        <v>2</v>
      </c>
      <c r="C169">
        <v>3</v>
      </c>
      <c r="D169">
        <v>2</v>
      </c>
      <c r="E169">
        <v>2</v>
      </c>
      <c r="F169">
        <v>4</v>
      </c>
      <c r="G169">
        <v>4</v>
      </c>
      <c r="H169" s="25">
        <f t="shared" si="31"/>
        <v>4</v>
      </c>
      <c r="I169" s="25">
        <f t="shared" si="32"/>
        <v>4</v>
      </c>
      <c r="J169" s="25">
        <f t="shared" si="33"/>
        <v>3</v>
      </c>
      <c r="K169" s="25">
        <f t="shared" si="34"/>
        <v>4</v>
      </c>
      <c r="L169" s="25">
        <f t="shared" si="35"/>
        <v>4</v>
      </c>
      <c r="M169" s="25">
        <f t="shared" si="36"/>
        <v>4</v>
      </c>
      <c r="N169" s="25">
        <f t="shared" si="37"/>
        <v>4</v>
      </c>
      <c r="O169" s="32">
        <f t="shared" si="38"/>
        <v>-5.6401471461296142E-2</v>
      </c>
      <c r="P169" s="32">
        <f t="shared" si="39"/>
        <v>0.26360832519077404</v>
      </c>
      <c r="Q169" s="32">
        <f t="shared" si="40"/>
        <v>-1.0009496220281058</v>
      </c>
      <c r="R169" s="32">
        <f t="shared" si="41"/>
        <v>0.21586162773242673</v>
      </c>
      <c r="S169" s="32">
        <f t="shared" si="42"/>
        <v>2.4129647679270144E-2</v>
      </c>
      <c r="T169" s="32">
        <f t="shared" si="43"/>
        <v>-0.12522426979936985</v>
      </c>
      <c r="U169" s="32">
        <f t="shared" si="44"/>
        <v>-9.8649377643389324E-2</v>
      </c>
      <c r="V169" s="37">
        <f t="shared" si="45"/>
        <v>-0.11108930576138432</v>
      </c>
      <c r="W169"/>
      <c r="AK169" s="45" t="s">
        <v>78</v>
      </c>
      <c r="AL169" s="45">
        <v>7</v>
      </c>
      <c r="AM169" s="45">
        <v>30</v>
      </c>
      <c r="AN169" s="45">
        <v>4.2857142860000002</v>
      </c>
      <c r="AO169" s="45">
        <v>0.23809523799999999</v>
      </c>
      <c r="AP169" s="45"/>
      <c r="AQ169" s="45"/>
      <c r="AR169" s="45"/>
    </row>
    <row r="170" spans="1:44" x14ac:dyDescent="0.35">
      <c r="A170">
        <v>3</v>
      </c>
      <c r="B170">
        <v>1</v>
      </c>
      <c r="C170">
        <v>4</v>
      </c>
      <c r="D170">
        <v>2</v>
      </c>
      <c r="E170">
        <v>2</v>
      </c>
      <c r="F170">
        <v>4</v>
      </c>
      <c r="G170">
        <v>4</v>
      </c>
      <c r="H170" s="25">
        <f t="shared" si="31"/>
        <v>3</v>
      </c>
      <c r="I170" s="25">
        <f t="shared" si="32"/>
        <v>5</v>
      </c>
      <c r="J170" s="25">
        <f t="shared" si="33"/>
        <v>4</v>
      </c>
      <c r="K170" s="25">
        <f t="shared" si="34"/>
        <v>4</v>
      </c>
      <c r="L170" s="25">
        <f t="shared" si="35"/>
        <v>4</v>
      </c>
      <c r="M170" s="25">
        <f t="shared" si="36"/>
        <v>4</v>
      </c>
      <c r="N170" s="25">
        <f t="shared" si="37"/>
        <v>4</v>
      </c>
      <c r="O170" s="32">
        <f t="shared" si="38"/>
        <v>-0.95700561253682881</v>
      </c>
      <c r="P170" s="32">
        <f t="shared" si="39"/>
        <v>1.0418053570413823</v>
      </c>
      <c r="Q170" s="32">
        <f t="shared" si="40"/>
        <v>-9.6984149849158471E-2</v>
      </c>
      <c r="R170" s="32">
        <f t="shared" si="41"/>
        <v>0.21586162773242673</v>
      </c>
      <c r="S170" s="32">
        <f t="shared" si="42"/>
        <v>2.4129647679270144E-2</v>
      </c>
      <c r="T170" s="32">
        <f t="shared" si="43"/>
        <v>-0.12522426979936985</v>
      </c>
      <c r="U170" s="32">
        <f t="shared" si="44"/>
        <v>-9.8649377643389324E-2</v>
      </c>
      <c r="V170" s="37">
        <f t="shared" si="45"/>
        <v>5.6188894633324839E-4</v>
      </c>
      <c r="W170"/>
      <c r="AK170" s="45" t="s">
        <v>78</v>
      </c>
      <c r="AL170" s="45">
        <v>7</v>
      </c>
      <c r="AM170" s="45">
        <v>26</v>
      </c>
      <c r="AN170" s="45">
        <v>3.7142857139999998</v>
      </c>
      <c r="AO170" s="45">
        <v>0.90476190499999998</v>
      </c>
      <c r="AP170" s="45"/>
      <c r="AQ170" s="45"/>
      <c r="AR170" s="45"/>
    </row>
    <row r="171" spans="1:44" x14ac:dyDescent="0.35">
      <c r="A171">
        <v>3</v>
      </c>
      <c r="B171">
        <v>2</v>
      </c>
      <c r="C171">
        <v>4</v>
      </c>
      <c r="D171">
        <v>2</v>
      </c>
      <c r="E171">
        <v>2</v>
      </c>
      <c r="F171">
        <v>4</v>
      </c>
      <c r="G171">
        <v>4</v>
      </c>
      <c r="H171" s="25">
        <f t="shared" si="31"/>
        <v>3</v>
      </c>
      <c r="I171" s="25">
        <f t="shared" si="32"/>
        <v>4</v>
      </c>
      <c r="J171" s="25">
        <f t="shared" si="33"/>
        <v>4</v>
      </c>
      <c r="K171" s="25">
        <f t="shared" si="34"/>
        <v>4</v>
      </c>
      <c r="L171" s="25">
        <f t="shared" si="35"/>
        <v>4</v>
      </c>
      <c r="M171" s="25">
        <f t="shared" si="36"/>
        <v>4</v>
      </c>
      <c r="N171" s="25">
        <f t="shared" si="37"/>
        <v>4</v>
      </c>
      <c r="O171" s="32">
        <f t="shared" si="38"/>
        <v>-0.95700561253682881</v>
      </c>
      <c r="P171" s="32">
        <f t="shared" si="39"/>
        <v>0.26360832519077404</v>
      </c>
      <c r="Q171" s="32">
        <f t="shared" si="40"/>
        <v>-9.6984149849158471E-2</v>
      </c>
      <c r="R171" s="32">
        <f t="shared" si="41"/>
        <v>0.21586162773242673</v>
      </c>
      <c r="S171" s="32">
        <f t="shared" si="42"/>
        <v>2.4129647679270144E-2</v>
      </c>
      <c r="T171" s="32">
        <f t="shared" si="43"/>
        <v>-0.12522426979936985</v>
      </c>
      <c r="U171" s="32">
        <f t="shared" si="44"/>
        <v>-9.8649377643389324E-2</v>
      </c>
      <c r="V171" s="37">
        <f t="shared" si="45"/>
        <v>-0.11060911560375365</v>
      </c>
      <c r="W171"/>
      <c r="AK171" s="45" t="s">
        <v>78</v>
      </c>
      <c r="AL171" s="45">
        <v>7</v>
      </c>
      <c r="AM171" s="45">
        <v>27</v>
      </c>
      <c r="AN171" s="45">
        <v>3.8571428569999999</v>
      </c>
      <c r="AO171" s="45">
        <v>0.80952380999999995</v>
      </c>
      <c r="AP171" s="45"/>
      <c r="AQ171" s="45"/>
      <c r="AR171" s="45"/>
    </row>
    <row r="172" spans="1:44" x14ac:dyDescent="0.35">
      <c r="A172">
        <v>4</v>
      </c>
      <c r="B172">
        <v>2</v>
      </c>
      <c r="C172">
        <v>4</v>
      </c>
      <c r="D172">
        <v>2</v>
      </c>
      <c r="E172">
        <v>2</v>
      </c>
      <c r="F172">
        <v>4</v>
      </c>
      <c r="G172">
        <v>4</v>
      </c>
      <c r="H172" s="25">
        <f t="shared" si="31"/>
        <v>4</v>
      </c>
      <c r="I172" s="25">
        <f t="shared" si="32"/>
        <v>4</v>
      </c>
      <c r="J172" s="25">
        <f t="shared" si="33"/>
        <v>4</v>
      </c>
      <c r="K172" s="25">
        <f t="shared" si="34"/>
        <v>4</v>
      </c>
      <c r="L172" s="25">
        <f t="shared" si="35"/>
        <v>4</v>
      </c>
      <c r="M172" s="25">
        <f t="shared" si="36"/>
        <v>4</v>
      </c>
      <c r="N172" s="25">
        <f t="shared" si="37"/>
        <v>4</v>
      </c>
      <c r="O172" s="32">
        <f t="shared" si="38"/>
        <v>-5.6401471461296142E-2</v>
      </c>
      <c r="P172" s="32">
        <f t="shared" si="39"/>
        <v>0.26360832519077404</v>
      </c>
      <c r="Q172" s="32">
        <f t="shared" si="40"/>
        <v>-9.6984149849158471E-2</v>
      </c>
      <c r="R172" s="32">
        <f t="shared" si="41"/>
        <v>0.21586162773242673</v>
      </c>
      <c r="S172" s="32">
        <f t="shared" si="42"/>
        <v>2.4129647679270144E-2</v>
      </c>
      <c r="T172" s="32">
        <f t="shared" si="43"/>
        <v>-0.12522426979936985</v>
      </c>
      <c r="U172" s="32">
        <f t="shared" si="44"/>
        <v>-9.8649377643389324E-2</v>
      </c>
      <c r="V172" s="37">
        <f t="shared" si="45"/>
        <v>1.8048618835608154E-2</v>
      </c>
      <c r="W172"/>
      <c r="AK172" s="45" t="s">
        <v>78</v>
      </c>
      <c r="AL172" s="45">
        <v>7</v>
      </c>
      <c r="AM172" s="45">
        <v>27</v>
      </c>
      <c r="AN172" s="45">
        <v>3.8571428569999999</v>
      </c>
      <c r="AO172" s="45">
        <v>0.14285714299999999</v>
      </c>
      <c r="AP172" s="45"/>
      <c r="AQ172" s="45"/>
      <c r="AR172" s="45"/>
    </row>
    <row r="173" spans="1:44" x14ac:dyDescent="0.35">
      <c r="A173">
        <v>4</v>
      </c>
      <c r="B173">
        <v>2</v>
      </c>
      <c r="C173">
        <v>4</v>
      </c>
      <c r="D173">
        <v>2</v>
      </c>
      <c r="E173">
        <v>2</v>
      </c>
      <c r="F173">
        <v>4</v>
      </c>
      <c r="G173">
        <v>4</v>
      </c>
      <c r="H173" s="25">
        <f t="shared" si="31"/>
        <v>4</v>
      </c>
      <c r="I173" s="25">
        <f t="shared" si="32"/>
        <v>4</v>
      </c>
      <c r="J173" s="25">
        <f t="shared" si="33"/>
        <v>4</v>
      </c>
      <c r="K173" s="25">
        <f t="shared" si="34"/>
        <v>4</v>
      </c>
      <c r="L173" s="25">
        <f t="shared" si="35"/>
        <v>4</v>
      </c>
      <c r="M173" s="25">
        <f t="shared" si="36"/>
        <v>4</v>
      </c>
      <c r="N173" s="25">
        <f t="shared" si="37"/>
        <v>4</v>
      </c>
      <c r="O173" s="32">
        <f t="shared" si="38"/>
        <v>-5.6401471461296142E-2</v>
      </c>
      <c r="P173" s="32">
        <f t="shared" si="39"/>
        <v>0.26360832519077404</v>
      </c>
      <c r="Q173" s="32">
        <f t="shared" si="40"/>
        <v>-9.6984149849158471E-2</v>
      </c>
      <c r="R173" s="32">
        <f t="shared" si="41"/>
        <v>0.21586162773242673</v>
      </c>
      <c r="S173" s="32">
        <f t="shared" si="42"/>
        <v>2.4129647679270144E-2</v>
      </c>
      <c r="T173" s="32">
        <f t="shared" si="43"/>
        <v>-0.12522426979936985</v>
      </c>
      <c r="U173" s="32">
        <f t="shared" si="44"/>
        <v>-9.8649377643389324E-2</v>
      </c>
      <c r="V173" s="37">
        <f t="shared" si="45"/>
        <v>1.8048618835608154E-2</v>
      </c>
      <c r="W173"/>
      <c r="AK173" s="45" t="s">
        <v>78</v>
      </c>
      <c r="AL173" s="45">
        <v>7</v>
      </c>
      <c r="AM173" s="45">
        <v>28</v>
      </c>
      <c r="AN173" s="45">
        <v>4</v>
      </c>
      <c r="AO173" s="45">
        <v>0.33333333300000001</v>
      </c>
      <c r="AP173" s="45"/>
      <c r="AQ173" s="45"/>
      <c r="AR173" s="45"/>
    </row>
    <row r="174" spans="1:44" x14ac:dyDescent="0.35">
      <c r="A174">
        <v>4</v>
      </c>
      <c r="B174">
        <v>2</v>
      </c>
      <c r="C174">
        <v>4</v>
      </c>
      <c r="D174">
        <v>2</v>
      </c>
      <c r="E174">
        <v>2</v>
      </c>
      <c r="F174">
        <v>4</v>
      </c>
      <c r="G174">
        <v>4</v>
      </c>
      <c r="H174" s="25">
        <f t="shared" si="31"/>
        <v>4</v>
      </c>
      <c r="I174" s="25">
        <f t="shared" si="32"/>
        <v>4</v>
      </c>
      <c r="J174" s="25">
        <f t="shared" si="33"/>
        <v>4</v>
      </c>
      <c r="K174" s="25">
        <f t="shared" si="34"/>
        <v>4</v>
      </c>
      <c r="L174" s="25">
        <f t="shared" si="35"/>
        <v>4</v>
      </c>
      <c r="M174" s="25">
        <f t="shared" si="36"/>
        <v>4</v>
      </c>
      <c r="N174" s="25">
        <f t="shared" si="37"/>
        <v>4</v>
      </c>
      <c r="O174" s="32">
        <f t="shared" si="38"/>
        <v>-5.6401471461296142E-2</v>
      </c>
      <c r="P174" s="32">
        <f t="shared" si="39"/>
        <v>0.26360832519077404</v>
      </c>
      <c r="Q174" s="32">
        <f t="shared" si="40"/>
        <v>-9.6984149849158471E-2</v>
      </c>
      <c r="R174" s="32">
        <f t="shared" si="41"/>
        <v>0.21586162773242673</v>
      </c>
      <c r="S174" s="32">
        <f t="shared" si="42"/>
        <v>2.4129647679270144E-2</v>
      </c>
      <c r="T174" s="32">
        <f t="shared" si="43"/>
        <v>-0.12522426979936985</v>
      </c>
      <c r="U174" s="32">
        <f t="shared" si="44"/>
        <v>-9.8649377643389324E-2</v>
      </c>
      <c r="V174" s="37">
        <f t="shared" si="45"/>
        <v>1.8048618835608154E-2</v>
      </c>
      <c r="W174"/>
      <c r="AK174" s="45" t="s">
        <v>78</v>
      </c>
      <c r="AL174" s="45">
        <v>7</v>
      </c>
      <c r="AM174" s="45">
        <v>27</v>
      </c>
      <c r="AN174" s="45">
        <v>3.8571428569999999</v>
      </c>
      <c r="AO174" s="45">
        <v>0.14285714299999999</v>
      </c>
      <c r="AP174" s="45"/>
      <c r="AQ174" s="45"/>
      <c r="AR174" s="45"/>
    </row>
    <row r="175" spans="1:44" x14ac:dyDescent="0.35">
      <c r="A175">
        <v>4</v>
      </c>
      <c r="B175">
        <v>2</v>
      </c>
      <c r="C175">
        <v>4</v>
      </c>
      <c r="D175">
        <v>2</v>
      </c>
      <c r="E175">
        <v>2</v>
      </c>
      <c r="F175">
        <v>4</v>
      </c>
      <c r="G175">
        <v>4</v>
      </c>
      <c r="H175" s="25">
        <f t="shared" si="31"/>
        <v>4</v>
      </c>
      <c r="I175" s="25">
        <f t="shared" si="32"/>
        <v>4</v>
      </c>
      <c r="J175" s="25">
        <f t="shared" si="33"/>
        <v>4</v>
      </c>
      <c r="K175" s="25">
        <f t="shared" si="34"/>
        <v>4</v>
      </c>
      <c r="L175" s="25">
        <f t="shared" si="35"/>
        <v>4</v>
      </c>
      <c r="M175" s="25">
        <f t="shared" si="36"/>
        <v>4</v>
      </c>
      <c r="N175" s="25">
        <f t="shared" si="37"/>
        <v>4</v>
      </c>
      <c r="O175" s="32">
        <f t="shared" si="38"/>
        <v>-5.6401471461296142E-2</v>
      </c>
      <c r="P175" s="32">
        <f t="shared" si="39"/>
        <v>0.26360832519077404</v>
      </c>
      <c r="Q175" s="32">
        <f t="shared" si="40"/>
        <v>-9.6984149849158471E-2</v>
      </c>
      <c r="R175" s="32">
        <f t="shared" si="41"/>
        <v>0.21586162773242673</v>
      </c>
      <c r="S175" s="32">
        <f t="shared" si="42"/>
        <v>2.4129647679270144E-2</v>
      </c>
      <c r="T175" s="32">
        <f t="shared" si="43"/>
        <v>-0.12522426979936985</v>
      </c>
      <c r="U175" s="32">
        <f t="shared" si="44"/>
        <v>-9.8649377643389324E-2</v>
      </c>
      <c r="V175" s="37">
        <f t="shared" si="45"/>
        <v>1.8048618835608154E-2</v>
      </c>
      <c r="W175"/>
      <c r="AK175" s="45" t="s">
        <v>78</v>
      </c>
      <c r="AL175" s="45">
        <v>7</v>
      </c>
      <c r="AM175" s="45">
        <v>28</v>
      </c>
      <c r="AN175" s="45">
        <v>4</v>
      </c>
      <c r="AO175" s="45">
        <v>0</v>
      </c>
      <c r="AP175" s="45"/>
      <c r="AQ175" s="45"/>
      <c r="AR175" s="45"/>
    </row>
    <row r="176" spans="1:44" x14ac:dyDescent="0.35">
      <c r="A176">
        <v>4</v>
      </c>
      <c r="B176">
        <v>2</v>
      </c>
      <c r="C176">
        <v>4</v>
      </c>
      <c r="D176">
        <v>2</v>
      </c>
      <c r="E176">
        <v>2</v>
      </c>
      <c r="F176">
        <v>4</v>
      </c>
      <c r="G176">
        <v>4</v>
      </c>
      <c r="H176" s="25">
        <f t="shared" si="31"/>
        <v>4</v>
      </c>
      <c r="I176" s="25">
        <f t="shared" si="32"/>
        <v>4</v>
      </c>
      <c r="J176" s="25">
        <f t="shared" si="33"/>
        <v>4</v>
      </c>
      <c r="K176" s="25">
        <f t="shared" si="34"/>
        <v>4</v>
      </c>
      <c r="L176" s="25">
        <f t="shared" si="35"/>
        <v>4</v>
      </c>
      <c r="M176" s="25">
        <f t="shared" si="36"/>
        <v>4</v>
      </c>
      <c r="N176" s="25">
        <f t="shared" si="37"/>
        <v>4</v>
      </c>
      <c r="O176" s="32">
        <f t="shared" si="38"/>
        <v>-5.6401471461296142E-2</v>
      </c>
      <c r="P176" s="32">
        <f t="shared" si="39"/>
        <v>0.26360832519077404</v>
      </c>
      <c r="Q176" s="32">
        <f t="shared" si="40"/>
        <v>-9.6984149849158471E-2</v>
      </c>
      <c r="R176" s="32">
        <f t="shared" si="41"/>
        <v>0.21586162773242673</v>
      </c>
      <c r="S176" s="32">
        <f t="shared" si="42"/>
        <v>2.4129647679270144E-2</v>
      </c>
      <c r="T176" s="32">
        <f t="shared" si="43"/>
        <v>-0.12522426979936985</v>
      </c>
      <c r="U176" s="32">
        <f t="shared" si="44"/>
        <v>-9.8649377643389324E-2</v>
      </c>
      <c r="V176" s="37">
        <f t="shared" si="45"/>
        <v>1.8048618835608154E-2</v>
      </c>
      <c r="W176"/>
      <c r="AK176" s="45" t="s">
        <v>78</v>
      </c>
      <c r="AL176" s="45">
        <v>7</v>
      </c>
      <c r="AM176" s="45">
        <v>28</v>
      </c>
      <c r="AN176" s="45">
        <v>4</v>
      </c>
      <c r="AO176" s="45">
        <v>0</v>
      </c>
      <c r="AP176" s="45"/>
      <c r="AQ176" s="45"/>
      <c r="AR176" s="45"/>
    </row>
    <row r="177" spans="1:44" x14ac:dyDescent="0.35">
      <c r="A177">
        <v>4</v>
      </c>
      <c r="B177">
        <v>2</v>
      </c>
      <c r="C177">
        <v>4</v>
      </c>
      <c r="D177">
        <v>2</v>
      </c>
      <c r="E177">
        <v>2</v>
      </c>
      <c r="F177">
        <v>4</v>
      </c>
      <c r="G177">
        <v>4</v>
      </c>
      <c r="H177" s="25">
        <f t="shared" si="31"/>
        <v>4</v>
      </c>
      <c r="I177" s="25">
        <f t="shared" si="32"/>
        <v>4</v>
      </c>
      <c r="J177" s="25">
        <f t="shared" si="33"/>
        <v>4</v>
      </c>
      <c r="K177" s="25">
        <f t="shared" si="34"/>
        <v>4</v>
      </c>
      <c r="L177" s="25">
        <f t="shared" si="35"/>
        <v>4</v>
      </c>
      <c r="M177" s="25">
        <f t="shared" si="36"/>
        <v>4</v>
      </c>
      <c r="N177" s="25">
        <f t="shared" si="37"/>
        <v>4</v>
      </c>
      <c r="O177" s="32">
        <f t="shared" si="38"/>
        <v>-5.6401471461296142E-2</v>
      </c>
      <c r="P177" s="32">
        <f t="shared" si="39"/>
        <v>0.26360832519077404</v>
      </c>
      <c r="Q177" s="32">
        <f t="shared" si="40"/>
        <v>-9.6984149849158471E-2</v>
      </c>
      <c r="R177" s="32">
        <f t="shared" si="41"/>
        <v>0.21586162773242673</v>
      </c>
      <c r="S177" s="32">
        <f t="shared" si="42"/>
        <v>2.4129647679270144E-2</v>
      </c>
      <c r="T177" s="32">
        <f t="shared" si="43"/>
        <v>-0.12522426979936985</v>
      </c>
      <c r="U177" s="32">
        <f t="shared" si="44"/>
        <v>-9.8649377643389324E-2</v>
      </c>
      <c r="V177" s="37">
        <f t="shared" si="45"/>
        <v>1.8048618835608154E-2</v>
      </c>
      <c r="W177"/>
      <c r="AK177" s="45" t="s">
        <v>78</v>
      </c>
      <c r="AL177" s="45">
        <v>7</v>
      </c>
      <c r="AM177" s="45">
        <v>28</v>
      </c>
      <c r="AN177" s="45">
        <v>4</v>
      </c>
      <c r="AO177" s="45">
        <v>0</v>
      </c>
      <c r="AP177" s="45"/>
      <c r="AQ177" s="45"/>
      <c r="AR177" s="45"/>
    </row>
    <row r="178" spans="1:44" x14ac:dyDescent="0.35">
      <c r="A178">
        <v>4</v>
      </c>
      <c r="B178">
        <v>2</v>
      </c>
      <c r="C178">
        <v>4</v>
      </c>
      <c r="D178">
        <v>2</v>
      </c>
      <c r="E178">
        <v>2</v>
      </c>
      <c r="F178">
        <v>4</v>
      </c>
      <c r="G178">
        <v>4</v>
      </c>
      <c r="H178" s="25">
        <f t="shared" si="31"/>
        <v>4</v>
      </c>
      <c r="I178" s="25">
        <f t="shared" si="32"/>
        <v>4</v>
      </c>
      <c r="J178" s="25">
        <f t="shared" si="33"/>
        <v>4</v>
      </c>
      <c r="K178" s="25">
        <f t="shared" si="34"/>
        <v>4</v>
      </c>
      <c r="L178" s="25">
        <f t="shared" si="35"/>
        <v>4</v>
      </c>
      <c r="M178" s="25">
        <f t="shared" si="36"/>
        <v>4</v>
      </c>
      <c r="N178" s="25">
        <f t="shared" si="37"/>
        <v>4</v>
      </c>
      <c r="O178" s="32">
        <f t="shared" si="38"/>
        <v>-5.6401471461296142E-2</v>
      </c>
      <c r="P178" s="32">
        <f t="shared" si="39"/>
        <v>0.26360832519077404</v>
      </c>
      <c r="Q178" s="32">
        <f t="shared" si="40"/>
        <v>-9.6984149849158471E-2</v>
      </c>
      <c r="R178" s="32">
        <f t="shared" si="41"/>
        <v>0.21586162773242673</v>
      </c>
      <c r="S178" s="32">
        <f t="shared" si="42"/>
        <v>2.4129647679270144E-2</v>
      </c>
      <c r="T178" s="32">
        <f t="shared" si="43"/>
        <v>-0.12522426979936985</v>
      </c>
      <c r="U178" s="32">
        <f t="shared" si="44"/>
        <v>-9.8649377643389324E-2</v>
      </c>
      <c r="V178" s="37">
        <f t="shared" si="45"/>
        <v>1.8048618835608154E-2</v>
      </c>
      <c r="W178"/>
      <c r="AK178" s="45" t="s">
        <v>78</v>
      </c>
      <c r="AL178" s="45">
        <v>7</v>
      </c>
      <c r="AM178" s="45">
        <v>28</v>
      </c>
      <c r="AN178" s="45">
        <v>4</v>
      </c>
      <c r="AO178" s="45">
        <v>0</v>
      </c>
      <c r="AP178" s="45"/>
      <c r="AQ178" s="45"/>
      <c r="AR178" s="45"/>
    </row>
    <row r="179" spans="1:44" x14ac:dyDescent="0.35">
      <c r="A179">
        <v>4</v>
      </c>
      <c r="B179">
        <v>2</v>
      </c>
      <c r="C179">
        <v>4</v>
      </c>
      <c r="D179">
        <v>2</v>
      </c>
      <c r="E179">
        <v>2</v>
      </c>
      <c r="F179">
        <v>4</v>
      </c>
      <c r="G179">
        <v>4</v>
      </c>
      <c r="H179" s="25">
        <f t="shared" si="31"/>
        <v>4</v>
      </c>
      <c r="I179" s="25">
        <f t="shared" si="32"/>
        <v>4</v>
      </c>
      <c r="J179" s="25">
        <f t="shared" si="33"/>
        <v>4</v>
      </c>
      <c r="K179" s="25">
        <f t="shared" si="34"/>
        <v>4</v>
      </c>
      <c r="L179" s="25">
        <f t="shared" si="35"/>
        <v>4</v>
      </c>
      <c r="M179" s="25">
        <f t="shared" si="36"/>
        <v>4</v>
      </c>
      <c r="N179" s="25">
        <f t="shared" si="37"/>
        <v>4</v>
      </c>
      <c r="O179" s="32">
        <f t="shared" si="38"/>
        <v>-5.6401471461296142E-2</v>
      </c>
      <c r="P179" s="32">
        <f t="shared" si="39"/>
        <v>0.26360832519077404</v>
      </c>
      <c r="Q179" s="32">
        <f t="shared" si="40"/>
        <v>-9.6984149849158471E-2</v>
      </c>
      <c r="R179" s="32">
        <f t="shared" si="41"/>
        <v>0.21586162773242673</v>
      </c>
      <c r="S179" s="32">
        <f t="shared" si="42"/>
        <v>2.4129647679270144E-2</v>
      </c>
      <c r="T179" s="32">
        <f t="shared" si="43"/>
        <v>-0.12522426979936985</v>
      </c>
      <c r="U179" s="32">
        <f t="shared" si="44"/>
        <v>-9.8649377643389324E-2</v>
      </c>
      <c r="V179" s="37">
        <f t="shared" si="45"/>
        <v>1.8048618835608154E-2</v>
      </c>
      <c r="W179"/>
      <c r="AK179" s="45" t="s">
        <v>78</v>
      </c>
      <c r="AL179" s="45">
        <v>7</v>
      </c>
      <c r="AM179" s="45">
        <v>28</v>
      </c>
      <c r="AN179" s="45">
        <v>4</v>
      </c>
      <c r="AO179" s="45">
        <v>0</v>
      </c>
      <c r="AP179" s="45"/>
      <c r="AQ179" s="45"/>
      <c r="AR179" s="45"/>
    </row>
    <row r="180" spans="1:44" x14ac:dyDescent="0.35">
      <c r="A180">
        <v>5</v>
      </c>
      <c r="B180">
        <v>2</v>
      </c>
      <c r="C180">
        <v>4</v>
      </c>
      <c r="D180">
        <v>2</v>
      </c>
      <c r="E180">
        <v>2</v>
      </c>
      <c r="F180">
        <v>4</v>
      </c>
      <c r="G180">
        <v>4</v>
      </c>
      <c r="H180" s="25">
        <f t="shared" si="31"/>
        <v>5</v>
      </c>
      <c r="I180" s="25">
        <f t="shared" si="32"/>
        <v>4</v>
      </c>
      <c r="J180" s="25">
        <f t="shared" si="33"/>
        <v>4</v>
      </c>
      <c r="K180" s="25">
        <f t="shared" si="34"/>
        <v>4</v>
      </c>
      <c r="L180" s="25">
        <f t="shared" si="35"/>
        <v>4</v>
      </c>
      <c r="M180" s="25">
        <f t="shared" si="36"/>
        <v>4</v>
      </c>
      <c r="N180" s="25">
        <f t="shared" si="37"/>
        <v>4</v>
      </c>
      <c r="O180" s="32">
        <f t="shared" si="38"/>
        <v>0.84420266961423651</v>
      </c>
      <c r="P180" s="32">
        <f t="shared" si="39"/>
        <v>0.26360832519077404</v>
      </c>
      <c r="Q180" s="32">
        <f t="shared" si="40"/>
        <v>-9.6984149849158471E-2</v>
      </c>
      <c r="R180" s="32">
        <f t="shared" si="41"/>
        <v>0.21586162773242673</v>
      </c>
      <c r="S180" s="32">
        <f t="shared" si="42"/>
        <v>2.4129647679270144E-2</v>
      </c>
      <c r="T180" s="32">
        <f t="shared" si="43"/>
        <v>-0.12522426979936985</v>
      </c>
      <c r="U180" s="32">
        <f t="shared" si="44"/>
        <v>-9.8649377643389324E-2</v>
      </c>
      <c r="V180" s="37">
        <f t="shared" si="45"/>
        <v>0.14670635327496998</v>
      </c>
      <c r="W180"/>
      <c r="AK180" s="45" t="s">
        <v>78</v>
      </c>
      <c r="AL180" s="45">
        <v>7</v>
      </c>
      <c r="AM180" s="45">
        <v>28</v>
      </c>
      <c r="AN180" s="45">
        <v>4</v>
      </c>
      <c r="AO180" s="45">
        <v>0</v>
      </c>
      <c r="AP180" s="45"/>
      <c r="AQ180" s="45"/>
      <c r="AR180" s="45"/>
    </row>
    <row r="181" spans="1:44" x14ac:dyDescent="0.35">
      <c r="A181">
        <v>3</v>
      </c>
      <c r="B181">
        <v>3</v>
      </c>
      <c r="C181">
        <v>4</v>
      </c>
      <c r="D181">
        <v>2</v>
      </c>
      <c r="E181">
        <v>2</v>
      </c>
      <c r="F181">
        <v>4</v>
      </c>
      <c r="G181">
        <v>4</v>
      </c>
      <c r="H181" s="25">
        <f t="shared" si="31"/>
        <v>3</v>
      </c>
      <c r="I181" s="25">
        <f t="shared" si="32"/>
        <v>3</v>
      </c>
      <c r="J181" s="25">
        <f t="shared" si="33"/>
        <v>4</v>
      </c>
      <c r="K181" s="25">
        <f t="shared" si="34"/>
        <v>4</v>
      </c>
      <c r="L181" s="25">
        <f t="shared" si="35"/>
        <v>4</v>
      </c>
      <c r="M181" s="25">
        <f t="shared" si="36"/>
        <v>4</v>
      </c>
      <c r="N181" s="25">
        <f t="shared" si="37"/>
        <v>4</v>
      </c>
      <c r="O181" s="32">
        <f t="shared" si="38"/>
        <v>-0.95700561253682881</v>
      </c>
      <c r="P181" s="32">
        <f t="shared" si="39"/>
        <v>-0.51458870665983425</v>
      </c>
      <c r="Q181" s="32">
        <f t="shared" si="40"/>
        <v>-9.6984149849158471E-2</v>
      </c>
      <c r="R181" s="32">
        <f t="shared" si="41"/>
        <v>0.21586162773242673</v>
      </c>
      <c r="S181" s="32">
        <f t="shared" si="42"/>
        <v>2.4129647679270144E-2</v>
      </c>
      <c r="T181" s="32">
        <f t="shared" si="43"/>
        <v>-0.12522426979936985</v>
      </c>
      <c r="U181" s="32">
        <f t="shared" si="44"/>
        <v>-9.8649377643389324E-2</v>
      </c>
      <c r="V181" s="37">
        <f t="shared" si="45"/>
        <v>-0.22178012015384052</v>
      </c>
      <c r="W181"/>
      <c r="AK181" s="45" t="s">
        <v>78</v>
      </c>
      <c r="AL181" s="45">
        <v>7</v>
      </c>
      <c r="AM181" s="45">
        <v>28</v>
      </c>
      <c r="AN181" s="45">
        <v>4</v>
      </c>
      <c r="AO181" s="45">
        <v>0</v>
      </c>
      <c r="AP181" s="45"/>
      <c r="AQ181" s="45"/>
      <c r="AR181" s="45"/>
    </row>
    <row r="182" spans="1:44" x14ac:dyDescent="0.35">
      <c r="A182">
        <v>4</v>
      </c>
      <c r="B182">
        <v>3</v>
      </c>
      <c r="C182">
        <v>4</v>
      </c>
      <c r="D182">
        <v>2</v>
      </c>
      <c r="E182">
        <v>2</v>
      </c>
      <c r="F182">
        <v>4</v>
      </c>
      <c r="G182">
        <v>4</v>
      </c>
      <c r="H182" s="25">
        <f t="shared" si="31"/>
        <v>4</v>
      </c>
      <c r="I182" s="25">
        <f t="shared" si="32"/>
        <v>3</v>
      </c>
      <c r="J182" s="25">
        <f t="shared" si="33"/>
        <v>4</v>
      </c>
      <c r="K182" s="25">
        <f t="shared" si="34"/>
        <v>4</v>
      </c>
      <c r="L182" s="25">
        <f t="shared" si="35"/>
        <v>4</v>
      </c>
      <c r="M182" s="25">
        <f t="shared" si="36"/>
        <v>4</v>
      </c>
      <c r="N182" s="25">
        <f t="shared" si="37"/>
        <v>4</v>
      </c>
      <c r="O182" s="32">
        <f t="shared" si="38"/>
        <v>-5.6401471461296142E-2</v>
      </c>
      <c r="P182" s="32">
        <f t="shared" si="39"/>
        <v>-0.51458870665983425</v>
      </c>
      <c r="Q182" s="32">
        <f t="shared" si="40"/>
        <v>-9.6984149849158471E-2</v>
      </c>
      <c r="R182" s="32">
        <f t="shared" si="41"/>
        <v>0.21586162773242673</v>
      </c>
      <c r="S182" s="32">
        <f t="shared" si="42"/>
        <v>2.4129647679270144E-2</v>
      </c>
      <c r="T182" s="32">
        <f t="shared" si="43"/>
        <v>-0.12522426979936985</v>
      </c>
      <c r="U182" s="32">
        <f t="shared" si="44"/>
        <v>-9.8649377643389324E-2</v>
      </c>
      <c r="V182" s="37">
        <f t="shared" si="45"/>
        <v>-9.3122385714478742E-2</v>
      </c>
      <c r="W182"/>
      <c r="AK182" s="45" t="s">
        <v>78</v>
      </c>
      <c r="AL182" s="45">
        <v>7</v>
      </c>
      <c r="AM182" s="45">
        <v>28</v>
      </c>
      <c r="AN182" s="45">
        <v>4</v>
      </c>
      <c r="AO182" s="45">
        <v>0</v>
      </c>
      <c r="AP182" s="45"/>
      <c r="AQ182" s="45"/>
      <c r="AR182" s="45"/>
    </row>
    <row r="183" spans="1:44" x14ac:dyDescent="0.35">
      <c r="A183">
        <v>4</v>
      </c>
      <c r="B183">
        <v>3</v>
      </c>
      <c r="C183">
        <v>4</v>
      </c>
      <c r="D183">
        <v>2</v>
      </c>
      <c r="E183">
        <v>2</v>
      </c>
      <c r="F183">
        <v>4</v>
      </c>
      <c r="G183">
        <v>4</v>
      </c>
      <c r="H183" s="25">
        <f t="shared" si="31"/>
        <v>4</v>
      </c>
      <c r="I183" s="25">
        <f t="shared" si="32"/>
        <v>3</v>
      </c>
      <c r="J183" s="25">
        <f t="shared" si="33"/>
        <v>4</v>
      </c>
      <c r="K183" s="25">
        <f t="shared" si="34"/>
        <v>4</v>
      </c>
      <c r="L183" s="25">
        <f t="shared" si="35"/>
        <v>4</v>
      </c>
      <c r="M183" s="25">
        <f t="shared" si="36"/>
        <v>4</v>
      </c>
      <c r="N183" s="25">
        <f t="shared" si="37"/>
        <v>4</v>
      </c>
      <c r="O183" s="32">
        <f t="shared" si="38"/>
        <v>-5.6401471461296142E-2</v>
      </c>
      <c r="P183" s="32">
        <f t="shared" si="39"/>
        <v>-0.51458870665983425</v>
      </c>
      <c r="Q183" s="32">
        <f t="shared" si="40"/>
        <v>-9.6984149849158471E-2</v>
      </c>
      <c r="R183" s="32">
        <f t="shared" si="41"/>
        <v>0.21586162773242673</v>
      </c>
      <c r="S183" s="32">
        <f t="shared" si="42"/>
        <v>2.4129647679270144E-2</v>
      </c>
      <c r="T183" s="32">
        <f t="shared" si="43"/>
        <v>-0.12522426979936985</v>
      </c>
      <c r="U183" s="32">
        <f t="shared" si="44"/>
        <v>-9.8649377643389324E-2</v>
      </c>
      <c r="V183" s="37">
        <f t="shared" si="45"/>
        <v>-9.3122385714478742E-2</v>
      </c>
      <c r="W183"/>
      <c r="AK183" s="45" t="s">
        <v>78</v>
      </c>
      <c r="AL183" s="45">
        <v>7</v>
      </c>
      <c r="AM183" s="45">
        <v>29</v>
      </c>
      <c r="AN183" s="45">
        <v>4.1428571429999996</v>
      </c>
      <c r="AO183" s="45">
        <v>0.14285714299999999</v>
      </c>
      <c r="AP183" s="45"/>
      <c r="AQ183" s="45"/>
      <c r="AR183" s="45"/>
    </row>
    <row r="184" spans="1:44" x14ac:dyDescent="0.35">
      <c r="A184">
        <v>4</v>
      </c>
      <c r="B184">
        <v>3</v>
      </c>
      <c r="C184">
        <v>4</v>
      </c>
      <c r="D184">
        <v>2</v>
      </c>
      <c r="E184">
        <v>2</v>
      </c>
      <c r="F184">
        <v>4</v>
      </c>
      <c r="G184">
        <v>4</v>
      </c>
      <c r="H184" s="25">
        <f t="shared" si="31"/>
        <v>4</v>
      </c>
      <c r="I184" s="25">
        <f t="shared" si="32"/>
        <v>3</v>
      </c>
      <c r="J184" s="25">
        <f t="shared" si="33"/>
        <v>4</v>
      </c>
      <c r="K184" s="25">
        <f t="shared" si="34"/>
        <v>4</v>
      </c>
      <c r="L184" s="25">
        <f t="shared" si="35"/>
        <v>4</v>
      </c>
      <c r="M184" s="25">
        <f t="shared" si="36"/>
        <v>4</v>
      </c>
      <c r="N184" s="25">
        <f t="shared" si="37"/>
        <v>4</v>
      </c>
      <c r="O184" s="32">
        <f t="shared" si="38"/>
        <v>-5.6401471461296142E-2</v>
      </c>
      <c r="P184" s="32">
        <f t="shared" si="39"/>
        <v>-0.51458870665983425</v>
      </c>
      <c r="Q184" s="32">
        <f t="shared" si="40"/>
        <v>-9.6984149849158471E-2</v>
      </c>
      <c r="R184" s="32">
        <f t="shared" si="41"/>
        <v>0.21586162773242673</v>
      </c>
      <c r="S184" s="32">
        <f t="shared" si="42"/>
        <v>2.4129647679270144E-2</v>
      </c>
      <c r="T184" s="32">
        <f t="shared" si="43"/>
        <v>-0.12522426979936985</v>
      </c>
      <c r="U184" s="32">
        <f t="shared" si="44"/>
        <v>-9.8649377643389324E-2</v>
      </c>
      <c r="V184" s="37">
        <f t="shared" si="45"/>
        <v>-9.3122385714478742E-2</v>
      </c>
      <c r="W184"/>
      <c r="AK184" s="45" t="s">
        <v>78</v>
      </c>
      <c r="AL184" s="45">
        <v>7</v>
      </c>
      <c r="AM184" s="45">
        <v>26</v>
      </c>
      <c r="AN184" s="45">
        <v>3.7142857139999998</v>
      </c>
      <c r="AO184" s="45">
        <v>0.23809523799999999</v>
      </c>
      <c r="AP184" s="45"/>
      <c r="AQ184" s="45"/>
      <c r="AR184" s="45"/>
    </row>
    <row r="185" spans="1:44" x14ac:dyDescent="0.35">
      <c r="A185">
        <v>4</v>
      </c>
      <c r="B185">
        <v>3</v>
      </c>
      <c r="C185">
        <v>4</v>
      </c>
      <c r="D185">
        <v>2</v>
      </c>
      <c r="E185">
        <v>2</v>
      </c>
      <c r="F185">
        <v>4</v>
      </c>
      <c r="G185">
        <v>4</v>
      </c>
      <c r="H185" s="25">
        <f t="shared" si="31"/>
        <v>4</v>
      </c>
      <c r="I185" s="25">
        <f t="shared" si="32"/>
        <v>3</v>
      </c>
      <c r="J185" s="25">
        <f t="shared" si="33"/>
        <v>4</v>
      </c>
      <c r="K185" s="25">
        <f t="shared" si="34"/>
        <v>4</v>
      </c>
      <c r="L185" s="25">
        <f t="shared" si="35"/>
        <v>4</v>
      </c>
      <c r="M185" s="25">
        <f t="shared" si="36"/>
        <v>4</v>
      </c>
      <c r="N185" s="25">
        <f t="shared" si="37"/>
        <v>4</v>
      </c>
      <c r="O185" s="32">
        <f t="shared" si="38"/>
        <v>-5.6401471461296142E-2</v>
      </c>
      <c r="P185" s="32">
        <f t="shared" si="39"/>
        <v>-0.51458870665983425</v>
      </c>
      <c r="Q185" s="32">
        <f t="shared" si="40"/>
        <v>-9.6984149849158471E-2</v>
      </c>
      <c r="R185" s="32">
        <f t="shared" si="41"/>
        <v>0.21586162773242673</v>
      </c>
      <c r="S185" s="32">
        <f t="shared" si="42"/>
        <v>2.4129647679270144E-2</v>
      </c>
      <c r="T185" s="32">
        <f t="shared" si="43"/>
        <v>-0.12522426979936985</v>
      </c>
      <c r="U185" s="32">
        <f t="shared" si="44"/>
        <v>-9.8649377643389324E-2</v>
      </c>
      <c r="V185" s="37">
        <f t="shared" si="45"/>
        <v>-9.3122385714478742E-2</v>
      </c>
      <c r="W185"/>
      <c r="AK185" s="45" t="s">
        <v>78</v>
      </c>
      <c r="AL185" s="45">
        <v>7</v>
      </c>
      <c r="AM185" s="45">
        <v>27</v>
      </c>
      <c r="AN185" s="45">
        <v>3.8571428569999999</v>
      </c>
      <c r="AO185" s="45">
        <v>0.14285714299999999</v>
      </c>
      <c r="AP185" s="45"/>
      <c r="AQ185" s="45"/>
      <c r="AR185" s="45"/>
    </row>
    <row r="186" spans="1:44" x14ac:dyDescent="0.35">
      <c r="A186">
        <v>4</v>
      </c>
      <c r="B186">
        <v>4</v>
      </c>
      <c r="C186">
        <v>4</v>
      </c>
      <c r="D186">
        <v>2</v>
      </c>
      <c r="E186">
        <v>2</v>
      </c>
      <c r="F186">
        <v>4</v>
      </c>
      <c r="G186">
        <v>4</v>
      </c>
      <c r="H186" s="25">
        <f t="shared" si="31"/>
        <v>4</v>
      </c>
      <c r="I186" s="25">
        <f t="shared" si="32"/>
        <v>2</v>
      </c>
      <c r="J186" s="25">
        <f t="shared" si="33"/>
        <v>4</v>
      </c>
      <c r="K186" s="25">
        <f t="shared" si="34"/>
        <v>4</v>
      </c>
      <c r="L186" s="25">
        <f t="shared" si="35"/>
        <v>4</v>
      </c>
      <c r="M186" s="25">
        <f t="shared" si="36"/>
        <v>4</v>
      </c>
      <c r="N186" s="25">
        <f t="shared" si="37"/>
        <v>4</v>
      </c>
      <c r="O186" s="32">
        <f t="shared" si="38"/>
        <v>-5.6401471461296142E-2</v>
      </c>
      <c r="P186" s="32">
        <f t="shared" si="39"/>
        <v>-1.2927857385104427</v>
      </c>
      <c r="Q186" s="32">
        <f t="shared" si="40"/>
        <v>-9.6984149849158471E-2</v>
      </c>
      <c r="R186" s="32">
        <f t="shared" si="41"/>
        <v>0.21586162773242673</v>
      </c>
      <c r="S186" s="32">
        <f t="shared" si="42"/>
        <v>2.4129647679270144E-2</v>
      </c>
      <c r="T186" s="32">
        <f t="shared" si="43"/>
        <v>-0.12522426979936985</v>
      </c>
      <c r="U186" s="32">
        <f t="shared" si="44"/>
        <v>-9.8649377643389324E-2</v>
      </c>
      <c r="V186" s="37">
        <f t="shared" si="45"/>
        <v>-0.20429339026456564</v>
      </c>
      <c r="W186"/>
      <c r="AK186" s="45" t="s">
        <v>78</v>
      </c>
      <c r="AL186" s="45">
        <v>7</v>
      </c>
      <c r="AM186" s="45">
        <v>27</v>
      </c>
      <c r="AN186" s="45">
        <v>3.8571428569999999</v>
      </c>
      <c r="AO186" s="45">
        <v>0.14285714299999999</v>
      </c>
      <c r="AP186" s="45"/>
      <c r="AQ186" s="45"/>
      <c r="AR186" s="45"/>
    </row>
    <row r="187" spans="1:44" x14ac:dyDescent="0.35">
      <c r="A187">
        <v>5</v>
      </c>
      <c r="B187">
        <v>4</v>
      </c>
      <c r="C187">
        <v>4</v>
      </c>
      <c r="D187">
        <v>2</v>
      </c>
      <c r="E187">
        <v>2</v>
      </c>
      <c r="F187">
        <v>4</v>
      </c>
      <c r="G187">
        <v>4</v>
      </c>
      <c r="H187" s="25">
        <f t="shared" si="31"/>
        <v>5</v>
      </c>
      <c r="I187" s="25">
        <f t="shared" si="32"/>
        <v>2</v>
      </c>
      <c r="J187" s="25">
        <f t="shared" si="33"/>
        <v>4</v>
      </c>
      <c r="K187" s="25">
        <f t="shared" si="34"/>
        <v>4</v>
      </c>
      <c r="L187" s="25">
        <f t="shared" si="35"/>
        <v>4</v>
      </c>
      <c r="M187" s="25">
        <f t="shared" si="36"/>
        <v>4</v>
      </c>
      <c r="N187" s="25">
        <f t="shared" si="37"/>
        <v>4</v>
      </c>
      <c r="O187" s="32">
        <f t="shared" si="38"/>
        <v>0.84420266961423651</v>
      </c>
      <c r="P187" s="32">
        <f t="shared" si="39"/>
        <v>-1.2927857385104427</v>
      </c>
      <c r="Q187" s="32">
        <f t="shared" si="40"/>
        <v>-9.6984149849158471E-2</v>
      </c>
      <c r="R187" s="32">
        <f t="shared" si="41"/>
        <v>0.21586162773242673</v>
      </c>
      <c r="S187" s="32">
        <f t="shared" si="42"/>
        <v>2.4129647679270144E-2</v>
      </c>
      <c r="T187" s="32">
        <f t="shared" si="43"/>
        <v>-0.12522426979936985</v>
      </c>
      <c r="U187" s="32">
        <f t="shared" si="44"/>
        <v>-9.8649377643389324E-2</v>
      </c>
      <c r="V187" s="37">
        <f t="shared" si="45"/>
        <v>-7.5635655825203846E-2</v>
      </c>
      <c r="W187"/>
      <c r="AK187" s="45" t="s">
        <v>78</v>
      </c>
      <c r="AL187" s="45">
        <v>7</v>
      </c>
      <c r="AM187" s="45">
        <v>27</v>
      </c>
      <c r="AN187" s="45">
        <v>3.8571428569999999</v>
      </c>
      <c r="AO187" s="45">
        <v>0.14285714299999999</v>
      </c>
      <c r="AP187" s="45"/>
      <c r="AQ187" s="45"/>
      <c r="AR187" s="45"/>
    </row>
    <row r="188" spans="1:44" x14ac:dyDescent="0.35">
      <c r="A188">
        <v>5</v>
      </c>
      <c r="B188">
        <v>1</v>
      </c>
      <c r="C188">
        <v>5</v>
      </c>
      <c r="D188">
        <v>2</v>
      </c>
      <c r="E188">
        <v>2</v>
      </c>
      <c r="F188">
        <v>4</v>
      </c>
      <c r="G188">
        <v>4</v>
      </c>
      <c r="H188" s="25">
        <f t="shared" si="31"/>
        <v>5</v>
      </c>
      <c r="I188" s="25">
        <f t="shared" si="32"/>
        <v>5</v>
      </c>
      <c r="J188" s="25">
        <f t="shared" si="33"/>
        <v>5</v>
      </c>
      <c r="K188" s="25">
        <f t="shared" si="34"/>
        <v>4</v>
      </c>
      <c r="L188" s="25">
        <f t="shared" si="35"/>
        <v>4</v>
      </c>
      <c r="M188" s="25">
        <f t="shared" si="36"/>
        <v>4</v>
      </c>
      <c r="N188" s="25">
        <f t="shared" si="37"/>
        <v>4</v>
      </c>
      <c r="O188" s="32">
        <f t="shared" si="38"/>
        <v>0.84420266961423651</v>
      </c>
      <c r="P188" s="32">
        <f t="shared" si="39"/>
        <v>1.0418053570413823</v>
      </c>
      <c r="Q188" s="32">
        <f t="shared" si="40"/>
        <v>0.80698132232978881</v>
      </c>
      <c r="R188" s="32">
        <f t="shared" si="41"/>
        <v>0.21586162773242673</v>
      </c>
      <c r="S188" s="32">
        <f t="shared" si="42"/>
        <v>2.4129647679270144E-2</v>
      </c>
      <c r="T188" s="32">
        <f t="shared" si="43"/>
        <v>-0.12522426979936985</v>
      </c>
      <c r="U188" s="32">
        <f t="shared" si="44"/>
        <v>-9.8649377643389324E-2</v>
      </c>
      <c r="V188" s="37">
        <f t="shared" si="45"/>
        <v>0.3870152824220493</v>
      </c>
      <c r="W188"/>
      <c r="AK188" s="45" t="s">
        <v>78</v>
      </c>
      <c r="AL188" s="45">
        <v>7</v>
      </c>
      <c r="AM188" s="45">
        <v>27</v>
      </c>
      <c r="AN188" s="45">
        <v>3.8571428569999999</v>
      </c>
      <c r="AO188" s="45">
        <v>0.14285714299999999</v>
      </c>
      <c r="AP188" s="45"/>
      <c r="AQ188" s="45"/>
      <c r="AR188" s="45"/>
    </row>
    <row r="189" spans="1:44" x14ac:dyDescent="0.35">
      <c r="A189">
        <v>4</v>
      </c>
      <c r="B189">
        <v>2</v>
      </c>
      <c r="C189">
        <v>5</v>
      </c>
      <c r="D189">
        <v>2</v>
      </c>
      <c r="E189">
        <v>2</v>
      </c>
      <c r="F189">
        <v>4</v>
      </c>
      <c r="G189">
        <v>4</v>
      </c>
      <c r="H189" s="25">
        <f t="shared" si="31"/>
        <v>4</v>
      </c>
      <c r="I189" s="25">
        <f t="shared" si="32"/>
        <v>4</v>
      </c>
      <c r="J189" s="25">
        <f t="shared" si="33"/>
        <v>5</v>
      </c>
      <c r="K189" s="25">
        <f t="shared" si="34"/>
        <v>4</v>
      </c>
      <c r="L189" s="25">
        <f t="shared" si="35"/>
        <v>4</v>
      </c>
      <c r="M189" s="25">
        <f t="shared" si="36"/>
        <v>4</v>
      </c>
      <c r="N189" s="25">
        <f t="shared" si="37"/>
        <v>4</v>
      </c>
      <c r="O189" s="32">
        <f t="shared" si="38"/>
        <v>-5.6401471461296142E-2</v>
      </c>
      <c r="P189" s="32">
        <f t="shared" si="39"/>
        <v>0.26360832519077404</v>
      </c>
      <c r="Q189" s="32">
        <f t="shared" si="40"/>
        <v>0.80698132232978881</v>
      </c>
      <c r="R189" s="32">
        <f t="shared" si="41"/>
        <v>0.21586162773242673</v>
      </c>
      <c r="S189" s="32">
        <f t="shared" si="42"/>
        <v>2.4129647679270144E-2</v>
      </c>
      <c r="T189" s="32">
        <f t="shared" si="43"/>
        <v>-0.12522426979936985</v>
      </c>
      <c r="U189" s="32">
        <f t="shared" si="44"/>
        <v>-9.8649377643389324E-2</v>
      </c>
      <c r="V189" s="37">
        <f t="shared" si="45"/>
        <v>0.1471865434326006</v>
      </c>
      <c r="W189"/>
      <c r="AK189" s="45" t="s">
        <v>78</v>
      </c>
      <c r="AL189" s="45">
        <v>7</v>
      </c>
      <c r="AM189" s="45">
        <v>26</v>
      </c>
      <c r="AN189" s="45">
        <v>3.7142857139999998</v>
      </c>
      <c r="AO189" s="45">
        <v>0.571428571</v>
      </c>
      <c r="AP189" s="45"/>
      <c r="AQ189" s="45"/>
      <c r="AR189" s="45"/>
    </row>
    <row r="190" spans="1:44" x14ac:dyDescent="0.35">
      <c r="A190">
        <v>4</v>
      </c>
      <c r="B190">
        <v>2</v>
      </c>
      <c r="C190">
        <v>5</v>
      </c>
      <c r="D190">
        <v>2</v>
      </c>
      <c r="E190">
        <v>2</v>
      </c>
      <c r="F190">
        <v>4</v>
      </c>
      <c r="G190">
        <v>4</v>
      </c>
      <c r="H190" s="25">
        <f t="shared" si="31"/>
        <v>4</v>
      </c>
      <c r="I190" s="25">
        <f t="shared" si="32"/>
        <v>4</v>
      </c>
      <c r="J190" s="25">
        <f t="shared" si="33"/>
        <v>5</v>
      </c>
      <c r="K190" s="25">
        <f t="shared" si="34"/>
        <v>4</v>
      </c>
      <c r="L190" s="25">
        <f t="shared" si="35"/>
        <v>4</v>
      </c>
      <c r="M190" s="25">
        <f t="shared" si="36"/>
        <v>4</v>
      </c>
      <c r="N190" s="25">
        <f t="shared" si="37"/>
        <v>4</v>
      </c>
      <c r="O190" s="32">
        <f t="shared" si="38"/>
        <v>-5.6401471461296142E-2</v>
      </c>
      <c r="P190" s="32">
        <f t="shared" si="39"/>
        <v>0.26360832519077404</v>
      </c>
      <c r="Q190" s="32">
        <f t="shared" si="40"/>
        <v>0.80698132232978881</v>
      </c>
      <c r="R190" s="32">
        <f t="shared" si="41"/>
        <v>0.21586162773242673</v>
      </c>
      <c r="S190" s="32">
        <f t="shared" si="42"/>
        <v>2.4129647679270144E-2</v>
      </c>
      <c r="T190" s="32">
        <f t="shared" si="43"/>
        <v>-0.12522426979936985</v>
      </c>
      <c r="U190" s="32">
        <f t="shared" si="44"/>
        <v>-9.8649377643389324E-2</v>
      </c>
      <c r="V190" s="37">
        <f t="shared" si="45"/>
        <v>0.1471865434326006</v>
      </c>
      <c r="W190"/>
      <c r="AK190" s="45" t="s">
        <v>78</v>
      </c>
      <c r="AL190" s="45">
        <v>7</v>
      </c>
      <c r="AM190" s="45">
        <v>27</v>
      </c>
      <c r="AN190" s="45">
        <v>3.8571428569999999</v>
      </c>
      <c r="AO190" s="45">
        <v>0.80952380999999995</v>
      </c>
      <c r="AP190" s="45"/>
      <c r="AQ190" s="45"/>
      <c r="AR190" s="45"/>
    </row>
    <row r="191" spans="1:44" x14ac:dyDescent="0.35">
      <c r="A191">
        <v>4</v>
      </c>
      <c r="B191">
        <v>3</v>
      </c>
      <c r="C191">
        <v>5</v>
      </c>
      <c r="D191">
        <v>2</v>
      </c>
      <c r="E191">
        <v>2</v>
      </c>
      <c r="F191">
        <v>4</v>
      </c>
      <c r="G191">
        <v>4</v>
      </c>
      <c r="H191" s="25">
        <f t="shared" si="31"/>
        <v>4</v>
      </c>
      <c r="I191" s="25">
        <f t="shared" si="32"/>
        <v>3</v>
      </c>
      <c r="J191" s="25">
        <f t="shared" si="33"/>
        <v>5</v>
      </c>
      <c r="K191" s="25">
        <f t="shared" si="34"/>
        <v>4</v>
      </c>
      <c r="L191" s="25">
        <f t="shared" si="35"/>
        <v>4</v>
      </c>
      <c r="M191" s="25">
        <f t="shared" si="36"/>
        <v>4</v>
      </c>
      <c r="N191" s="25">
        <f t="shared" si="37"/>
        <v>4</v>
      </c>
      <c r="O191" s="32">
        <f t="shared" si="38"/>
        <v>-5.6401471461296142E-2</v>
      </c>
      <c r="P191" s="32">
        <f t="shared" si="39"/>
        <v>-0.51458870665983425</v>
      </c>
      <c r="Q191" s="32">
        <f t="shared" si="40"/>
        <v>0.80698132232978881</v>
      </c>
      <c r="R191" s="32">
        <f t="shared" si="41"/>
        <v>0.21586162773242673</v>
      </c>
      <c r="S191" s="32">
        <f t="shared" si="42"/>
        <v>2.4129647679270144E-2</v>
      </c>
      <c r="T191" s="32">
        <f t="shared" si="43"/>
        <v>-0.12522426979936985</v>
      </c>
      <c r="U191" s="32">
        <f t="shared" si="44"/>
        <v>-9.8649377643389324E-2</v>
      </c>
      <c r="V191" s="37">
        <f t="shared" si="45"/>
        <v>3.6015538882513728E-2</v>
      </c>
      <c r="W191"/>
      <c r="AK191" s="45" t="s">
        <v>78</v>
      </c>
      <c r="AL191" s="45">
        <v>7</v>
      </c>
      <c r="AM191" s="45">
        <v>31</v>
      </c>
      <c r="AN191" s="45">
        <v>4.4285714289999998</v>
      </c>
      <c r="AO191" s="45">
        <v>0.28571428599999998</v>
      </c>
      <c r="AP191" s="45"/>
      <c r="AQ191" s="45"/>
      <c r="AR191" s="45"/>
    </row>
    <row r="192" spans="1:44" x14ac:dyDescent="0.35">
      <c r="A192">
        <v>5</v>
      </c>
      <c r="B192">
        <v>3</v>
      </c>
      <c r="C192">
        <v>5</v>
      </c>
      <c r="D192">
        <v>2</v>
      </c>
      <c r="E192">
        <v>2</v>
      </c>
      <c r="F192">
        <v>4</v>
      </c>
      <c r="G192">
        <v>4</v>
      </c>
      <c r="H192" s="25">
        <f t="shared" si="31"/>
        <v>5</v>
      </c>
      <c r="I192" s="25">
        <f t="shared" si="32"/>
        <v>3</v>
      </c>
      <c r="J192" s="25">
        <f t="shared" si="33"/>
        <v>5</v>
      </c>
      <c r="K192" s="25">
        <f t="shared" si="34"/>
        <v>4</v>
      </c>
      <c r="L192" s="25">
        <f t="shared" si="35"/>
        <v>4</v>
      </c>
      <c r="M192" s="25">
        <f t="shared" si="36"/>
        <v>4</v>
      </c>
      <c r="N192" s="25">
        <f t="shared" si="37"/>
        <v>4</v>
      </c>
      <c r="O192" s="32">
        <f t="shared" si="38"/>
        <v>0.84420266961423651</v>
      </c>
      <c r="P192" s="32">
        <f t="shared" si="39"/>
        <v>-0.51458870665983425</v>
      </c>
      <c r="Q192" s="32">
        <f t="shared" si="40"/>
        <v>0.80698132232978881</v>
      </c>
      <c r="R192" s="32">
        <f t="shared" si="41"/>
        <v>0.21586162773242673</v>
      </c>
      <c r="S192" s="32">
        <f t="shared" si="42"/>
        <v>2.4129647679270144E-2</v>
      </c>
      <c r="T192" s="32">
        <f t="shared" si="43"/>
        <v>-0.12522426979936985</v>
      </c>
      <c r="U192" s="32">
        <f t="shared" si="44"/>
        <v>-9.8649377643389324E-2</v>
      </c>
      <c r="V192" s="37">
        <f t="shared" si="45"/>
        <v>0.16467327332187556</v>
      </c>
      <c r="W192"/>
      <c r="AK192" s="45" t="s">
        <v>78</v>
      </c>
      <c r="AL192" s="45">
        <v>7</v>
      </c>
      <c r="AM192" s="45">
        <v>29</v>
      </c>
      <c r="AN192" s="45">
        <v>4.1428571429999996</v>
      </c>
      <c r="AO192" s="45">
        <v>0.14285714299999999</v>
      </c>
      <c r="AP192" s="45"/>
      <c r="AQ192" s="45"/>
      <c r="AR192" s="45"/>
    </row>
    <row r="193" spans="1:44" x14ac:dyDescent="0.35">
      <c r="A193">
        <v>4</v>
      </c>
      <c r="B193">
        <v>2</v>
      </c>
      <c r="C193">
        <v>2</v>
      </c>
      <c r="D193">
        <v>3</v>
      </c>
      <c r="E193">
        <v>2</v>
      </c>
      <c r="F193">
        <v>4</v>
      </c>
      <c r="G193">
        <v>4</v>
      </c>
      <c r="H193" s="25">
        <f t="shared" si="31"/>
        <v>4</v>
      </c>
      <c r="I193" s="25">
        <f t="shared" si="32"/>
        <v>4</v>
      </c>
      <c r="J193" s="25">
        <f t="shared" si="33"/>
        <v>2</v>
      </c>
      <c r="K193" s="25">
        <f t="shared" si="34"/>
        <v>3</v>
      </c>
      <c r="L193" s="25">
        <f t="shared" si="35"/>
        <v>4</v>
      </c>
      <c r="M193" s="25">
        <f t="shared" si="36"/>
        <v>4</v>
      </c>
      <c r="N193" s="25">
        <f t="shared" si="37"/>
        <v>4</v>
      </c>
      <c r="O193" s="32">
        <f t="shared" si="38"/>
        <v>-5.6401471461296142E-2</v>
      </c>
      <c r="P193" s="32">
        <f t="shared" si="39"/>
        <v>0.26360832519077404</v>
      </c>
      <c r="Q193" s="32">
        <f t="shared" si="40"/>
        <v>-1.904915094207053</v>
      </c>
      <c r="R193" s="32">
        <f t="shared" si="41"/>
        <v>-0.61891576076406762</v>
      </c>
      <c r="S193" s="32">
        <f t="shared" si="42"/>
        <v>2.4129647679270144E-2</v>
      </c>
      <c r="T193" s="32">
        <f t="shared" si="43"/>
        <v>-0.12522426979936985</v>
      </c>
      <c r="U193" s="32">
        <f t="shared" si="44"/>
        <v>-9.8649377643389324E-2</v>
      </c>
      <c r="V193" s="37">
        <f t="shared" si="45"/>
        <v>-0.35948114300073314</v>
      </c>
      <c r="W193"/>
      <c r="AK193" s="45" t="s">
        <v>78</v>
      </c>
      <c r="AL193" s="45">
        <v>7</v>
      </c>
      <c r="AM193" s="45">
        <v>29</v>
      </c>
      <c r="AN193" s="45">
        <v>4.1428571429999996</v>
      </c>
      <c r="AO193" s="45">
        <v>0.14285714299999999</v>
      </c>
      <c r="AP193" s="45"/>
      <c r="AQ193" s="45"/>
      <c r="AR193" s="45"/>
    </row>
    <row r="194" spans="1:44" x14ac:dyDescent="0.35">
      <c r="A194">
        <v>4</v>
      </c>
      <c r="B194">
        <v>3</v>
      </c>
      <c r="C194">
        <v>2</v>
      </c>
      <c r="D194">
        <v>3</v>
      </c>
      <c r="E194">
        <v>2</v>
      </c>
      <c r="F194">
        <v>4</v>
      </c>
      <c r="G194">
        <v>4</v>
      </c>
      <c r="H194" s="25">
        <f t="shared" ref="H194:H257" si="46">IF(ISBLANK(A194),"",A194)</f>
        <v>4</v>
      </c>
      <c r="I194" s="25">
        <f t="shared" ref="I194:I257" si="47">IF(ISBLANK(B194),"",6-B194)</f>
        <v>3</v>
      </c>
      <c r="J194" s="25">
        <f t="shared" ref="J194:J257" si="48">IF(ISBLANK(C194),"",C194)</f>
        <v>2</v>
      </c>
      <c r="K194" s="25">
        <f t="shared" ref="K194:K257" si="49">IF(ISBLANK(D194),"",6-D194)</f>
        <v>3</v>
      </c>
      <c r="L194" s="25">
        <f t="shared" ref="L194:L257" si="50">IF(ISBLANK(E194),"",6-E194)</f>
        <v>4</v>
      </c>
      <c r="M194" s="25">
        <f t="shared" ref="M194:M257" si="51">IF(ISBLANK(F194),"",F194)</f>
        <v>4</v>
      </c>
      <c r="N194" s="25">
        <f t="shared" ref="N194:N257" si="52">IF(ISBLANK(G194),"",G194)</f>
        <v>4</v>
      </c>
      <c r="O194" s="32">
        <f t="shared" ref="O194:O257" si="53">IF(ISTEXT(H194),"",STANDARDIZE(H194,H$500,H$501))</f>
        <v>-5.6401471461296142E-2</v>
      </c>
      <c r="P194" s="32">
        <f t="shared" ref="P194:P257" si="54">IF(ISTEXT(I194),"",STANDARDIZE(I194,I$500,I$501))</f>
        <v>-0.51458870665983425</v>
      </c>
      <c r="Q194" s="32">
        <f t="shared" ref="Q194:Q257" si="55">IF(ISTEXT(J194),"",STANDARDIZE(J194,J$500,J$501))</f>
        <v>-1.904915094207053</v>
      </c>
      <c r="R194" s="32">
        <f t="shared" ref="R194:R257" si="56">IF(ISTEXT(K194),"",STANDARDIZE(K194,K$500,K$501))</f>
        <v>-0.61891576076406762</v>
      </c>
      <c r="S194" s="32">
        <f t="shared" ref="S194:S257" si="57">IF(ISTEXT(L194),"",STANDARDIZE(L194,L$500,L$501))</f>
        <v>2.4129647679270144E-2</v>
      </c>
      <c r="T194" s="32">
        <f t="shared" ref="T194:T257" si="58">IF(ISTEXT(M194),"",STANDARDIZE(M194,M$500,M$501))</f>
        <v>-0.12522426979936985</v>
      </c>
      <c r="U194" s="32">
        <f t="shared" ref="U194:U257" si="59">IF(ISTEXT(N194),"",STANDARDIZE(N194,N$500,N$501))</f>
        <v>-9.8649377643389324E-2</v>
      </c>
      <c r="V194" s="37">
        <f t="shared" ref="V194:V257" si="60">AVERAGE(O194:U194)</f>
        <v>-0.47065214755081997</v>
      </c>
      <c r="W194"/>
      <c r="AK194" s="45" t="s">
        <v>78</v>
      </c>
      <c r="AL194" s="45">
        <v>7</v>
      </c>
      <c r="AM194" s="45">
        <v>28</v>
      </c>
      <c r="AN194" s="45">
        <v>4</v>
      </c>
      <c r="AO194" s="45">
        <v>0.33333333300000001</v>
      </c>
      <c r="AP194" s="45"/>
      <c r="AQ194" s="45"/>
      <c r="AR194" s="45"/>
    </row>
    <row r="195" spans="1:44" x14ac:dyDescent="0.35">
      <c r="A195">
        <v>4</v>
      </c>
      <c r="B195">
        <v>2</v>
      </c>
      <c r="C195">
        <v>4</v>
      </c>
      <c r="D195">
        <v>3</v>
      </c>
      <c r="E195">
        <v>2</v>
      </c>
      <c r="F195">
        <v>4</v>
      </c>
      <c r="G195">
        <v>4</v>
      </c>
      <c r="H195" s="25">
        <f t="shared" si="46"/>
        <v>4</v>
      </c>
      <c r="I195" s="25">
        <f t="shared" si="47"/>
        <v>4</v>
      </c>
      <c r="J195" s="25">
        <f t="shared" si="48"/>
        <v>4</v>
      </c>
      <c r="K195" s="25">
        <f t="shared" si="49"/>
        <v>3</v>
      </c>
      <c r="L195" s="25">
        <f t="shared" si="50"/>
        <v>4</v>
      </c>
      <c r="M195" s="25">
        <f t="shared" si="51"/>
        <v>4</v>
      </c>
      <c r="N195" s="25">
        <f t="shared" si="52"/>
        <v>4</v>
      </c>
      <c r="O195" s="32">
        <f t="shared" si="53"/>
        <v>-5.6401471461296142E-2</v>
      </c>
      <c r="P195" s="32">
        <f t="shared" si="54"/>
        <v>0.26360832519077404</v>
      </c>
      <c r="Q195" s="32">
        <f t="shared" si="55"/>
        <v>-9.6984149849158471E-2</v>
      </c>
      <c r="R195" s="32">
        <f t="shared" si="56"/>
        <v>-0.61891576076406762</v>
      </c>
      <c r="S195" s="32">
        <f t="shared" si="57"/>
        <v>2.4129647679270144E-2</v>
      </c>
      <c r="T195" s="32">
        <f t="shared" si="58"/>
        <v>-0.12522426979936985</v>
      </c>
      <c r="U195" s="32">
        <f t="shared" si="59"/>
        <v>-9.8649377643389324E-2</v>
      </c>
      <c r="V195" s="37">
        <f t="shared" si="60"/>
        <v>-0.10120529380674817</v>
      </c>
      <c r="W195"/>
      <c r="AK195" s="45" t="s">
        <v>78</v>
      </c>
      <c r="AL195" s="45">
        <v>7</v>
      </c>
      <c r="AM195" s="45">
        <v>29</v>
      </c>
      <c r="AN195" s="45">
        <v>4.1428571429999996</v>
      </c>
      <c r="AO195" s="45">
        <v>0.47619047599999997</v>
      </c>
      <c r="AP195" s="45"/>
      <c r="AQ195" s="45"/>
      <c r="AR195" s="45"/>
    </row>
    <row r="196" spans="1:44" x14ac:dyDescent="0.35">
      <c r="A196">
        <v>4</v>
      </c>
      <c r="B196">
        <v>4</v>
      </c>
      <c r="C196">
        <v>4</v>
      </c>
      <c r="D196">
        <v>3</v>
      </c>
      <c r="E196">
        <v>2</v>
      </c>
      <c r="F196">
        <v>4</v>
      </c>
      <c r="G196">
        <v>4</v>
      </c>
      <c r="H196" s="25">
        <f t="shared" si="46"/>
        <v>4</v>
      </c>
      <c r="I196" s="25">
        <f t="shared" si="47"/>
        <v>2</v>
      </c>
      <c r="J196" s="25">
        <f t="shared" si="48"/>
        <v>4</v>
      </c>
      <c r="K196" s="25">
        <f t="shared" si="49"/>
        <v>3</v>
      </c>
      <c r="L196" s="25">
        <f t="shared" si="50"/>
        <v>4</v>
      </c>
      <c r="M196" s="25">
        <f t="shared" si="51"/>
        <v>4</v>
      </c>
      <c r="N196" s="25">
        <f t="shared" si="52"/>
        <v>4</v>
      </c>
      <c r="O196" s="32">
        <f t="shared" si="53"/>
        <v>-5.6401471461296142E-2</v>
      </c>
      <c r="P196" s="32">
        <f t="shared" si="54"/>
        <v>-1.2927857385104427</v>
      </c>
      <c r="Q196" s="32">
        <f t="shared" si="55"/>
        <v>-9.6984149849158471E-2</v>
      </c>
      <c r="R196" s="32">
        <f t="shared" si="56"/>
        <v>-0.61891576076406762</v>
      </c>
      <c r="S196" s="32">
        <f t="shared" si="57"/>
        <v>2.4129647679270144E-2</v>
      </c>
      <c r="T196" s="32">
        <f t="shared" si="58"/>
        <v>-0.12522426979936985</v>
      </c>
      <c r="U196" s="32">
        <f t="shared" si="59"/>
        <v>-9.8649377643389324E-2</v>
      </c>
      <c r="V196" s="37">
        <f t="shared" si="60"/>
        <v>-0.32354730290692196</v>
      </c>
      <c r="W196"/>
      <c r="AK196" s="45" t="s">
        <v>78</v>
      </c>
      <c r="AL196" s="45">
        <v>7</v>
      </c>
      <c r="AM196" s="45">
        <v>25</v>
      </c>
      <c r="AN196" s="45">
        <v>3.5714285710000002</v>
      </c>
      <c r="AO196" s="45">
        <v>0.61904761900000005</v>
      </c>
      <c r="AP196" s="45"/>
      <c r="AQ196" s="45"/>
      <c r="AR196" s="45"/>
    </row>
    <row r="197" spans="1:44" x14ac:dyDescent="0.35">
      <c r="A197">
        <v>4</v>
      </c>
      <c r="B197">
        <v>4</v>
      </c>
      <c r="C197">
        <v>4</v>
      </c>
      <c r="D197">
        <v>3</v>
      </c>
      <c r="E197">
        <v>2</v>
      </c>
      <c r="F197">
        <v>4</v>
      </c>
      <c r="G197">
        <v>4</v>
      </c>
      <c r="H197" s="25">
        <f t="shared" si="46"/>
        <v>4</v>
      </c>
      <c r="I197" s="25">
        <f t="shared" si="47"/>
        <v>2</v>
      </c>
      <c r="J197" s="25">
        <f t="shared" si="48"/>
        <v>4</v>
      </c>
      <c r="K197" s="25">
        <f t="shared" si="49"/>
        <v>3</v>
      </c>
      <c r="L197" s="25">
        <f t="shared" si="50"/>
        <v>4</v>
      </c>
      <c r="M197" s="25">
        <f t="shared" si="51"/>
        <v>4</v>
      </c>
      <c r="N197" s="25">
        <f t="shared" si="52"/>
        <v>4</v>
      </c>
      <c r="O197" s="32">
        <f t="shared" si="53"/>
        <v>-5.6401471461296142E-2</v>
      </c>
      <c r="P197" s="32">
        <f t="shared" si="54"/>
        <v>-1.2927857385104427</v>
      </c>
      <c r="Q197" s="32">
        <f t="shared" si="55"/>
        <v>-9.6984149849158471E-2</v>
      </c>
      <c r="R197" s="32">
        <f t="shared" si="56"/>
        <v>-0.61891576076406762</v>
      </c>
      <c r="S197" s="32">
        <f t="shared" si="57"/>
        <v>2.4129647679270144E-2</v>
      </c>
      <c r="T197" s="32">
        <f t="shared" si="58"/>
        <v>-0.12522426979936985</v>
      </c>
      <c r="U197" s="32">
        <f t="shared" si="59"/>
        <v>-9.8649377643389324E-2</v>
      </c>
      <c r="V197" s="37">
        <f t="shared" si="60"/>
        <v>-0.32354730290692196</v>
      </c>
      <c r="W197"/>
      <c r="AK197" s="45" t="s">
        <v>78</v>
      </c>
      <c r="AL197" s="45">
        <v>7</v>
      </c>
      <c r="AM197" s="45">
        <v>24</v>
      </c>
      <c r="AN197" s="45">
        <v>3.4285714289999998</v>
      </c>
      <c r="AO197" s="45">
        <v>0.61904761900000005</v>
      </c>
      <c r="AP197" s="45"/>
      <c r="AQ197" s="45"/>
      <c r="AR197" s="45"/>
    </row>
    <row r="198" spans="1:44" x14ac:dyDescent="0.35">
      <c r="A198">
        <v>4</v>
      </c>
      <c r="B198">
        <v>2</v>
      </c>
      <c r="C198">
        <v>5</v>
      </c>
      <c r="D198">
        <v>3</v>
      </c>
      <c r="E198">
        <v>2</v>
      </c>
      <c r="F198">
        <v>4</v>
      </c>
      <c r="G198">
        <v>4</v>
      </c>
      <c r="H198" s="25">
        <f t="shared" si="46"/>
        <v>4</v>
      </c>
      <c r="I198" s="25">
        <f t="shared" si="47"/>
        <v>4</v>
      </c>
      <c r="J198" s="25">
        <f t="shared" si="48"/>
        <v>5</v>
      </c>
      <c r="K198" s="25">
        <f t="shared" si="49"/>
        <v>3</v>
      </c>
      <c r="L198" s="25">
        <f t="shared" si="50"/>
        <v>4</v>
      </c>
      <c r="M198" s="25">
        <f t="shared" si="51"/>
        <v>4</v>
      </c>
      <c r="N198" s="25">
        <f t="shared" si="52"/>
        <v>4</v>
      </c>
      <c r="O198" s="32">
        <f t="shared" si="53"/>
        <v>-5.6401471461296142E-2</v>
      </c>
      <c r="P198" s="32">
        <f t="shared" si="54"/>
        <v>0.26360832519077404</v>
      </c>
      <c r="Q198" s="32">
        <f t="shared" si="55"/>
        <v>0.80698132232978881</v>
      </c>
      <c r="R198" s="32">
        <f t="shared" si="56"/>
        <v>-0.61891576076406762</v>
      </c>
      <c r="S198" s="32">
        <f t="shared" si="57"/>
        <v>2.4129647679270144E-2</v>
      </c>
      <c r="T198" s="32">
        <f t="shared" si="58"/>
        <v>-0.12522426979936985</v>
      </c>
      <c r="U198" s="32">
        <f t="shared" si="59"/>
        <v>-9.8649377643389324E-2</v>
      </c>
      <c r="V198" s="37">
        <f t="shared" si="60"/>
        <v>2.793263079024428E-2</v>
      </c>
      <c r="W198"/>
      <c r="AK198" s="45" t="s">
        <v>78</v>
      </c>
      <c r="AL198" s="45">
        <v>7</v>
      </c>
      <c r="AM198" s="45">
        <v>27</v>
      </c>
      <c r="AN198" s="45">
        <v>3.8571428569999999</v>
      </c>
      <c r="AO198" s="45">
        <v>0.14285714299999999</v>
      </c>
      <c r="AP198" s="45"/>
      <c r="AQ198" s="45"/>
      <c r="AR198" s="45"/>
    </row>
    <row r="199" spans="1:44" x14ac:dyDescent="0.35">
      <c r="A199">
        <v>4</v>
      </c>
      <c r="B199">
        <v>2</v>
      </c>
      <c r="C199">
        <v>2</v>
      </c>
      <c r="D199">
        <v>3</v>
      </c>
      <c r="E199">
        <v>3</v>
      </c>
      <c r="F199">
        <v>4</v>
      </c>
      <c r="G199">
        <v>4</v>
      </c>
      <c r="H199" s="25">
        <f t="shared" si="46"/>
        <v>4</v>
      </c>
      <c r="I199" s="25">
        <f t="shared" si="47"/>
        <v>4</v>
      </c>
      <c r="J199" s="25">
        <f t="shared" si="48"/>
        <v>2</v>
      </c>
      <c r="K199" s="25">
        <f t="shared" si="49"/>
        <v>3</v>
      </c>
      <c r="L199" s="25">
        <f t="shared" si="50"/>
        <v>3</v>
      </c>
      <c r="M199" s="25">
        <f t="shared" si="51"/>
        <v>4</v>
      </c>
      <c r="N199" s="25">
        <f t="shared" si="52"/>
        <v>4</v>
      </c>
      <c r="O199" s="32">
        <f t="shared" si="53"/>
        <v>-5.6401471461296142E-2</v>
      </c>
      <c r="P199" s="32">
        <f t="shared" si="54"/>
        <v>0.26360832519077404</v>
      </c>
      <c r="Q199" s="32">
        <f t="shared" si="55"/>
        <v>-1.904915094207053</v>
      </c>
      <c r="R199" s="32">
        <f t="shared" si="56"/>
        <v>-0.61891576076406762</v>
      </c>
      <c r="S199" s="32">
        <f t="shared" si="57"/>
        <v>-0.82040802109518784</v>
      </c>
      <c r="T199" s="32">
        <f t="shared" si="58"/>
        <v>-0.12522426979936985</v>
      </c>
      <c r="U199" s="32">
        <f t="shared" si="59"/>
        <v>-9.8649377643389324E-2</v>
      </c>
      <c r="V199" s="37">
        <f t="shared" si="60"/>
        <v>-0.48012938139708428</v>
      </c>
      <c r="W199"/>
      <c r="AK199" s="45" t="s">
        <v>78</v>
      </c>
      <c r="AL199" s="45">
        <v>7</v>
      </c>
      <c r="AM199" s="45">
        <v>25</v>
      </c>
      <c r="AN199" s="45">
        <v>3.5714285710000002</v>
      </c>
      <c r="AO199" s="45">
        <v>0.61904761900000005</v>
      </c>
      <c r="AP199" s="45"/>
      <c r="AQ199" s="45"/>
      <c r="AR199" s="45"/>
    </row>
    <row r="200" spans="1:44" x14ac:dyDescent="0.35">
      <c r="A200">
        <v>3</v>
      </c>
      <c r="B200">
        <v>3</v>
      </c>
      <c r="C200">
        <v>3</v>
      </c>
      <c r="D200">
        <v>3</v>
      </c>
      <c r="E200">
        <v>3</v>
      </c>
      <c r="F200">
        <v>4</v>
      </c>
      <c r="G200">
        <v>4</v>
      </c>
      <c r="H200" s="25">
        <f t="shared" si="46"/>
        <v>3</v>
      </c>
      <c r="I200" s="25">
        <f t="shared" si="47"/>
        <v>3</v>
      </c>
      <c r="J200" s="25">
        <f t="shared" si="48"/>
        <v>3</v>
      </c>
      <c r="K200" s="25">
        <f t="shared" si="49"/>
        <v>3</v>
      </c>
      <c r="L200" s="25">
        <f t="shared" si="50"/>
        <v>3</v>
      </c>
      <c r="M200" s="25">
        <f t="shared" si="51"/>
        <v>4</v>
      </c>
      <c r="N200" s="25">
        <f t="shared" si="52"/>
        <v>4</v>
      </c>
      <c r="O200" s="32">
        <f t="shared" si="53"/>
        <v>-0.95700561253682881</v>
      </c>
      <c r="P200" s="32">
        <f t="shared" si="54"/>
        <v>-0.51458870665983425</v>
      </c>
      <c r="Q200" s="32">
        <f t="shared" si="55"/>
        <v>-1.0009496220281058</v>
      </c>
      <c r="R200" s="32">
        <f t="shared" si="56"/>
        <v>-0.61891576076406762</v>
      </c>
      <c r="S200" s="32">
        <f t="shared" si="57"/>
        <v>-0.82040802109518784</v>
      </c>
      <c r="T200" s="32">
        <f t="shared" si="58"/>
        <v>-0.12522426979936985</v>
      </c>
      <c r="U200" s="32">
        <f t="shared" si="59"/>
        <v>-9.8649377643389324E-2</v>
      </c>
      <c r="V200" s="37">
        <f t="shared" si="60"/>
        <v>-0.59082019578954059</v>
      </c>
      <c r="W200"/>
      <c r="AK200" s="45" t="s">
        <v>78</v>
      </c>
      <c r="AL200" s="45">
        <v>7</v>
      </c>
      <c r="AM200" s="45">
        <v>25</v>
      </c>
      <c r="AN200" s="45">
        <v>3.5714285710000002</v>
      </c>
      <c r="AO200" s="45">
        <v>0.61904761900000005</v>
      </c>
      <c r="AP200" s="45"/>
      <c r="AQ200" s="45"/>
      <c r="AR200" s="45"/>
    </row>
    <row r="201" spans="1:44" x14ac:dyDescent="0.35">
      <c r="A201">
        <v>3</v>
      </c>
      <c r="B201">
        <v>2</v>
      </c>
      <c r="C201">
        <v>4</v>
      </c>
      <c r="D201">
        <v>3</v>
      </c>
      <c r="E201">
        <v>3</v>
      </c>
      <c r="F201">
        <v>4</v>
      </c>
      <c r="G201">
        <v>4</v>
      </c>
      <c r="H201" s="25">
        <f t="shared" si="46"/>
        <v>3</v>
      </c>
      <c r="I201" s="25">
        <f t="shared" si="47"/>
        <v>4</v>
      </c>
      <c r="J201" s="25">
        <f t="shared" si="48"/>
        <v>4</v>
      </c>
      <c r="K201" s="25">
        <f t="shared" si="49"/>
        <v>3</v>
      </c>
      <c r="L201" s="25">
        <f t="shared" si="50"/>
        <v>3</v>
      </c>
      <c r="M201" s="25">
        <f t="shared" si="51"/>
        <v>4</v>
      </c>
      <c r="N201" s="25">
        <f t="shared" si="52"/>
        <v>4</v>
      </c>
      <c r="O201" s="32">
        <f t="shared" si="53"/>
        <v>-0.95700561253682881</v>
      </c>
      <c r="P201" s="32">
        <f t="shared" si="54"/>
        <v>0.26360832519077404</v>
      </c>
      <c r="Q201" s="32">
        <f t="shared" si="55"/>
        <v>-9.6984149849158471E-2</v>
      </c>
      <c r="R201" s="32">
        <f t="shared" si="56"/>
        <v>-0.61891576076406762</v>
      </c>
      <c r="S201" s="32">
        <f t="shared" si="57"/>
        <v>-0.82040802109518784</v>
      </c>
      <c r="T201" s="32">
        <f t="shared" si="58"/>
        <v>-0.12522426979936985</v>
      </c>
      <c r="U201" s="32">
        <f t="shared" si="59"/>
        <v>-9.8649377643389324E-2</v>
      </c>
      <c r="V201" s="37">
        <f t="shared" si="60"/>
        <v>-0.35051126664246113</v>
      </c>
      <c r="W201"/>
      <c r="AK201" s="45" t="s">
        <v>78</v>
      </c>
      <c r="AL201" s="45">
        <v>7</v>
      </c>
      <c r="AM201" s="45">
        <v>28</v>
      </c>
      <c r="AN201" s="45">
        <v>4</v>
      </c>
      <c r="AO201" s="45">
        <v>0.33333333300000001</v>
      </c>
      <c r="AP201" s="45"/>
      <c r="AQ201" s="45"/>
      <c r="AR201" s="45"/>
    </row>
    <row r="202" spans="1:44" x14ac:dyDescent="0.35">
      <c r="A202">
        <v>4</v>
      </c>
      <c r="B202">
        <v>2</v>
      </c>
      <c r="C202">
        <v>4</v>
      </c>
      <c r="D202">
        <v>3</v>
      </c>
      <c r="E202">
        <v>3</v>
      </c>
      <c r="F202">
        <v>4</v>
      </c>
      <c r="G202">
        <v>4</v>
      </c>
      <c r="H202" s="25">
        <f t="shared" si="46"/>
        <v>4</v>
      </c>
      <c r="I202" s="25">
        <f t="shared" si="47"/>
        <v>4</v>
      </c>
      <c r="J202" s="25">
        <f t="shared" si="48"/>
        <v>4</v>
      </c>
      <c r="K202" s="25">
        <f t="shared" si="49"/>
        <v>3</v>
      </c>
      <c r="L202" s="25">
        <f t="shared" si="50"/>
        <v>3</v>
      </c>
      <c r="M202" s="25">
        <f t="shared" si="51"/>
        <v>4</v>
      </c>
      <c r="N202" s="25">
        <f t="shared" si="52"/>
        <v>4</v>
      </c>
      <c r="O202" s="32">
        <f t="shared" si="53"/>
        <v>-5.6401471461296142E-2</v>
      </c>
      <c r="P202" s="32">
        <f t="shared" si="54"/>
        <v>0.26360832519077404</v>
      </c>
      <c r="Q202" s="32">
        <f t="shared" si="55"/>
        <v>-9.6984149849158471E-2</v>
      </c>
      <c r="R202" s="32">
        <f t="shared" si="56"/>
        <v>-0.61891576076406762</v>
      </c>
      <c r="S202" s="32">
        <f t="shared" si="57"/>
        <v>-0.82040802109518784</v>
      </c>
      <c r="T202" s="32">
        <f t="shared" si="58"/>
        <v>-0.12522426979936985</v>
      </c>
      <c r="U202" s="32">
        <f t="shared" si="59"/>
        <v>-9.8649377643389324E-2</v>
      </c>
      <c r="V202" s="37">
        <f t="shared" si="60"/>
        <v>-0.22185353220309936</v>
      </c>
      <c r="W202"/>
      <c r="AK202" s="45" t="s">
        <v>78</v>
      </c>
      <c r="AL202" s="45">
        <v>7</v>
      </c>
      <c r="AM202" s="45">
        <v>24</v>
      </c>
      <c r="AN202" s="45">
        <v>3.4285714289999998</v>
      </c>
      <c r="AO202" s="45">
        <v>0.61904761900000005</v>
      </c>
      <c r="AP202" s="45"/>
      <c r="AQ202" s="45"/>
      <c r="AR202" s="45"/>
    </row>
    <row r="203" spans="1:44" x14ac:dyDescent="0.35">
      <c r="A203">
        <v>4</v>
      </c>
      <c r="B203">
        <v>4</v>
      </c>
      <c r="C203">
        <v>4</v>
      </c>
      <c r="D203">
        <v>3</v>
      </c>
      <c r="E203">
        <v>3</v>
      </c>
      <c r="F203">
        <v>4</v>
      </c>
      <c r="G203">
        <v>4</v>
      </c>
      <c r="H203" s="25">
        <f t="shared" si="46"/>
        <v>4</v>
      </c>
      <c r="I203" s="25">
        <f t="shared" si="47"/>
        <v>2</v>
      </c>
      <c r="J203" s="25">
        <f t="shared" si="48"/>
        <v>4</v>
      </c>
      <c r="K203" s="25">
        <f t="shared" si="49"/>
        <v>3</v>
      </c>
      <c r="L203" s="25">
        <f t="shared" si="50"/>
        <v>3</v>
      </c>
      <c r="M203" s="25">
        <f t="shared" si="51"/>
        <v>4</v>
      </c>
      <c r="N203" s="25">
        <f t="shared" si="52"/>
        <v>4</v>
      </c>
      <c r="O203" s="32">
        <f t="shared" si="53"/>
        <v>-5.6401471461296142E-2</v>
      </c>
      <c r="P203" s="32">
        <f t="shared" si="54"/>
        <v>-1.2927857385104427</v>
      </c>
      <c r="Q203" s="32">
        <f t="shared" si="55"/>
        <v>-9.6984149849158471E-2</v>
      </c>
      <c r="R203" s="32">
        <f t="shared" si="56"/>
        <v>-0.61891576076406762</v>
      </c>
      <c r="S203" s="32">
        <f t="shared" si="57"/>
        <v>-0.82040802109518784</v>
      </c>
      <c r="T203" s="32">
        <f t="shared" si="58"/>
        <v>-0.12522426979936985</v>
      </c>
      <c r="U203" s="32">
        <f t="shared" si="59"/>
        <v>-9.8649377643389324E-2</v>
      </c>
      <c r="V203" s="37">
        <f t="shared" si="60"/>
        <v>-0.4441955413032731</v>
      </c>
      <c r="W203"/>
      <c r="AK203" s="45" t="s">
        <v>78</v>
      </c>
      <c r="AL203" s="45">
        <v>7</v>
      </c>
      <c r="AM203" s="45">
        <v>23</v>
      </c>
      <c r="AN203" s="45">
        <v>3.2857142860000002</v>
      </c>
      <c r="AO203" s="45">
        <v>0.23809523799999999</v>
      </c>
      <c r="AP203" s="45"/>
      <c r="AQ203" s="45"/>
      <c r="AR203" s="45"/>
    </row>
    <row r="204" spans="1:44" x14ac:dyDescent="0.35">
      <c r="A204">
        <v>4</v>
      </c>
      <c r="B204">
        <v>2</v>
      </c>
      <c r="C204">
        <v>3</v>
      </c>
      <c r="D204">
        <v>4</v>
      </c>
      <c r="E204">
        <v>3</v>
      </c>
      <c r="F204">
        <v>4</v>
      </c>
      <c r="G204">
        <v>4</v>
      </c>
      <c r="H204" s="25">
        <f t="shared" si="46"/>
        <v>4</v>
      </c>
      <c r="I204" s="25">
        <f t="shared" si="47"/>
        <v>4</v>
      </c>
      <c r="J204" s="25">
        <f t="shared" si="48"/>
        <v>3</v>
      </c>
      <c r="K204" s="25">
        <f t="shared" si="49"/>
        <v>2</v>
      </c>
      <c r="L204" s="25">
        <f t="shared" si="50"/>
        <v>3</v>
      </c>
      <c r="M204" s="25">
        <f t="shared" si="51"/>
        <v>4</v>
      </c>
      <c r="N204" s="25">
        <f t="shared" si="52"/>
        <v>4</v>
      </c>
      <c r="O204" s="32">
        <f t="shared" si="53"/>
        <v>-5.6401471461296142E-2</v>
      </c>
      <c r="P204" s="32">
        <f t="shared" si="54"/>
        <v>0.26360832519077404</v>
      </c>
      <c r="Q204" s="32">
        <f t="shared" si="55"/>
        <v>-1.0009496220281058</v>
      </c>
      <c r="R204" s="32">
        <f t="shared" si="56"/>
        <v>-1.453693149260562</v>
      </c>
      <c r="S204" s="32">
        <f t="shared" si="57"/>
        <v>-0.82040802109518784</v>
      </c>
      <c r="T204" s="32">
        <f t="shared" si="58"/>
        <v>-0.12522426979936985</v>
      </c>
      <c r="U204" s="32">
        <f t="shared" si="59"/>
        <v>-9.8649377643389324E-2</v>
      </c>
      <c r="V204" s="37">
        <f t="shared" si="60"/>
        <v>-0.4702453694424481</v>
      </c>
      <c r="W204"/>
      <c r="AK204" s="45" t="s">
        <v>78</v>
      </c>
      <c r="AL204" s="45">
        <v>7</v>
      </c>
      <c r="AM204" s="45">
        <v>25</v>
      </c>
      <c r="AN204" s="45">
        <v>3.5714285710000002</v>
      </c>
      <c r="AO204" s="45">
        <v>0.28571428599999998</v>
      </c>
      <c r="AP204" s="45"/>
      <c r="AQ204" s="45"/>
      <c r="AR204" s="45"/>
    </row>
    <row r="205" spans="1:44" x14ac:dyDescent="0.35">
      <c r="A205">
        <v>4</v>
      </c>
      <c r="B205">
        <v>5</v>
      </c>
      <c r="C205">
        <v>5</v>
      </c>
      <c r="D205">
        <v>4</v>
      </c>
      <c r="E205">
        <v>3</v>
      </c>
      <c r="F205">
        <v>4</v>
      </c>
      <c r="G205">
        <v>4</v>
      </c>
      <c r="H205" s="25">
        <f t="shared" si="46"/>
        <v>4</v>
      </c>
      <c r="I205" s="25">
        <f t="shared" si="47"/>
        <v>1</v>
      </c>
      <c r="J205" s="25">
        <f t="shared" si="48"/>
        <v>5</v>
      </c>
      <c r="K205" s="25">
        <f t="shared" si="49"/>
        <v>2</v>
      </c>
      <c r="L205" s="25">
        <f t="shared" si="50"/>
        <v>3</v>
      </c>
      <c r="M205" s="25">
        <f t="shared" si="51"/>
        <v>4</v>
      </c>
      <c r="N205" s="25">
        <f t="shared" si="52"/>
        <v>4</v>
      </c>
      <c r="O205" s="32">
        <f t="shared" si="53"/>
        <v>-5.6401471461296142E-2</v>
      </c>
      <c r="P205" s="32">
        <f t="shared" si="54"/>
        <v>-2.0709827703610508</v>
      </c>
      <c r="Q205" s="32">
        <f t="shared" si="55"/>
        <v>0.80698132232978881</v>
      </c>
      <c r="R205" s="32">
        <f t="shared" si="56"/>
        <v>-1.453693149260562</v>
      </c>
      <c r="S205" s="32">
        <f t="shared" si="57"/>
        <v>-0.82040802109518784</v>
      </c>
      <c r="T205" s="32">
        <f t="shared" si="58"/>
        <v>-0.12522426979936985</v>
      </c>
      <c r="U205" s="32">
        <f t="shared" si="59"/>
        <v>-9.8649377643389324E-2</v>
      </c>
      <c r="V205" s="37">
        <f t="shared" si="60"/>
        <v>-0.54548253389872381</v>
      </c>
      <c r="W205"/>
      <c r="AK205" s="45" t="s">
        <v>78</v>
      </c>
      <c r="AL205" s="45">
        <v>7</v>
      </c>
      <c r="AM205" s="45">
        <v>26</v>
      </c>
      <c r="AN205" s="45">
        <v>3.7142857139999998</v>
      </c>
      <c r="AO205" s="45">
        <v>0.23809523799999999</v>
      </c>
      <c r="AP205" s="45"/>
      <c r="AQ205" s="45"/>
      <c r="AR205" s="45"/>
    </row>
    <row r="206" spans="1:44" x14ac:dyDescent="0.35">
      <c r="A206">
        <v>5</v>
      </c>
      <c r="B206">
        <v>4</v>
      </c>
      <c r="C206">
        <v>4</v>
      </c>
      <c r="D206">
        <v>2</v>
      </c>
      <c r="E206">
        <v>4</v>
      </c>
      <c r="F206">
        <v>4</v>
      </c>
      <c r="G206">
        <v>4</v>
      </c>
      <c r="H206" s="25">
        <f t="shared" si="46"/>
        <v>5</v>
      </c>
      <c r="I206" s="25">
        <f t="shared" si="47"/>
        <v>2</v>
      </c>
      <c r="J206" s="25">
        <f t="shared" si="48"/>
        <v>4</v>
      </c>
      <c r="K206" s="25">
        <f t="shared" si="49"/>
        <v>4</v>
      </c>
      <c r="L206" s="25">
        <f t="shared" si="50"/>
        <v>2</v>
      </c>
      <c r="M206" s="25">
        <f t="shared" si="51"/>
        <v>4</v>
      </c>
      <c r="N206" s="25">
        <f t="shared" si="52"/>
        <v>4</v>
      </c>
      <c r="O206" s="32">
        <f t="shared" si="53"/>
        <v>0.84420266961423651</v>
      </c>
      <c r="P206" s="32">
        <f t="shared" si="54"/>
        <v>-1.2927857385104427</v>
      </c>
      <c r="Q206" s="32">
        <f t="shared" si="55"/>
        <v>-9.6984149849158471E-2</v>
      </c>
      <c r="R206" s="32">
        <f t="shared" si="56"/>
        <v>0.21586162773242673</v>
      </c>
      <c r="S206" s="32">
        <f t="shared" si="57"/>
        <v>-1.664945689869646</v>
      </c>
      <c r="T206" s="32">
        <f t="shared" si="58"/>
        <v>-0.12522426979936985</v>
      </c>
      <c r="U206" s="32">
        <f t="shared" si="59"/>
        <v>-9.8649377643389324E-2</v>
      </c>
      <c r="V206" s="37">
        <f t="shared" si="60"/>
        <v>-0.31693213261790615</v>
      </c>
      <c r="W206"/>
      <c r="AK206" s="45" t="s">
        <v>78</v>
      </c>
      <c r="AL206" s="45">
        <v>7</v>
      </c>
      <c r="AM206" s="45">
        <v>24</v>
      </c>
      <c r="AN206" s="45">
        <v>3.4285714289999998</v>
      </c>
      <c r="AO206" s="45">
        <v>0.61904761900000005</v>
      </c>
      <c r="AP206" s="45"/>
      <c r="AQ206" s="45"/>
      <c r="AR206" s="45"/>
    </row>
    <row r="207" spans="1:44" x14ac:dyDescent="0.35">
      <c r="A207">
        <v>1</v>
      </c>
      <c r="B207">
        <v>3</v>
      </c>
      <c r="C207">
        <v>3</v>
      </c>
      <c r="D207">
        <v>3</v>
      </c>
      <c r="E207">
        <v>4</v>
      </c>
      <c r="F207">
        <v>4</v>
      </c>
      <c r="G207">
        <v>4</v>
      </c>
      <c r="H207" s="25">
        <f t="shared" si="46"/>
        <v>1</v>
      </c>
      <c r="I207" s="25">
        <f t="shared" si="47"/>
        <v>3</v>
      </c>
      <c r="J207" s="25">
        <f t="shared" si="48"/>
        <v>3</v>
      </c>
      <c r="K207" s="25">
        <f t="shared" si="49"/>
        <v>3</v>
      </c>
      <c r="L207" s="25">
        <f t="shared" si="50"/>
        <v>2</v>
      </c>
      <c r="M207" s="25">
        <f t="shared" si="51"/>
        <v>4</v>
      </c>
      <c r="N207" s="25">
        <f t="shared" si="52"/>
        <v>4</v>
      </c>
      <c r="O207" s="32">
        <f t="shared" si="53"/>
        <v>-2.758213894687894</v>
      </c>
      <c r="P207" s="32">
        <f t="shared" si="54"/>
        <v>-0.51458870665983425</v>
      </c>
      <c r="Q207" s="32">
        <f t="shared" si="55"/>
        <v>-1.0009496220281058</v>
      </c>
      <c r="R207" s="32">
        <f t="shared" si="56"/>
        <v>-0.61891576076406762</v>
      </c>
      <c r="S207" s="32">
        <f t="shared" si="57"/>
        <v>-1.664945689869646</v>
      </c>
      <c r="T207" s="32">
        <f t="shared" si="58"/>
        <v>-0.12522426979936985</v>
      </c>
      <c r="U207" s="32">
        <f t="shared" si="59"/>
        <v>-9.8649377643389324E-2</v>
      </c>
      <c r="V207" s="37">
        <f t="shared" si="60"/>
        <v>-0.96878390306461526</v>
      </c>
      <c r="W207"/>
      <c r="AK207" s="45" t="s">
        <v>78</v>
      </c>
      <c r="AL207" s="45">
        <v>7</v>
      </c>
      <c r="AM207" s="45">
        <v>24</v>
      </c>
      <c r="AN207" s="45">
        <v>3.4285714289999998</v>
      </c>
      <c r="AO207" s="45">
        <v>0.61904761900000005</v>
      </c>
      <c r="AP207" s="45"/>
      <c r="AQ207" s="45"/>
      <c r="AR207" s="45"/>
    </row>
    <row r="208" spans="1:44" x14ac:dyDescent="0.35">
      <c r="A208">
        <v>4</v>
      </c>
      <c r="B208">
        <v>3</v>
      </c>
      <c r="C208">
        <v>3</v>
      </c>
      <c r="D208">
        <v>3</v>
      </c>
      <c r="E208">
        <v>4</v>
      </c>
      <c r="F208">
        <v>4</v>
      </c>
      <c r="G208">
        <v>4</v>
      </c>
      <c r="H208" s="25">
        <f t="shared" si="46"/>
        <v>4</v>
      </c>
      <c r="I208" s="25">
        <f t="shared" si="47"/>
        <v>3</v>
      </c>
      <c r="J208" s="25">
        <f t="shared" si="48"/>
        <v>3</v>
      </c>
      <c r="K208" s="25">
        <f t="shared" si="49"/>
        <v>3</v>
      </c>
      <c r="L208" s="25">
        <f t="shared" si="50"/>
        <v>2</v>
      </c>
      <c r="M208" s="25">
        <f t="shared" si="51"/>
        <v>4</v>
      </c>
      <c r="N208" s="25">
        <f t="shared" si="52"/>
        <v>4</v>
      </c>
      <c r="O208" s="32">
        <f t="shared" si="53"/>
        <v>-5.6401471461296142E-2</v>
      </c>
      <c r="P208" s="32">
        <f t="shared" si="54"/>
        <v>-0.51458870665983425</v>
      </c>
      <c r="Q208" s="32">
        <f t="shared" si="55"/>
        <v>-1.0009496220281058</v>
      </c>
      <c r="R208" s="32">
        <f t="shared" si="56"/>
        <v>-0.61891576076406762</v>
      </c>
      <c r="S208" s="32">
        <f t="shared" si="57"/>
        <v>-1.664945689869646</v>
      </c>
      <c r="T208" s="32">
        <f t="shared" si="58"/>
        <v>-0.12522426979936985</v>
      </c>
      <c r="U208" s="32">
        <f t="shared" si="59"/>
        <v>-9.8649377643389324E-2</v>
      </c>
      <c r="V208" s="37">
        <f t="shared" si="60"/>
        <v>-0.58281069974652977</v>
      </c>
      <c r="W208"/>
      <c r="AK208" s="45" t="s">
        <v>78</v>
      </c>
      <c r="AL208" s="45">
        <v>7</v>
      </c>
      <c r="AM208" s="45">
        <v>23</v>
      </c>
      <c r="AN208" s="45">
        <v>3.2857142860000002</v>
      </c>
      <c r="AO208" s="45">
        <v>1.904761905</v>
      </c>
      <c r="AP208" s="45"/>
      <c r="AQ208" s="45"/>
      <c r="AR208" s="45"/>
    </row>
    <row r="209" spans="1:44" x14ac:dyDescent="0.35">
      <c r="A209">
        <v>3</v>
      </c>
      <c r="B209">
        <v>1</v>
      </c>
      <c r="C209">
        <v>4</v>
      </c>
      <c r="D209">
        <v>3</v>
      </c>
      <c r="E209">
        <v>4</v>
      </c>
      <c r="F209">
        <v>4</v>
      </c>
      <c r="G209">
        <v>4</v>
      </c>
      <c r="H209" s="25">
        <f t="shared" si="46"/>
        <v>3</v>
      </c>
      <c r="I209" s="25">
        <f t="shared" si="47"/>
        <v>5</v>
      </c>
      <c r="J209" s="25">
        <f t="shared" si="48"/>
        <v>4</v>
      </c>
      <c r="K209" s="25">
        <f t="shared" si="49"/>
        <v>3</v>
      </c>
      <c r="L209" s="25">
        <f t="shared" si="50"/>
        <v>2</v>
      </c>
      <c r="M209" s="25">
        <f t="shared" si="51"/>
        <v>4</v>
      </c>
      <c r="N209" s="25">
        <f t="shared" si="52"/>
        <v>4</v>
      </c>
      <c r="O209" s="32">
        <f t="shared" si="53"/>
        <v>-0.95700561253682881</v>
      </c>
      <c r="P209" s="32">
        <f t="shared" si="54"/>
        <v>1.0418053570413823</v>
      </c>
      <c r="Q209" s="32">
        <f t="shared" si="55"/>
        <v>-9.6984149849158471E-2</v>
      </c>
      <c r="R209" s="32">
        <f t="shared" si="56"/>
        <v>-0.61891576076406762</v>
      </c>
      <c r="S209" s="32">
        <f t="shared" si="57"/>
        <v>-1.664945689869646</v>
      </c>
      <c r="T209" s="32">
        <f t="shared" si="58"/>
        <v>-0.12522426979936985</v>
      </c>
      <c r="U209" s="32">
        <f t="shared" si="59"/>
        <v>-9.8649377643389324E-2</v>
      </c>
      <c r="V209" s="37">
        <f t="shared" si="60"/>
        <v>-0.35998850048872544</v>
      </c>
      <c r="W209"/>
      <c r="AK209" s="45" t="s">
        <v>78</v>
      </c>
      <c r="AL209" s="45">
        <v>7</v>
      </c>
      <c r="AM209" s="45">
        <v>25</v>
      </c>
      <c r="AN209" s="45">
        <v>3.5714285710000002</v>
      </c>
      <c r="AO209" s="45">
        <v>1.2857142859999999</v>
      </c>
      <c r="AP209" s="45"/>
      <c r="AQ209" s="45"/>
      <c r="AR209" s="45"/>
    </row>
    <row r="210" spans="1:44" x14ac:dyDescent="0.35">
      <c r="A210">
        <v>4</v>
      </c>
      <c r="B210">
        <v>2</v>
      </c>
      <c r="C210">
        <v>4</v>
      </c>
      <c r="D210">
        <v>3</v>
      </c>
      <c r="E210">
        <v>4</v>
      </c>
      <c r="F210">
        <v>4</v>
      </c>
      <c r="G210">
        <v>4</v>
      </c>
      <c r="H210" s="25">
        <f t="shared" si="46"/>
        <v>4</v>
      </c>
      <c r="I210" s="25">
        <f t="shared" si="47"/>
        <v>4</v>
      </c>
      <c r="J210" s="25">
        <f t="shared" si="48"/>
        <v>4</v>
      </c>
      <c r="K210" s="25">
        <f t="shared" si="49"/>
        <v>3</v>
      </c>
      <c r="L210" s="25">
        <f t="shared" si="50"/>
        <v>2</v>
      </c>
      <c r="M210" s="25">
        <f t="shared" si="51"/>
        <v>4</v>
      </c>
      <c r="N210" s="25">
        <f t="shared" si="52"/>
        <v>4</v>
      </c>
      <c r="O210" s="32">
        <f t="shared" si="53"/>
        <v>-5.6401471461296142E-2</v>
      </c>
      <c r="P210" s="32">
        <f t="shared" si="54"/>
        <v>0.26360832519077404</v>
      </c>
      <c r="Q210" s="32">
        <f t="shared" si="55"/>
        <v>-9.6984149849158471E-2</v>
      </c>
      <c r="R210" s="32">
        <f t="shared" si="56"/>
        <v>-0.61891576076406762</v>
      </c>
      <c r="S210" s="32">
        <f t="shared" si="57"/>
        <v>-1.664945689869646</v>
      </c>
      <c r="T210" s="32">
        <f t="shared" si="58"/>
        <v>-0.12522426979936985</v>
      </c>
      <c r="U210" s="32">
        <f t="shared" si="59"/>
        <v>-9.8649377643389324E-2</v>
      </c>
      <c r="V210" s="37">
        <f t="shared" si="60"/>
        <v>-0.34250177059945047</v>
      </c>
      <c r="W210"/>
      <c r="AK210" s="45" t="s">
        <v>78</v>
      </c>
      <c r="AL210" s="45">
        <v>7</v>
      </c>
      <c r="AM210" s="45">
        <v>20</v>
      </c>
      <c r="AN210" s="45">
        <v>2.8571428569999999</v>
      </c>
      <c r="AO210" s="45">
        <v>1.1428571430000001</v>
      </c>
      <c r="AP210" s="45"/>
      <c r="AQ210" s="45"/>
      <c r="AR210" s="45"/>
    </row>
    <row r="211" spans="1:44" x14ac:dyDescent="0.35">
      <c r="A211">
        <v>4</v>
      </c>
      <c r="B211">
        <v>2</v>
      </c>
      <c r="C211">
        <v>4</v>
      </c>
      <c r="D211">
        <v>3</v>
      </c>
      <c r="E211">
        <v>4</v>
      </c>
      <c r="F211">
        <v>4</v>
      </c>
      <c r="G211">
        <v>4</v>
      </c>
      <c r="H211" s="25">
        <f t="shared" si="46"/>
        <v>4</v>
      </c>
      <c r="I211" s="25">
        <f t="shared" si="47"/>
        <v>4</v>
      </c>
      <c r="J211" s="25">
        <f t="shared" si="48"/>
        <v>4</v>
      </c>
      <c r="K211" s="25">
        <f t="shared" si="49"/>
        <v>3</v>
      </c>
      <c r="L211" s="25">
        <f t="shared" si="50"/>
        <v>2</v>
      </c>
      <c r="M211" s="25">
        <f t="shared" si="51"/>
        <v>4</v>
      </c>
      <c r="N211" s="25">
        <f t="shared" si="52"/>
        <v>4</v>
      </c>
      <c r="O211" s="32">
        <f t="shared" si="53"/>
        <v>-5.6401471461296142E-2</v>
      </c>
      <c r="P211" s="32">
        <f t="shared" si="54"/>
        <v>0.26360832519077404</v>
      </c>
      <c r="Q211" s="32">
        <f t="shared" si="55"/>
        <v>-9.6984149849158471E-2</v>
      </c>
      <c r="R211" s="32">
        <f t="shared" si="56"/>
        <v>-0.61891576076406762</v>
      </c>
      <c r="S211" s="32">
        <f t="shared" si="57"/>
        <v>-1.664945689869646</v>
      </c>
      <c r="T211" s="32">
        <f t="shared" si="58"/>
        <v>-0.12522426979936985</v>
      </c>
      <c r="U211" s="32">
        <f t="shared" si="59"/>
        <v>-9.8649377643389324E-2</v>
      </c>
      <c r="V211" s="37">
        <f t="shared" si="60"/>
        <v>-0.34250177059945047</v>
      </c>
      <c r="W211"/>
      <c r="AK211" s="45" t="s">
        <v>78</v>
      </c>
      <c r="AL211" s="45">
        <v>7</v>
      </c>
      <c r="AM211" s="45">
        <v>23</v>
      </c>
      <c r="AN211" s="45">
        <v>3.2857142860000002</v>
      </c>
      <c r="AO211" s="45">
        <v>0.571428571</v>
      </c>
      <c r="AP211" s="45"/>
      <c r="AQ211" s="45"/>
      <c r="AR211" s="45"/>
    </row>
    <row r="212" spans="1:44" x14ac:dyDescent="0.35">
      <c r="A212">
        <v>3</v>
      </c>
      <c r="B212">
        <v>3</v>
      </c>
      <c r="C212">
        <v>4</v>
      </c>
      <c r="D212">
        <v>3</v>
      </c>
      <c r="E212">
        <v>4</v>
      </c>
      <c r="F212">
        <v>4</v>
      </c>
      <c r="G212">
        <v>4</v>
      </c>
      <c r="H212" s="25">
        <f t="shared" si="46"/>
        <v>3</v>
      </c>
      <c r="I212" s="25">
        <f t="shared" si="47"/>
        <v>3</v>
      </c>
      <c r="J212" s="25">
        <f t="shared" si="48"/>
        <v>4</v>
      </c>
      <c r="K212" s="25">
        <f t="shared" si="49"/>
        <v>3</v>
      </c>
      <c r="L212" s="25">
        <f t="shared" si="50"/>
        <v>2</v>
      </c>
      <c r="M212" s="25">
        <f t="shared" si="51"/>
        <v>4</v>
      </c>
      <c r="N212" s="25">
        <f t="shared" si="52"/>
        <v>4</v>
      </c>
      <c r="O212" s="32">
        <f t="shared" si="53"/>
        <v>-0.95700561253682881</v>
      </c>
      <c r="P212" s="32">
        <f t="shared" si="54"/>
        <v>-0.51458870665983425</v>
      </c>
      <c r="Q212" s="32">
        <f t="shared" si="55"/>
        <v>-9.6984149849158471E-2</v>
      </c>
      <c r="R212" s="32">
        <f t="shared" si="56"/>
        <v>-0.61891576076406762</v>
      </c>
      <c r="S212" s="32">
        <f t="shared" si="57"/>
        <v>-1.664945689869646</v>
      </c>
      <c r="T212" s="32">
        <f t="shared" si="58"/>
        <v>-0.12522426979936985</v>
      </c>
      <c r="U212" s="32">
        <f t="shared" si="59"/>
        <v>-9.8649377643389324E-2</v>
      </c>
      <c r="V212" s="37">
        <f t="shared" si="60"/>
        <v>-0.58233050958889909</v>
      </c>
      <c r="W212"/>
      <c r="AK212" s="45" t="s">
        <v>78</v>
      </c>
      <c r="AL212" s="45">
        <v>7</v>
      </c>
      <c r="AM212" s="45">
        <v>25</v>
      </c>
      <c r="AN212" s="45">
        <v>3.5714285710000002</v>
      </c>
      <c r="AO212" s="45">
        <v>0.95238095199999995</v>
      </c>
      <c r="AP212" s="45"/>
      <c r="AQ212" s="45"/>
      <c r="AR212" s="45"/>
    </row>
    <row r="213" spans="1:44" x14ac:dyDescent="0.35">
      <c r="A213">
        <v>5</v>
      </c>
      <c r="B213">
        <v>5</v>
      </c>
      <c r="C213">
        <v>1</v>
      </c>
      <c r="D213">
        <v>4</v>
      </c>
      <c r="E213">
        <v>4</v>
      </c>
      <c r="F213">
        <v>4</v>
      </c>
      <c r="G213">
        <v>4</v>
      </c>
      <c r="H213" s="25">
        <f t="shared" si="46"/>
        <v>5</v>
      </c>
      <c r="I213" s="25">
        <f t="shared" si="47"/>
        <v>1</v>
      </c>
      <c r="J213" s="25">
        <f t="shared" si="48"/>
        <v>1</v>
      </c>
      <c r="K213" s="25">
        <f t="shared" si="49"/>
        <v>2</v>
      </c>
      <c r="L213" s="25">
        <f t="shared" si="50"/>
        <v>2</v>
      </c>
      <c r="M213" s="25">
        <f t="shared" si="51"/>
        <v>4</v>
      </c>
      <c r="N213" s="25">
        <f t="shared" si="52"/>
        <v>4</v>
      </c>
      <c r="O213" s="32">
        <f t="shared" si="53"/>
        <v>0.84420266961423651</v>
      </c>
      <c r="P213" s="32">
        <f t="shared" si="54"/>
        <v>-2.0709827703610508</v>
      </c>
      <c r="Q213" s="32">
        <f t="shared" si="55"/>
        <v>-2.8088805663860001</v>
      </c>
      <c r="R213" s="32">
        <f t="shared" si="56"/>
        <v>-1.453693149260562</v>
      </c>
      <c r="S213" s="32">
        <f t="shared" si="57"/>
        <v>-1.664945689869646</v>
      </c>
      <c r="T213" s="32">
        <f t="shared" si="58"/>
        <v>-0.12522426979936985</v>
      </c>
      <c r="U213" s="32">
        <f t="shared" si="59"/>
        <v>-9.8649377643389324E-2</v>
      </c>
      <c r="V213" s="37">
        <f t="shared" si="60"/>
        <v>-1.0540247362436832</v>
      </c>
      <c r="W213"/>
      <c r="AK213" s="45" t="s">
        <v>78</v>
      </c>
      <c r="AL213" s="45">
        <v>7</v>
      </c>
      <c r="AM213" s="45">
        <v>25</v>
      </c>
      <c r="AN213" s="45">
        <v>3.5714285710000002</v>
      </c>
      <c r="AO213" s="45">
        <v>0.61904761900000005</v>
      </c>
      <c r="AP213" s="45"/>
      <c r="AQ213" s="45"/>
      <c r="AR213" s="45"/>
    </row>
    <row r="214" spans="1:44" x14ac:dyDescent="0.35">
      <c r="A214">
        <v>4</v>
      </c>
      <c r="B214">
        <v>3</v>
      </c>
      <c r="C214">
        <v>4</v>
      </c>
      <c r="D214">
        <v>4</v>
      </c>
      <c r="E214">
        <v>4</v>
      </c>
      <c r="F214">
        <v>4</v>
      </c>
      <c r="G214">
        <v>4</v>
      </c>
      <c r="H214" s="25">
        <f t="shared" si="46"/>
        <v>4</v>
      </c>
      <c r="I214" s="25">
        <f t="shared" si="47"/>
        <v>3</v>
      </c>
      <c r="J214" s="25">
        <f t="shared" si="48"/>
        <v>4</v>
      </c>
      <c r="K214" s="25">
        <f t="shared" si="49"/>
        <v>2</v>
      </c>
      <c r="L214" s="25">
        <f t="shared" si="50"/>
        <v>2</v>
      </c>
      <c r="M214" s="25">
        <f t="shared" si="51"/>
        <v>4</v>
      </c>
      <c r="N214" s="25">
        <f t="shared" si="52"/>
        <v>4</v>
      </c>
      <c r="O214" s="32">
        <f t="shared" si="53"/>
        <v>-5.6401471461296142E-2</v>
      </c>
      <c r="P214" s="32">
        <f t="shared" si="54"/>
        <v>-0.51458870665983425</v>
      </c>
      <c r="Q214" s="32">
        <f t="shared" si="55"/>
        <v>-9.6984149849158471E-2</v>
      </c>
      <c r="R214" s="32">
        <f t="shared" si="56"/>
        <v>-1.453693149260562</v>
      </c>
      <c r="S214" s="32">
        <f t="shared" si="57"/>
        <v>-1.664945689869646</v>
      </c>
      <c r="T214" s="32">
        <f t="shared" si="58"/>
        <v>-0.12522426979936985</v>
      </c>
      <c r="U214" s="32">
        <f t="shared" si="59"/>
        <v>-9.8649377643389324E-2</v>
      </c>
      <c r="V214" s="37">
        <f t="shared" si="60"/>
        <v>-0.57292668779189371</v>
      </c>
      <c r="W214"/>
      <c r="AK214" s="45" t="s">
        <v>78</v>
      </c>
      <c r="AL214" s="45">
        <v>7</v>
      </c>
      <c r="AM214" s="45">
        <v>25</v>
      </c>
      <c r="AN214" s="45">
        <v>3.5714285710000002</v>
      </c>
      <c r="AO214" s="45">
        <v>0.61904761900000005</v>
      </c>
      <c r="AP214" s="45"/>
      <c r="AQ214" s="45"/>
      <c r="AR214" s="45"/>
    </row>
    <row r="215" spans="1:44" x14ac:dyDescent="0.35">
      <c r="A215">
        <v>5</v>
      </c>
      <c r="B215">
        <v>4</v>
      </c>
      <c r="C215">
        <v>4</v>
      </c>
      <c r="D215">
        <v>4</v>
      </c>
      <c r="E215">
        <v>5</v>
      </c>
      <c r="F215">
        <v>4</v>
      </c>
      <c r="G215">
        <v>4</v>
      </c>
      <c r="H215" s="25">
        <f t="shared" si="46"/>
        <v>5</v>
      </c>
      <c r="I215" s="25">
        <f t="shared" si="47"/>
        <v>2</v>
      </c>
      <c r="J215" s="25">
        <f t="shared" si="48"/>
        <v>4</v>
      </c>
      <c r="K215" s="25">
        <f t="shared" si="49"/>
        <v>2</v>
      </c>
      <c r="L215" s="25">
        <f t="shared" si="50"/>
        <v>1</v>
      </c>
      <c r="M215" s="25">
        <f t="shared" si="51"/>
        <v>4</v>
      </c>
      <c r="N215" s="25">
        <f t="shared" si="52"/>
        <v>4</v>
      </c>
      <c r="O215" s="32">
        <f t="shared" si="53"/>
        <v>0.84420266961423651</v>
      </c>
      <c r="P215" s="32">
        <f t="shared" si="54"/>
        <v>-1.2927857385104427</v>
      </c>
      <c r="Q215" s="32">
        <f t="shared" si="55"/>
        <v>-9.6984149849158471E-2</v>
      </c>
      <c r="R215" s="32">
        <f t="shared" si="56"/>
        <v>-1.453693149260562</v>
      </c>
      <c r="S215" s="32">
        <f t="shared" si="57"/>
        <v>-2.5094833586441041</v>
      </c>
      <c r="T215" s="32">
        <f t="shared" si="58"/>
        <v>-0.12522426979936985</v>
      </c>
      <c r="U215" s="32">
        <f t="shared" si="59"/>
        <v>-9.8649377643389324E-2</v>
      </c>
      <c r="V215" s="37">
        <f t="shared" si="60"/>
        <v>-0.67608819629896999</v>
      </c>
      <c r="W215"/>
      <c r="AK215" s="45" t="s">
        <v>78</v>
      </c>
      <c r="AL215" s="45">
        <v>7</v>
      </c>
      <c r="AM215" s="45">
        <v>23</v>
      </c>
      <c r="AN215" s="45">
        <v>3.2857142860000002</v>
      </c>
      <c r="AO215" s="45">
        <v>0.571428571</v>
      </c>
      <c r="AP215" s="45"/>
      <c r="AQ215" s="45"/>
      <c r="AR215" s="45"/>
    </row>
    <row r="216" spans="1:44" x14ac:dyDescent="0.35">
      <c r="A216">
        <v>4</v>
      </c>
      <c r="B216">
        <v>1</v>
      </c>
      <c r="C216">
        <v>4</v>
      </c>
      <c r="D216">
        <v>1</v>
      </c>
      <c r="E216">
        <v>1</v>
      </c>
      <c r="F216">
        <v>5</v>
      </c>
      <c r="G216">
        <v>4</v>
      </c>
      <c r="H216" s="25">
        <f t="shared" si="46"/>
        <v>4</v>
      </c>
      <c r="I216" s="25">
        <f t="shared" si="47"/>
        <v>5</v>
      </c>
      <c r="J216" s="25">
        <f t="shared" si="48"/>
        <v>4</v>
      </c>
      <c r="K216" s="25">
        <f t="shared" si="49"/>
        <v>5</v>
      </c>
      <c r="L216" s="25">
        <f t="shared" si="50"/>
        <v>5</v>
      </c>
      <c r="M216" s="25">
        <f t="shared" si="51"/>
        <v>5</v>
      </c>
      <c r="N216" s="25">
        <f t="shared" si="52"/>
        <v>4</v>
      </c>
      <c r="O216" s="32">
        <f t="shared" si="53"/>
        <v>-5.6401471461296142E-2</v>
      </c>
      <c r="P216" s="32">
        <f t="shared" si="54"/>
        <v>1.0418053570413823</v>
      </c>
      <c r="Q216" s="32">
        <f t="shared" si="55"/>
        <v>-9.6984149849158471E-2</v>
      </c>
      <c r="R216" s="32">
        <f t="shared" si="56"/>
        <v>1.0506390162289212</v>
      </c>
      <c r="S216" s="32">
        <f t="shared" si="57"/>
        <v>0.86866731645372819</v>
      </c>
      <c r="T216" s="32">
        <f t="shared" si="58"/>
        <v>0.81206041627470116</v>
      </c>
      <c r="U216" s="32">
        <f t="shared" si="59"/>
        <v>-9.8649377643389324E-2</v>
      </c>
      <c r="V216" s="37">
        <f t="shared" si="60"/>
        <v>0.50301958672069835</v>
      </c>
      <c r="W216"/>
      <c r="AK216" s="45" t="s">
        <v>78</v>
      </c>
      <c r="AL216" s="45">
        <v>7</v>
      </c>
      <c r="AM216" s="45">
        <v>19</v>
      </c>
      <c r="AN216" s="45">
        <v>2.7142857139999998</v>
      </c>
      <c r="AO216" s="45">
        <v>2.5714285710000002</v>
      </c>
      <c r="AP216" s="45"/>
      <c r="AQ216" s="45"/>
      <c r="AR216" s="45"/>
    </row>
    <row r="217" spans="1:44" x14ac:dyDescent="0.35">
      <c r="A217">
        <v>4</v>
      </c>
      <c r="B217">
        <v>2</v>
      </c>
      <c r="C217">
        <v>4</v>
      </c>
      <c r="D217">
        <v>1</v>
      </c>
      <c r="E217">
        <v>1</v>
      </c>
      <c r="F217">
        <v>5</v>
      </c>
      <c r="G217">
        <v>4</v>
      </c>
      <c r="H217" s="25">
        <f t="shared" si="46"/>
        <v>4</v>
      </c>
      <c r="I217" s="25">
        <f t="shared" si="47"/>
        <v>4</v>
      </c>
      <c r="J217" s="25">
        <f t="shared" si="48"/>
        <v>4</v>
      </c>
      <c r="K217" s="25">
        <f t="shared" si="49"/>
        <v>5</v>
      </c>
      <c r="L217" s="25">
        <f t="shared" si="50"/>
        <v>5</v>
      </c>
      <c r="M217" s="25">
        <f t="shared" si="51"/>
        <v>5</v>
      </c>
      <c r="N217" s="25">
        <f t="shared" si="52"/>
        <v>4</v>
      </c>
      <c r="O217" s="32">
        <f t="shared" si="53"/>
        <v>-5.6401471461296142E-2</v>
      </c>
      <c r="P217" s="32">
        <f t="shared" si="54"/>
        <v>0.26360832519077404</v>
      </c>
      <c r="Q217" s="32">
        <f t="shared" si="55"/>
        <v>-9.6984149849158471E-2</v>
      </c>
      <c r="R217" s="32">
        <f t="shared" si="56"/>
        <v>1.0506390162289212</v>
      </c>
      <c r="S217" s="32">
        <f t="shared" si="57"/>
        <v>0.86866731645372819</v>
      </c>
      <c r="T217" s="32">
        <f t="shared" si="58"/>
        <v>0.81206041627470116</v>
      </c>
      <c r="U217" s="32">
        <f t="shared" si="59"/>
        <v>-9.8649377643389324E-2</v>
      </c>
      <c r="V217" s="37">
        <f t="shared" si="60"/>
        <v>0.39184858217061153</v>
      </c>
      <c r="W217"/>
      <c r="AK217" s="45" t="s">
        <v>78</v>
      </c>
      <c r="AL217" s="45">
        <v>7</v>
      </c>
      <c r="AM217" s="45">
        <v>23</v>
      </c>
      <c r="AN217" s="45">
        <v>3.2857142860000002</v>
      </c>
      <c r="AO217" s="45">
        <v>0.90476190499999998</v>
      </c>
      <c r="AP217" s="45"/>
      <c r="AQ217" s="45"/>
      <c r="AR217" s="45"/>
    </row>
    <row r="218" spans="1:44" x14ac:dyDescent="0.35">
      <c r="A218">
        <v>5</v>
      </c>
      <c r="B218">
        <v>2</v>
      </c>
      <c r="C218">
        <v>4</v>
      </c>
      <c r="D218">
        <v>1</v>
      </c>
      <c r="E218">
        <v>1</v>
      </c>
      <c r="F218">
        <v>5</v>
      </c>
      <c r="G218">
        <v>4</v>
      </c>
      <c r="H218" s="25">
        <f t="shared" si="46"/>
        <v>5</v>
      </c>
      <c r="I218" s="25">
        <f t="shared" si="47"/>
        <v>4</v>
      </c>
      <c r="J218" s="25">
        <f t="shared" si="48"/>
        <v>4</v>
      </c>
      <c r="K218" s="25">
        <f t="shared" si="49"/>
        <v>5</v>
      </c>
      <c r="L218" s="25">
        <f t="shared" si="50"/>
        <v>5</v>
      </c>
      <c r="M218" s="25">
        <f t="shared" si="51"/>
        <v>5</v>
      </c>
      <c r="N218" s="25">
        <f t="shared" si="52"/>
        <v>4</v>
      </c>
      <c r="O218" s="32">
        <f t="shared" si="53"/>
        <v>0.84420266961423651</v>
      </c>
      <c r="P218" s="32">
        <f t="shared" si="54"/>
        <v>0.26360832519077404</v>
      </c>
      <c r="Q218" s="32">
        <f t="shared" si="55"/>
        <v>-9.6984149849158471E-2</v>
      </c>
      <c r="R218" s="32">
        <f t="shared" si="56"/>
        <v>1.0506390162289212</v>
      </c>
      <c r="S218" s="32">
        <f t="shared" si="57"/>
        <v>0.86866731645372819</v>
      </c>
      <c r="T218" s="32">
        <f t="shared" si="58"/>
        <v>0.81206041627470116</v>
      </c>
      <c r="U218" s="32">
        <f t="shared" si="59"/>
        <v>-9.8649377643389324E-2</v>
      </c>
      <c r="V218" s="37">
        <f t="shared" si="60"/>
        <v>0.52050631660997337</v>
      </c>
      <c r="W218"/>
      <c r="AK218" s="45" t="s">
        <v>78</v>
      </c>
      <c r="AL218" s="45">
        <v>7</v>
      </c>
      <c r="AM218" s="45">
        <v>22</v>
      </c>
      <c r="AN218" s="45">
        <v>3.1428571430000001</v>
      </c>
      <c r="AO218" s="45">
        <v>2.1428571430000001</v>
      </c>
      <c r="AP218" s="45"/>
      <c r="AQ218" s="45"/>
      <c r="AR218" s="45"/>
    </row>
    <row r="219" spans="1:44" x14ac:dyDescent="0.35">
      <c r="A219">
        <v>5</v>
      </c>
      <c r="B219">
        <v>1</v>
      </c>
      <c r="C219">
        <v>5</v>
      </c>
      <c r="D219">
        <v>1</v>
      </c>
      <c r="E219">
        <v>1</v>
      </c>
      <c r="F219">
        <v>5</v>
      </c>
      <c r="G219">
        <v>4</v>
      </c>
      <c r="H219" s="25">
        <f t="shared" si="46"/>
        <v>5</v>
      </c>
      <c r="I219" s="25">
        <f t="shared" si="47"/>
        <v>5</v>
      </c>
      <c r="J219" s="25">
        <f t="shared" si="48"/>
        <v>5</v>
      </c>
      <c r="K219" s="25">
        <f t="shared" si="49"/>
        <v>5</v>
      </c>
      <c r="L219" s="25">
        <f t="shared" si="50"/>
        <v>5</v>
      </c>
      <c r="M219" s="25">
        <f t="shared" si="51"/>
        <v>5</v>
      </c>
      <c r="N219" s="25">
        <f t="shared" si="52"/>
        <v>4</v>
      </c>
      <c r="O219" s="32">
        <f t="shared" si="53"/>
        <v>0.84420266961423651</v>
      </c>
      <c r="P219" s="32">
        <f t="shared" si="54"/>
        <v>1.0418053570413823</v>
      </c>
      <c r="Q219" s="32">
        <f t="shared" si="55"/>
        <v>0.80698132232978881</v>
      </c>
      <c r="R219" s="32">
        <f t="shared" si="56"/>
        <v>1.0506390162289212</v>
      </c>
      <c r="S219" s="32">
        <f t="shared" si="57"/>
        <v>0.86866731645372819</v>
      </c>
      <c r="T219" s="32">
        <f t="shared" si="58"/>
        <v>0.81206041627470116</v>
      </c>
      <c r="U219" s="32">
        <f t="shared" si="59"/>
        <v>-9.8649377643389324E-2</v>
      </c>
      <c r="V219" s="37">
        <f t="shared" si="60"/>
        <v>0.76081524575705262</v>
      </c>
      <c r="W219"/>
      <c r="AK219" s="45" t="s">
        <v>78</v>
      </c>
      <c r="AL219" s="45">
        <v>7</v>
      </c>
      <c r="AM219" s="45">
        <v>32</v>
      </c>
      <c r="AN219" s="45">
        <v>4.5714285710000002</v>
      </c>
      <c r="AO219" s="45">
        <v>0.28571428599999998</v>
      </c>
      <c r="AP219" s="45"/>
      <c r="AQ219" s="45"/>
      <c r="AR219" s="45"/>
    </row>
    <row r="220" spans="1:44" x14ac:dyDescent="0.35">
      <c r="A220">
        <v>5</v>
      </c>
      <c r="B220">
        <v>1</v>
      </c>
      <c r="C220">
        <v>5</v>
      </c>
      <c r="D220">
        <v>1</v>
      </c>
      <c r="E220">
        <v>1</v>
      </c>
      <c r="F220">
        <v>5</v>
      </c>
      <c r="G220">
        <v>4</v>
      </c>
      <c r="H220" s="25">
        <f t="shared" si="46"/>
        <v>5</v>
      </c>
      <c r="I220" s="25">
        <f t="shared" si="47"/>
        <v>5</v>
      </c>
      <c r="J220" s="25">
        <f t="shared" si="48"/>
        <v>5</v>
      </c>
      <c r="K220" s="25">
        <f t="shared" si="49"/>
        <v>5</v>
      </c>
      <c r="L220" s="25">
        <f t="shared" si="50"/>
        <v>5</v>
      </c>
      <c r="M220" s="25">
        <f t="shared" si="51"/>
        <v>5</v>
      </c>
      <c r="N220" s="25">
        <f t="shared" si="52"/>
        <v>4</v>
      </c>
      <c r="O220" s="32">
        <f t="shared" si="53"/>
        <v>0.84420266961423651</v>
      </c>
      <c r="P220" s="32">
        <f t="shared" si="54"/>
        <v>1.0418053570413823</v>
      </c>
      <c r="Q220" s="32">
        <f t="shared" si="55"/>
        <v>0.80698132232978881</v>
      </c>
      <c r="R220" s="32">
        <f t="shared" si="56"/>
        <v>1.0506390162289212</v>
      </c>
      <c r="S220" s="32">
        <f t="shared" si="57"/>
        <v>0.86866731645372819</v>
      </c>
      <c r="T220" s="32">
        <f t="shared" si="58"/>
        <v>0.81206041627470116</v>
      </c>
      <c r="U220" s="32">
        <f t="shared" si="59"/>
        <v>-9.8649377643389324E-2</v>
      </c>
      <c r="V220" s="37">
        <f t="shared" si="60"/>
        <v>0.76081524575705262</v>
      </c>
      <c r="W220"/>
      <c r="AK220" s="45" t="s">
        <v>78</v>
      </c>
      <c r="AL220" s="45">
        <v>7</v>
      </c>
      <c r="AM220" s="45">
        <v>31</v>
      </c>
      <c r="AN220" s="45">
        <v>4.4285714289999998</v>
      </c>
      <c r="AO220" s="45">
        <v>0.28571428599999998</v>
      </c>
      <c r="AP220" s="45"/>
      <c r="AQ220" s="45"/>
      <c r="AR220" s="45"/>
    </row>
    <row r="221" spans="1:44" x14ac:dyDescent="0.35">
      <c r="A221">
        <v>5</v>
      </c>
      <c r="B221">
        <v>1</v>
      </c>
      <c r="C221">
        <v>5</v>
      </c>
      <c r="D221">
        <v>1</v>
      </c>
      <c r="E221">
        <v>1</v>
      </c>
      <c r="F221">
        <v>5</v>
      </c>
      <c r="G221">
        <v>4</v>
      </c>
      <c r="H221" s="25">
        <f t="shared" si="46"/>
        <v>5</v>
      </c>
      <c r="I221" s="25">
        <f t="shared" si="47"/>
        <v>5</v>
      </c>
      <c r="J221" s="25">
        <f t="shared" si="48"/>
        <v>5</v>
      </c>
      <c r="K221" s="25">
        <f t="shared" si="49"/>
        <v>5</v>
      </c>
      <c r="L221" s="25">
        <f t="shared" si="50"/>
        <v>5</v>
      </c>
      <c r="M221" s="25">
        <f t="shared" si="51"/>
        <v>5</v>
      </c>
      <c r="N221" s="25">
        <f t="shared" si="52"/>
        <v>4</v>
      </c>
      <c r="O221" s="32">
        <f t="shared" si="53"/>
        <v>0.84420266961423651</v>
      </c>
      <c r="P221" s="32">
        <f t="shared" si="54"/>
        <v>1.0418053570413823</v>
      </c>
      <c r="Q221" s="32">
        <f t="shared" si="55"/>
        <v>0.80698132232978881</v>
      </c>
      <c r="R221" s="32">
        <f t="shared" si="56"/>
        <v>1.0506390162289212</v>
      </c>
      <c r="S221" s="32">
        <f t="shared" si="57"/>
        <v>0.86866731645372819</v>
      </c>
      <c r="T221" s="32">
        <f t="shared" si="58"/>
        <v>0.81206041627470116</v>
      </c>
      <c r="U221" s="32">
        <f t="shared" si="59"/>
        <v>-9.8649377643389324E-2</v>
      </c>
      <c r="V221" s="37">
        <f t="shared" si="60"/>
        <v>0.76081524575705262</v>
      </c>
      <c r="W221"/>
      <c r="AK221" s="45" t="s">
        <v>78</v>
      </c>
      <c r="AL221" s="45">
        <v>7</v>
      </c>
      <c r="AM221" s="45">
        <v>32</v>
      </c>
      <c r="AN221" s="45">
        <v>4.5714285710000002</v>
      </c>
      <c r="AO221" s="45">
        <v>0.28571428599999998</v>
      </c>
      <c r="AP221" s="45"/>
      <c r="AQ221" s="45"/>
      <c r="AR221" s="45"/>
    </row>
    <row r="222" spans="1:44" x14ac:dyDescent="0.35">
      <c r="A222">
        <v>4</v>
      </c>
      <c r="B222">
        <v>2</v>
      </c>
      <c r="C222">
        <v>5</v>
      </c>
      <c r="D222">
        <v>1</v>
      </c>
      <c r="E222">
        <v>1</v>
      </c>
      <c r="F222">
        <v>5</v>
      </c>
      <c r="G222">
        <v>4</v>
      </c>
      <c r="H222" s="25">
        <f t="shared" si="46"/>
        <v>4</v>
      </c>
      <c r="I222" s="25">
        <f t="shared" si="47"/>
        <v>4</v>
      </c>
      <c r="J222" s="25">
        <f t="shared" si="48"/>
        <v>5</v>
      </c>
      <c r="K222" s="25">
        <f t="shared" si="49"/>
        <v>5</v>
      </c>
      <c r="L222" s="25">
        <f t="shared" si="50"/>
        <v>5</v>
      </c>
      <c r="M222" s="25">
        <f t="shared" si="51"/>
        <v>5</v>
      </c>
      <c r="N222" s="25">
        <f t="shared" si="52"/>
        <v>4</v>
      </c>
      <c r="O222" s="32">
        <f t="shared" si="53"/>
        <v>-5.6401471461296142E-2</v>
      </c>
      <c r="P222" s="32">
        <f t="shared" si="54"/>
        <v>0.26360832519077404</v>
      </c>
      <c r="Q222" s="32">
        <f t="shared" si="55"/>
        <v>0.80698132232978881</v>
      </c>
      <c r="R222" s="32">
        <f t="shared" si="56"/>
        <v>1.0506390162289212</v>
      </c>
      <c r="S222" s="32">
        <f t="shared" si="57"/>
        <v>0.86866731645372819</v>
      </c>
      <c r="T222" s="32">
        <f t="shared" si="58"/>
        <v>0.81206041627470116</v>
      </c>
      <c r="U222" s="32">
        <f t="shared" si="59"/>
        <v>-9.8649377643389324E-2</v>
      </c>
      <c r="V222" s="37">
        <f t="shared" si="60"/>
        <v>0.52098650676760394</v>
      </c>
      <c r="W222"/>
      <c r="AK222" s="45" t="s">
        <v>78</v>
      </c>
      <c r="AL222" s="45">
        <v>7</v>
      </c>
      <c r="AM222" s="45">
        <v>34</v>
      </c>
      <c r="AN222" s="45">
        <v>4.8571428570000004</v>
      </c>
      <c r="AO222" s="45">
        <v>0.14285714299999999</v>
      </c>
      <c r="AP222" s="45"/>
      <c r="AQ222" s="45"/>
      <c r="AR222" s="45"/>
    </row>
    <row r="223" spans="1:44" x14ac:dyDescent="0.35">
      <c r="A223">
        <v>5</v>
      </c>
      <c r="B223">
        <v>3</v>
      </c>
      <c r="C223">
        <v>5</v>
      </c>
      <c r="D223">
        <v>1</v>
      </c>
      <c r="E223">
        <v>1</v>
      </c>
      <c r="F223">
        <v>5</v>
      </c>
      <c r="G223">
        <v>4</v>
      </c>
      <c r="H223" s="25">
        <f t="shared" si="46"/>
        <v>5</v>
      </c>
      <c r="I223" s="25">
        <f t="shared" si="47"/>
        <v>3</v>
      </c>
      <c r="J223" s="25">
        <f t="shared" si="48"/>
        <v>5</v>
      </c>
      <c r="K223" s="25">
        <f t="shared" si="49"/>
        <v>5</v>
      </c>
      <c r="L223" s="25">
        <f t="shared" si="50"/>
        <v>5</v>
      </c>
      <c r="M223" s="25">
        <f t="shared" si="51"/>
        <v>5</v>
      </c>
      <c r="N223" s="25">
        <f t="shared" si="52"/>
        <v>4</v>
      </c>
      <c r="O223" s="32">
        <f t="shared" si="53"/>
        <v>0.84420266961423651</v>
      </c>
      <c r="P223" s="32">
        <f t="shared" si="54"/>
        <v>-0.51458870665983425</v>
      </c>
      <c r="Q223" s="32">
        <f t="shared" si="55"/>
        <v>0.80698132232978881</v>
      </c>
      <c r="R223" s="32">
        <f t="shared" si="56"/>
        <v>1.0506390162289212</v>
      </c>
      <c r="S223" s="32">
        <f t="shared" si="57"/>
        <v>0.86866731645372819</v>
      </c>
      <c r="T223" s="32">
        <f t="shared" si="58"/>
        <v>0.81206041627470116</v>
      </c>
      <c r="U223" s="32">
        <f t="shared" si="59"/>
        <v>-9.8649377643389324E-2</v>
      </c>
      <c r="V223" s="37">
        <f t="shared" si="60"/>
        <v>0.53847323665687896</v>
      </c>
      <c r="W223"/>
      <c r="AK223" s="45" t="s">
        <v>78</v>
      </c>
      <c r="AL223" s="45">
        <v>7</v>
      </c>
      <c r="AM223" s="45">
        <v>34</v>
      </c>
      <c r="AN223" s="45">
        <v>4.8571428570000004</v>
      </c>
      <c r="AO223" s="45">
        <v>0.14285714299999999</v>
      </c>
      <c r="AP223" s="45"/>
      <c r="AQ223" s="45"/>
      <c r="AR223" s="45"/>
    </row>
    <row r="224" spans="1:44" x14ac:dyDescent="0.35">
      <c r="A224">
        <v>3</v>
      </c>
      <c r="B224">
        <v>4</v>
      </c>
      <c r="C224">
        <v>5</v>
      </c>
      <c r="D224">
        <v>1</v>
      </c>
      <c r="E224">
        <v>1</v>
      </c>
      <c r="F224">
        <v>5</v>
      </c>
      <c r="G224">
        <v>4</v>
      </c>
      <c r="H224" s="25">
        <f t="shared" si="46"/>
        <v>3</v>
      </c>
      <c r="I224" s="25">
        <f t="shared" si="47"/>
        <v>2</v>
      </c>
      <c r="J224" s="25">
        <f t="shared" si="48"/>
        <v>5</v>
      </c>
      <c r="K224" s="25">
        <f t="shared" si="49"/>
        <v>5</v>
      </c>
      <c r="L224" s="25">
        <f t="shared" si="50"/>
        <v>5</v>
      </c>
      <c r="M224" s="25">
        <f t="shared" si="51"/>
        <v>5</v>
      </c>
      <c r="N224" s="25">
        <f t="shared" si="52"/>
        <v>4</v>
      </c>
      <c r="O224" s="32">
        <f t="shared" si="53"/>
        <v>-0.95700561253682881</v>
      </c>
      <c r="P224" s="32">
        <f t="shared" si="54"/>
        <v>-1.2927857385104427</v>
      </c>
      <c r="Q224" s="32">
        <f t="shared" si="55"/>
        <v>0.80698132232978881</v>
      </c>
      <c r="R224" s="32">
        <f t="shared" si="56"/>
        <v>1.0506390162289212</v>
      </c>
      <c r="S224" s="32">
        <f t="shared" si="57"/>
        <v>0.86866731645372819</v>
      </c>
      <c r="T224" s="32">
        <f t="shared" si="58"/>
        <v>0.81206041627470116</v>
      </c>
      <c r="U224" s="32">
        <f t="shared" si="59"/>
        <v>-9.8649377643389324E-2</v>
      </c>
      <c r="V224" s="37">
        <f t="shared" si="60"/>
        <v>0.16998676322806835</v>
      </c>
      <c r="W224"/>
      <c r="AK224" s="45" t="s">
        <v>78</v>
      </c>
      <c r="AL224" s="45">
        <v>7</v>
      </c>
      <c r="AM224" s="45">
        <v>34</v>
      </c>
      <c r="AN224" s="45">
        <v>4.8571428570000004</v>
      </c>
      <c r="AO224" s="45">
        <v>0.14285714299999999</v>
      </c>
      <c r="AP224" s="45"/>
      <c r="AQ224" s="45"/>
      <c r="AR224" s="45"/>
    </row>
    <row r="225" spans="1:44" x14ac:dyDescent="0.35">
      <c r="A225">
        <v>5</v>
      </c>
      <c r="B225">
        <v>5</v>
      </c>
      <c r="C225">
        <v>5</v>
      </c>
      <c r="D225">
        <v>1</v>
      </c>
      <c r="E225">
        <v>1</v>
      </c>
      <c r="F225">
        <v>5</v>
      </c>
      <c r="G225">
        <v>4</v>
      </c>
      <c r="H225" s="25">
        <f t="shared" si="46"/>
        <v>5</v>
      </c>
      <c r="I225" s="25">
        <f t="shared" si="47"/>
        <v>1</v>
      </c>
      <c r="J225" s="25">
        <f t="shared" si="48"/>
        <v>5</v>
      </c>
      <c r="K225" s="25">
        <f t="shared" si="49"/>
        <v>5</v>
      </c>
      <c r="L225" s="25">
        <f t="shared" si="50"/>
        <v>5</v>
      </c>
      <c r="M225" s="25">
        <f t="shared" si="51"/>
        <v>5</v>
      </c>
      <c r="N225" s="25">
        <f t="shared" si="52"/>
        <v>4</v>
      </c>
      <c r="O225" s="32">
        <f t="shared" si="53"/>
        <v>0.84420266961423651</v>
      </c>
      <c r="P225" s="32">
        <f t="shared" si="54"/>
        <v>-2.0709827703610508</v>
      </c>
      <c r="Q225" s="32">
        <f t="shared" si="55"/>
        <v>0.80698132232978881</v>
      </c>
      <c r="R225" s="32">
        <f t="shared" si="56"/>
        <v>1.0506390162289212</v>
      </c>
      <c r="S225" s="32">
        <f t="shared" si="57"/>
        <v>0.86866731645372819</v>
      </c>
      <c r="T225" s="32">
        <f t="shared" si="58"/>
        <v>0.81206041627470116</v>
      </c>
      <c r="U225" s="32">
        <f t="shared" si="59"/>
        <v>-9.8649377643389324E-2</v>
      </c>
      <c r="V225" s="37">
        <f t="shared" si="60"/>
        <v>0.31613122755670509</v>
      </c>
      <c r="W225"/>
      <c r="AK225" s="45" t="s">
        <v>78</v>
      </c>
      <c r="AL225" s="45">
        <v>7</v>
      </c>
      <c r="AM225" s="45">
        <v>32</v>
      </c>
      <c r="AN225" s="45">
        <v>4.5714285710000002</v>
      </c>
      <c r="AO225" s="45">
        <v>0.28571428599999998</v>
      </c>
      <c r="AP225" s="45"/>
      <c r="AQ225" s="45"/>
      <c r="AR225" s="45"/>
    </row>
    <row r="226" spans="1:44" x14ac:dyDescent="0.35">
      <c r="A226">
        <v>4</v>
      </c>
      <c r="B226">
        <v>2</v>
      </c>
      <c r="C226">
        <v>4</v>
      </c>
      <c r="D226">
        <v>2</v>
      </c>
      <c r="E226">
        <v>1</v>
      </c>
      <c r="F226">
        <v>5</v>
      </c>
      <c r="G226">
        <v>4</v>
      </c>
      <c r="H226" s="25">
        <f t="shared" si="46"/>
        <v>4</v>
      </c>
      <c r="I226" s="25">
        <f t="shared" si="47"/>
        <v>4</v>
      </c>
      <c r="J226" s="25">
        <f t="shared" si="48"/>
        <v>4</v>
      </c>
      <c r="K226" s="25">
        <f t="shared" si="49"/>
        <v>4</v>
      </c>
      <c r="L226" s="25">
        <f t="shared" si="50"/>
        <v>5</v>
      </c>
      <c r="M226" s="25">
        <f t="shared" si="51"/>
        <v>5</v>
      </c>
      <c r="N226" s="25">
        <f t="shared" si="52"/>
        <v>4</v>
      </c>
      <c r="O226" s="32">
        <f t="shared" si="53"/>
        <v>-5.6401471461296142E-2</v>
      </c>
      <c r="P226" s="32">
        <f t="shared" si="54"/>
        <v>0.26360832519077404</v>
      </c>
      <c r="Q226" s="32">
        <f t="shared" si="55"/>
        <v>-9.6984149849158471E-2</v>
      </c>
      <c r="R226" s="32">
        <f t="shared" si="56"/>
        <v>0.21586162773242673</v>
      </c>
      <c r="S226" s="32">
        <f t="shared" si="57"/>
        <v>0.86866731645372819</v>
      </c>
      <c r="T226" s="32">
        <f t="shared" si="58"/>
        <v>0.81206041627470116</v>
      </c>
      <c r="U226" s="32">
        <f t="shared" si="59"/>
        <v>-9.8649377643389324E-2</v>
      </c>
      <c r="V226" s="37">
        <f t="shared" si="60"/>
        <v>0.27259466952825517</v>
      </c>
      <c r="W226"/>
      <c r="AK226" s="45" t="s">
        <v>78</v>
      </c>
      <c r="AL226" s="45">
        <v>7</v>
      </c>
      <c r="AM226" s="45">
        <v>32</v>
      </c>
      <c r="AN226" s="45">
        <v>4.5714285710000002</v>
      </c>
      <c r="AO226" s="45">
        <v>0.61904761900000005</v>
      </c>
      <c r="AP226" s="45"/>
      <c r="AQ226" s="45"/>
      <c r="AR226" s="45"/>
    </row>
    <row r="227" spans="1:44" x14ac:dyDescent="0.35">
      <c r="A227">
        <v>3</v>
      </c>
      <c r="B227">
        <v>4</v>
      </c>
      <c r="C227">
        <v>4</v>
      </c>
      <c r="D227">
        <v>2</v>
      </c>
      <c r="E227">
        <v>1</v>
      </c>
      <c r="F227">
        <v>5</v>
      </c>
      <c r="G227">
        <v>4</v>
      </c>
      <c r="H227" s="25">
        <f t="shared" si="46"/>
        <v>3</v>
      </c>
      <c r="I227" s="25">
        <f t="shared" si="47"/>
        <v>2</v>
      </c>
      <c r="J227" s="25">
        <f t="shared" si="48"/>
        <v>4</v>
      </c>
      <c r="K227" s="25">
        <f t="shared" si="49"/>
        <v>4</v>
      </c>
      <c r="L227" s="25">
        <f t="shared" si="50"/>
        <v>5</v>
      </c>
      <c r="M227" s="25">
        <f t="shared" si="51"/>
        <v>5</v>
      </c>
      <c r="N227" s="25">
        <f t="shared" si="52"/>
        <v>4</v>
      </c>
      <c r="O227" s="32">
        <f t="shared" si="53"/>
        <v>-0.95700561253682881</v>
      </c>
      <c r="P227" s="32">
        <f t="shared" si="54"/>
        <v>-1.2927857385104427</v>
      </c>
      <c r="Q227" s="32">
        <f t="shared" si="55"/>
        <v>-9.6984149849158471E-2</v>
      </c>
      <c r="R227" s="32">
        <f t="shared" si="56"/>
        <v>0.21586162773242673</v>
      </c>
      <c r="S227" s="32">
        <f t="shared" si="57"/>
        <v>0.86866731645372819</v>
      </c>
      <c r="T227" s="32">
        <f t="shared" si="58"/>
        <v>0.81206041627470116</v>
      </c>
      <c r="U227" s="32">
        <f t="shared" si="59"/>
        <v>-9.8649377643389324E-2</v>
      </c>
      <c r="V227" s="37">
        <f t="shared" si="60"/>
        <v>-7.8405074011280412E-2</v>
      </c>
      <c r="W227"/>
      <c r="AK227" s="45" t="s">
        <v>78</v>
      </c>
      <c r="AL227" s="45">
        <v>7</v>
      </c>
      <c r="AM227" s="45">
        <v>29</v>
      </c>
      <c r="AN227" s="45">
        <v>4.1428571429999996</v>
      </c>
      <c r="AO227" s="45">
        <v>1.476190476</v>
      </c>
      <c r="AP227" s="45"/>
      <c r="AQ227" s="45"/>
      <c r="AR227" s="45"/>
    </row>
    <row r="228" spans="1:44" x14ac:dyDescent="0.35">
      <c r="A228">
        <v>4</v>
      </c>
      <c r="B228">
        <v>1</v>
      </c>
      <c r="C228">
        <v>5</v>
      </c>
      <c r="D228">
        <v>2</v>
      </c>
      <c r="E228">
        <v>1</v>
      </c>
      <c r="F228">
        <v>5</v>
      </c>
      <c r="G228">
        <v>4</v>
      </c>
      <c r="H228" s="25">
        <f t="shared" si="46"/>
        <v>4</v>
      </c>
      <c r="I228" s="25">
        <f t="shared" si="47"/>
        <v>5</v>
      </c>
      <c r="J228" s="25">
        <f t="shared" si="48"/>
        <v>5</v>
      </c>
      <c r="K228" s="25">
        <f t="shared" si="49"/>
        <v>4</v>
      </c>
      <c r="L228" s="25">
        <f t="shared" si="50"/>
        <v>5</v>
      </c>
      <c r="M228" s="25">
        <f t="shared" si="51"/>
        <v>5</v>
      </c>
      <c r="N228" s="25">
        <f t="shared" si="52"/>
        <v>4</v>
      </c>
      <c r="O228" s="32">
        <f t="shared" si="53"/>
        <v>-5.6401471461296142E-2</v>
      </c>
      <c r="P228" s="32">
        <f t="shared" si="54"/>
        <v>1.0418053570413823</v>
      </c>
      <c r="Q228" s="32">
        <f t="shared" si="55"/>
        <v>0.80698132232978881</v>
      </c>
      <c r="R228" s="32">
        <f t="shared" si="56"/>
        <v>0.21586162773242673</v>
      </c>
      <c r="S228" s="32">
        <f t="shared" si="57"/>
        <v>0.86866731645372819</v>
      </c>
      <c r="T228" s="32">
        <f t="shared" si="58"/>
        <v>0.81206041627470116</v>
      </c>
      <c r="U228" s="32">
        <f t="shared" si="59"/>
        <v>-9.8649377643389324E-2</v>
      </c>
      <c r="V228" s="37">
        <f t="shared" si="60"/>
        <v>0.51290359867533453</v>
      </c>
      <c r="W228"/>
      <c r="AK228" s="45" t="s">
        <v>78</v>
      </c>
      <c r="AL228" s="45">
        <v>7</v>
      </c>
      <c r="AM228" s="45">
        <v>30</v>
      </c>
      <c r="AN228" s="45">
        <v>4.2857142860000002</v>
      </c>
      <c r="AO228" s="45">
        <v>2.2380952380000001</v>
      </c>
      <c r="AP228" s="45"/>
      <c r="AQ228" s="45"/>
      <c r="AR228" s="45"/>
    </row>
    <row r="229" spans="1:44" x14ac:dyDescent="0.35">
      <c r="A229">
        <v>3</v>
      </c>
      <c r="B229">
        <v>2</v>
      </c>
      <c r="C229">
        <v>5</v>
      </c>
      <c r="D229">
        <v>2</v>
      </c>
      <c r="E229">
        <v>1</v>
      </c>
      <c r="F229">
        <v>5</v>
      </c>
      <c r="G229">
        <v>4</v>
      </c>
      <c r="H229" s="25">
        <f t="shared" si="46"/>
        <v>3</v>
      </c>
      <c r="I229" s="25">
        <f t="shared" si="47"/>
        <v>4</v>
      </c>
      <c r="J229" s="25">
        <f t="shared" si="48"/>
        <v>5</v>
      </c>
      <c r="K229" s="25">
        <f t="shared" si="49"/>
        <v>4</v>
      </c>
      <c r="L229" s="25">
        <f t="shared" si="50"/>
        <v>5</v>
      </c>
      <c r="M229" s="25">
        <f t="shared" si="51"/>
        <v>5</v>
      </c>
      <c r="N229" s="25">
        <f t="shared" si="52"/>
        <v>4</v>
      </c>
      <c r="O229" s="32">
        <f t="shared" si="53"/>
        <v>-0.95700561253682881</v>
      </c>
      <c r="P229" s="32">
        <f t="shared" si="54"/>
        <v>0.26360832519077404</v>
      </c>
      <c r="Q229" s="32">
        <f t="shared" si="55"/>
        <v>0.80698132232978881</v>
      </c>
      <c r="R229" s="32">
        <f t="shared" si="56"/>
        <v>0.21586162773242673</v>
      </c>
      <c r="S229" s="32">
        <f t="shared" si="57"/>
        <v>0.86866731645372819</v>
      </c>
      <c r="T229" s="32">
        <f t="shared" si="58"/>
        <v>0.81206041627470116</v>
      </c>
      <c r="U229" s="32">
        <f t="shared" si="59"/>
        <v>-9.8649377643389324E-2</v>
      </c>
      <c r="V229" s="37">
        <f t="shared" si="60"/>
        <v>0.2730748596858858</v>
      </c>
      <c r="W229"/>
      <c r="AK229" s="45" t="s">
        <v>78</v>
      </c>
      <c r="AL229" s="45">
        <v>7</v>
      </c>
      <c r="AM229" s="45">
        <v>30</v>
      </c>
      <c r="AN229" s="45">
        <v>4.2857142860000002</v>
      </c>
      <c r="AO229" s="45">
        <v>0.23809523799999999</v>
      </c>
      <c r="AP229" s="45"/>
      <c r="AQ229" s="45"/>
      <c r="AR229" s="45"/>
    </row>
    <row r="230" spans="1:44" x14ac:dyDescent="0.35">
      <c r="A230">
        <v>3</v>
      </c>
      <c r="B230">
        <v>1</v>
      </c>
      <c r="C230">
        <v>4</v>
      </c>
      <c r="D230">
        <v>3</v>
      </c>
      <c r="E230">
        <v>1</v>
      </c>
      <c r="F230">
        <v>5</v>
      </c>
      <c r="G230">
        <v>4</v>
      </c>
      <c r="H230" s="25">
        <f t="shared" si="46"/>
        <v>3</v>
      </c>
      <c r="I230" s="25">
        <f t="shared" si="47"/>
        <v>5</v>
      </c>
      <c r="J230" s="25">
        <f t="shared" si="48"/>
        <v>4</v>
      </c>
      <c r="K230" s="25">
        <f t="shared" si="49"/>
        <v>3</v>
      </c>
      <c r="L230" s="25">
        <f t="shared" si="50"/>
        <v>5</v>
      </c>
      <c r="M230" s="25">
        <f t="shared" si="51"/>
        <v>5</v>
      </c>
      <c r="N230" s="25">
        <f t="shared" si="52"/>
        <v>4</v>
      </c>
      <c r="O230" s="32">
        <f t="shared" si="53"/>
        <v>-0.95700561253682881</v>
      </c>
      <c r="P230" s="32">
        <f t="shared" si="54"/>
        <v>1.0418053570413823</v>
      </c>
      <c r="Q230" s="32">
        <f t="shared" si="55"/>
        <v>-9.6984149849158471E-2</v>
      </c>
      <c r="R230" s="32">
        <f t="shared" si="56"/>
        <v>-0.61891576076406762</v>
      </c>
      <c r="S230" s="32">
        <f t="shared" si="57"/>
        <v>0.86866731645372819</v>
      </c>
      <c r="T230" s="32">
        <f t="shared" si="58"/>
        <v>0.81206041627470116</v>
      </c>
      <c r="U230" s="32">
        <f t="shared" si="59"/>
        <v>-9.8649377643389324E-2</v>
      </c>
      <c r="V230" s="37">
        <f t="shared" si="60"/>
        <v>0.13585402699662391</v>
      </c>
      <c r="W230"/>
      <c r="AK230" s="45" t="s">
        <v>78</v>
      </c>
      <c r="AL230" s="45">
        <v>7</v>
      </c>
      <c r="AM230" s="45">
        <v>27</v>
      </c>
      <c r="AN230" s="45">
        <v>3.8571428569999999</v>
      </c>
      <c r="AO230" s="45">
        <v>1.1428571430000001</v>
      </c>
      <c r="AP230" s="45"/>
      <c r="AQ230" s="45"/>
      <c r="AR230" s="45"/>
    </row>
    <row r="231" spans="1:44" x14ac:dyDescent="0.35">
      <c r="A231">
        <v>5</v>
      </c>
      <c r="B231">
        <v>1</v>
      </c>
      <c r="C231">
        <v>4</v>
      </c>
      <c r="D231">
        <v>5</v>
      </c>
      <c r="E231">
        <v>1</v>
      </c>
      <c r="F231">
        <v>5</v>
      </c>
      <c r="G231">
        <v>4</v>
      </c>
      <c r="H231" s="25">
        <f t="shared" si="46"/>
        <v>5</v>
      </c>
      <c r="I231" s="25">
        <f t="shared" si="47"/>
        <v>5</v>
      </c>
      <c r="J231" s="25">
        <f t="shared" si="48"/>
        <v>4</v>
      </c>
      <c r="K231" s="25">
        <f t="shared" si="49"/>
        <v>1</v>
      </c>
      <c r="L231" s="25">
        <f t="shared" si="50"/>
        <v>5</v>
      </c>
      <c r="M231" s="25">
        <f t="shared" si="51"/>
        <v>5</v>
      </c>
      <c r="N231" s="25">
        <f t="shared" si="52"/>
        <v>4</v>
      </c>
      <c r="O231" s="32">
        <f t="shared" si="53"/>
        <v>0.84420266961423651</v>
      </c>
      <c r="P231" s="32">
        <f t="shared" si="54"/>
        <v>1.0418053570413823</v>
      </c>
      <c r="Q231" s="32">
        <f t="shared" si="55"/>
        <v>-9.6984149849158471E-2</v>
      </c>
      <c r="R231" s="32">
        <f t="shared" si="56"/>
        <v>-2.2884705377570564</v>
      </c>
      <c r="S231" s="32">
        <f t="shared" si="57"/>
        <v>0.86866731645372819</v>
      </c>
      <c r="T231" s="32">
        <f t="shared" si="58"/>
        <v>0.81206041627470116</v>
      </c>
      <c r="U231" s="32">
        <f t="shared" si="59"/>
        <v>-9.8649377643389324E-2</v>
      </c>
      <c r="V231" s="37">
        <f t="shared" si="60"/>
        <v>0.1546616705906349</v>
      </c>
      <c r="W231"/>
      <c r="AK231" s="45" t="s">
        <v>78</v>
      </c>
      <c r="AL231" s="45">
        <v>7</v>
      </c>
      <c r="AM231" s="45">
        <v>32</v>
      </c>
      <c r="AN231" s="45">
        <v>4.5714285710000002</v>
      </c>
      <c r="AO231" s="45">
        <v>0.28571428599999998</v>
      </c>
      <c r="AP231" s="45"/>
      <c r="AQ231" s="45"/>
      <c r="AR231" s="45"/>
    </row>
    <row r="232" spans="1:44" x14ac:dyDescent="0.35">
      <c r="A232">
        <v>5</v>
      </c>
      <c r="B232">
        <v>2</v>
      </c>
      <c r="C232">
        <v>5</v>
      </c>
      <c r="D232">
        <v>1</v>
      </c>
      <c r="E232">
        <v>2</v>
      </c>
      <c r="F232">
        <v>5</v>
      </c>
      <c r="G232">
        <v>4</v>
      </c>
      <c r="H232" s="25">
        <f t="shared" si="46"/>
        <v>5</v>
      </c>
      <c r="I232" s="25">
        <f t="shared" si="47"/>
        <v>4</v>
      </c>
      <c r="J232" s="25">
        <f t="shared" si="48"/>
        <v>5</v>
      </c>
      <c r="K232" s="25">
        <f t="shared" si="49"/>
        <v>5</v>
      </c>
      <c r="L232" s="25">
        <f t="shared" si="50"/>
        <v>4</v>
      </c>
      <c r="M232" s="25">
        <f t="shared" si="51"/>
        <v>5</v>
      </c>
      <c r="N232" s="25">
        <f t="shared" si="52"/>
        <v>4</v>
      </c>
      <c r="O232" s="32">
        <f t="shared" si="53"/>
        <v>0.84420266961423651</v>
      </c>
      <c r="P232" s="32">
        <f t="shared" si="54"/>
        <v>0.26360832519077404</v>
      </c>
      <c r="Q232" s="32">
        <f t="shared" si="55"/>
        <v>0.80698132232978881</v>
      </c>
      <c r="R232" s="32">
        <f t="shared" si="56"/>
        <v>1.0506390162289212</v>
      </c>
      <c r="S232" s="32">
        <f t="shared" si="57"/>
        <v>2.4129647679270144E-2</v>
      </c>
      <c r="T232" s="32">
        <f t="shared" si="58"/>
        <v>0.81206041627470116</v>
      </c>
      <c r="U232" s="32">
        <f t="shared" si="59"/>
        <v>-9.8649377643389324E-2</v>
      </c>
      <c r="V232" s="37">
        <f t="shared" si="60"/>
        <v>0.52899600281061454</v>
      </c>
      <c r="W232"/>
      <c r="AK232" s="45" t="s">
        <v>78</v>
      </c>
      <c r="AL232" s="45">
        <v>7</v>
      </c>
      <c r="AM232" s="45">
        <v>30</v>
      </c>
      <c r="AN232" s="45">
        <v>4.2857142860000002</v>
      </c>
      <c r="AO232" s="45">
        <v>0.571428571</v>
      </c>
      <c r="AP232" s="45"/>
      <c r="AQ232" s="45"/>
      <c r="AR232" s="45"/>
    </row>
    <row r="233" spans="1:44" x14ac:dyDescent="0.35">
      <c r="A233">
        <v>5</v>
      </c>
      <c r="B233">
        <v>3</v>
      </c>
      <c r="C233">
        <v>4</v>
      </c>
      <c r="D233">
        <v>2</v>
      </c>
      <c r="E233">
        <v>2</v>
      </c>
      <c r="F233">
        <v>5</v>
      </c>
      <c r="G233">
        <v>4</v>
      </c>
      <c r="H233" s="25">
        <f t="shared" si="46"/>
        <v>5</v>
      </c>
      <c r="I233" s="25">
        <f t="shared" si="47"/>
        <v>3</v>
      </c>
      <c r="J233" s="25">
        <f t="shared" si="48"/>
        <v>4</v>
      </c>
      <c r="K233" s="25">
        <f t="shared" si="49"/>
        <v>4</v>
      </c>
      <c r="L233" s="25">
        <f t="shared" si="50"/>
        <v>4</v>
      </c>
      <c r="M233" s="25">
        <f t="shared" si="51"/>
        <v>5</v>
      </c>
      <c r="N233" s="25">
        <f t="shared" si="52"/>
        <v>4</v>
      </c>
      <c r="O233" s="32">
        <f t="shared" si="53"/>
        <v>0.84420266961423651</v>
      </c>
      <c r="P233" s="32">
        <f t="shared" si="54"/>
        <v>-0.51458870665983425</v>
      </c>
      <c r="Q233" s="32">
        <f t="shared" si="55"/>
        <v>-9.6984149849158471E-2</v>
      </c>
      <c r="R233" s="32">
        <f t="shared" si="56"/>
        <v>0.21586162773242673</v>
      </c>
      <c r="S233" s="32">
        <f t="shared" si="57"/>
        <v>2.4129647679270144E-2</v>
      </c>
      <c r="T233" s="32">
        <f t="shared" si="58"/>
        <v>0.81206041627470116</v>
      </c>
      <c r="U233" s="32">
        <f t="shared" si="59"/>
        <v>-9.8649377643389324E-2</v>
      </c>
      <c r="V233" s="37">
        <f t="shared" si="60"/>
        <v>0.16943316102117892</v>
      </c>
      <c r="W233"/>
      <c r="AK233" s="45" t="s">
        <v>78</v>
      </c>
      <c r="AL233" s="45">
        <v>7</v>
      </c>
      <c r="AM233" s="45">
        <v>29</v>
      </c>
      <c r="AN233" s="45">
        <v>4.1428571429999996</v>
      </c>
      <c r="AO233" s="45">
        <v>0.80952380999999995</v>
      </c>
      <c r="AP233" s="45"/>
      <c r="AQ233" s="45"/>
      <c r="AR233" s="45"/>
    </row>
    <row r="234" spans="1:44" x14ac:dyDescent="0.35">
      <c r="A234">
        <v>5</v>
      </c>
      <c r="B234">
        <v>1</v>
      </c>
      <c r="C234">
        <v>5</v>
      </c>
      <c r="D234">
        <v>2</v>
      </c>
      <c r="E234">
        <v>2</v>
      </c>
      <c r="F234">
        <v>5</v>
      </c>
      <c r="G234">
        <v>4</v>
      </c>
      <c r="H234" s="25">
        <f t="shared" si="46"/>
        <v>5</v>
      </c>
      <c r="I234" s="25">
        <f t="shared" si="47"/>
        <v>5</v>
      </c>
      <c r="J234" s="25">
        <f t="shared" si="48"/>
        <v>5</v>
      </c>
      <c r="K234" s="25">
        <f t="shared" si="49"/>
        <v>4</v>
      </c>
      <c r="L234" s="25">
        <f t="shared" si="50"/>
        <v>4</v>
      </c>
      <c r="M234" s="25">
        <f t="shared" si="51"/>
        <v>5</v>
      </c>
      <c r="N234" s="25">
        <f t="shared" si="52"/>
        <v>4</v>
      </c>
      <c r="O234" s="32">
        <f t="shared" si="53"/>
        <v>0.84420266961423651</v>
      </c>
      <c r="P234" s="32">
        <f t="shared" si="54"/>
        <v>1.0418053570413823</v>
      </c>
      <c r="Q234" s="32">
        <f t="shared" si="55"/>
        <v>0.80698132232978881</v>
      </c>
      <c r="R234" s="32">
        <f t="shared" si="56"/>
        <v>0.21586162773242673</v>
      </c>
      <c r="S234" s="32">
        <f t="shared" si="57"/>
        <v>2.4129647679270144E-2</v>
      </c>
      <c r="T234" s="32">
        <f t="shared" si="58"/>
        <v>0.81206041627470116</v>
      </c>
      <c r="U234" s="32">
        <f t="shared" si="59"/>
        <v>-9.8649377643389324E-2</v>
      </c>
      <c r="V234" s="37">
        <f t="shared" si="60"/>
        <v>0.52091309471834513</v>
      </c>
      <c r="W234"/>
      <c r="AK234" s="45" t="s">
        <v>78</v>
      </c>
      <c r="AL234" s="45">
        <v>7</v>
      </c>
      <c r="AM234" s="45">
        <v>29</v>
      </c>
      <c r="AN234" s="45">
        <v>4.1428571429999996</v>
      </c>
      <c r="AO234" s="45">
        <v>2.1428571430000001</v>
      </c>
      <c r="AP234" s="45"/>
      <c r="AQ234" s="45"/>
      <c r="AR234" s="45"/>
    </row>
    <row r="235" spans="1:44" x14ac:dyDescent="0.35">
      <c r="A235">
        <v>4</v>
      </c>
      <c r="B235">
        <v>2</v>
      </c>
      <c r="C235">
        <v>5</v>
      </c>
      <c r="D235">
        <v>2</v>
      </c>
      <c r="E235">
        <v>2</v>
      </c>
      <c r="F235">
        <v>5</v>
      </c>
      <c r="G235">
        <v>4</v>
      </c>
      <c r="H235" s="25">
        <f t="shared" si="46"/>
        <v>4</v>
      </c>
      <c r="I235" s="25">
        <f t="shared" si="47"/>
        <v>4</v>
      </c>
      <c r="J235" s="25">
        <f t="shared" si="48"/>
        <v>5</v>
      </c>
      <c r="K235" s="25">
        <f t="shared" si="49"/>
        <v>4</v>
      </c>
      <c r="L235" s="25">
        <f t="shared" si="50"/>
        <v>4</v>
      </c>
      <c r="M235" s="25">
        <f t="shared" si="51"/>
        <v>5</v>
      </c>
      <c r="N235" s="25">
        <f t="shared" si="52"/>
        <v>4</v>
      </c>
      <c r="O235" s="32">
        <f t="shared" si="53"/>
        <v>-5.6401471461296142E-2</v>
      </c>
      <c r="P235" s="32">
        <f t="shared" si="54"/>
        <v>0.26360832519077404</v>
      </c>
      <c r="Q235" s="32">
        <f t="shared" si="55"/>
        <v>0.80698132232978881</v>
      </c>
      <c r="R235" s="32">
        <f t="shared" si="56"/>
        <v>0.21586162773242673</v>
      </c>
      <c r="S235" s="32">
        <f t="shared" si="57"/>
        <v>2.4129647679270144E-2</v>
      </c>
      <c r="T235" s="32">
        <f t="shared" si="58"/>
        <v>0.81206041627470116</v>
      </c>
      <c r="U235" s="32">
        <f t="shared" si="59"/>
        <v>-9.8649377643389324E-2</v>
      </c>
      <c r="V235" s="37">
        <f t="shared" si="60"/>
        <v>0.28108435572889645</v>
      </c>
      <c r="W235"/>
      <c r="AK235" s="45" t="s">
        <v>78</v>
      </c>
      <c r="AL235" s="45">
        <v>7</v>
      </c>
      <c r="AM235" s="45">
        <v>32</v>
      </c>
      <c r="AN235" s="45">
        <v>4.5714285710000002</v>
      </c>
      <c r="AO235" s="45">
        <v>0.28571428599999998</v>
      </c>
      <c r="AP235" s="45"/>
      <c r="AQ235" s="45"/>
      <c r="AR235" s="45"/>
    </row>
    <row r="236" spans="1:44" x14ac:dyDescent="0.35">
      <c r="A236">
        <v>4</v>
      </c>
      <c r="B236">
        <v>1</v>
      </c>
      <c r="C236">
        <v>5</v>
      </c>
      <c r="D236">
        <v>4</v>
      </c>
      <c r="E236">
        <v>2</v>
      </c>
      <c r="F236">
        <v>5</v>
      </c>
      <c r="G236">
        <v>4</v>
      </c>
      <c r="H236" s="25">
        <f t="shared" si="46"/>
        <v>4</v>
      </c>
      <c r="I236" s="25">
        <f t="shared" si="47"/>
        <v>5</v>
      </c>
      <c r="J236" s="25">
        <f t="shared" si="48"/>
        <v>5</v>
      </c>
      <c r="K236" s="25">
        <f t="shared" si="49"/>
        <v>2</v>
      </c>
      <c r="L236" s="25">
        <f t="shared" si="50"/>
        <v>4</v>
      </c>
      <c r="M236" s="25">
        <f t="shared" si="51"/>
        <v>5</v>
      </c>
      <c r="N236" s="25">
        <f t="shared" si="52"/>
        <v>4</v>
      </c>
      <c r="O236" s="32">
        <f t="shared" si="53"/>
        <v>-5.6401471461296142E-2</v>
      </c>
      <c r="P236" s="32">
        <f t="shared" si="54"/>
        <v>1.0418053570413823</v>
      </c>
      <c r="Q236" s="32">
        <f t="shared" si="55"/>
        <v>0.80698132232978881</v>
      </c>
      <c r="R236" s="32">
        <f t="shared" si="56"/>
        <v>-1.453693149260562</v>
      </c>
      <c r="S236" s="32">
        <f t="shared" si="57"/>
        <v>2.4129647679270144E-2</v>
      </c>
      <c r="T236" s="32">
        <f t="shared" si="58"/>
        <v>0.81206041627470116</v>
      </c>
      <c r="U236" s="32">
        <f t="shared" si="59"/>
        <v>-9.8649377643389324E-2</v>
      </c>
      <c r="V236" s="37">
        <f t="shared" si="60"/>
        <v>0.15374753499427068</v>
      </c>
      <c r="W236"/>
      <c r="AK236" s="45" t="s">
        <v>78</v>
      </c>
      <c r="AL236" s="45">
        <v>7</v>
      </c>
      <c r="AM236" s="45">
        <v>29</v>
      </c>
      <c r="AN236" s="45">
        <v>4.1428571429999996</v>
      </c>
      <c r="AO236" s="45">
        <v>0.47619047599999997</v>
      </c>
      <c r="AP236" s="45"/>
      <c r="AQ236" s="45"/>
      <c r="AR236" s="45"/>
    </row>
    <row r="237" spans="1:44" x14ac:dyDescent="0.35">
      <c r="A237">
        <v>5</v>
      </c>
      <c r="B237">
        <v>3</v>
      </c>
      <c r="C237">
        <v>5</v>
      </c>
      <c r="D237">
        <v>4</v>
      </c>
      <c r="E237">
        <v>2</v>
      </c>
      <c r="F237">
        <v>5</v>
      </c>
      <c r="G237">
        <v>4</v>
      </c>
      <c r="H237" s="25">
        <f t="shared" si="46"/>
        <v>5</v>
      </c>
      <c r="I237" s="25">
        <f t="shared" si="47"/>
        <v>3</v>
      </c>
      <c r="J237" s="25">
        <f t="shared" si="48"/>
        <v>5</v>
      </c>
      <c r="K237" s="25">
        <f t="shared" si="49"/>
        <v>2</v>
      </c>
      <c r="L237" s="25">
        <f t="shared" si="50"/>
        <v>4</v>
      </c>
      <c r="M237" s="25">
        <f t="shared" si="51"/>
        <v>5</v>
      </c>
      <c r="N237" s="25">
        <f t="shared" si="52"/>
        <v>4</v>
      </c>
      <c r="O237" s="32">
        <f t="shared" si="53"/>
        <v>0.84420266961423651</v>
      </c>
      <c r="P237" s="32">
        <f t="shared" si="54"/>
        <v>-0.51458870665983425</v>
      </c>
      <c r="Q237" s="32">
        <f t="shared" si="55"/>
        <v>0.80698132232978881</v>
      </c>
      <c r="R237" s="32">
        <f t="shared" si="56"/>
        <v>-1.453693149260562</v>
      </c>
      <c r="S237" s="32">
        <f t="shared" si="57"/>
        <v>2.4129647679270144E-2</v>
      </c>
      <c r="T237" s="32">
        <f t="shared" si="58"/>
        <v>0.81206041627470116</v>
      </c>
      <c r="U237" s="32">
        <f t="shared" si="59"/>
        <v>-9.8649377643389324E-2</v>
      </c>
      <c r="V237" s="37">
        <f t="shared" si="60"/>
        <v>6.0063260333458733E-2</v>
      </c>
      <c r="W237"/>
      <c r="AK237" s="45" t="s">
        <v>78</v>
      </c>
      <c r="AL237" s="45">
        <v>7</v>
      </c>
      <c r="AM237" s="45">
        <v>32</v>
      </c>
      <c r="AN237" s="45">
        <v>4.5714285710000002</v>
      </c>
      <c r="AO237" s="45">
        <v>0.28571428599999998</v>
      </c>
      <c r="AP237" s="45"/>
      <c r="AQ237" s="45"/>
      <c r="AR237" s="45"/>
    </row>
    <row r="238" spans="1:44" x14ac:dyDescent="0.35">
      <c r="A238">
        <v>5</v>
      </c>
      <c r="B238">
        <v>2</v>
      </c>
      <c r="C238">
        <v>5</v>
      </c>
      <c r="D238">
        <v>5</v>
      </c>
      <c r="E238">
        <v>2</v>
      </c>
      <c r="F238">
        <v>5</v>
      </c>
      <c r="G238">
        <v>4</v>
      </c>
      <c r="H238" s="25">
        <f t="shared" si="46"/>
        <v>5</v>
      </c>
      <c r="I238" s="25">
        <f t="shared" si="47"/>
        <v>4</v>
      </c>
      <c r="J238" s="25">
        <f t="shared" si="48"/>
        <v>5</v>
      </c>
      <c r="K238" s="25">
        <f t="shared" si="49"/>
        <v>1</v>
      </c>
      <c r="L238" s="25">
        <f t="shared" si="50"/>
        <v>4</v>
      </c>
      <c r="M238" s="25">
        <f t="shared" si="51"/>
        <v>5</v>
      </c>
      <c r="N238" s="25">
        <f t="shared" si="52"/>
        <v>4</v>
      </c>
      <c r="O238" s="32">
        <f t="shared" si="53"/>
        <v>0.84420266961423651</v>
      </c>
      <c r="P238" s="32">
        <f t="shared" si="54"/>
        <v>0.26360832519077404</v>
      </c>
      <c r="Q238" s="32">
        <f t="shared" si="55"/>
        <v>0.80698132232978881</v>
      </c>
      <c r="R238" s="32">
        <f t="shared" si="56"/>
        <v>-2.2884705377570564</v>
      </c>
      <c r="S238" s="32">
        <f t="shared" si="57"/>
        <v>2.4129647679270144E-2</v>
      </c>
      <c r="T238" s="32">
        <f t="shared" si="58"/>
        <v>0.81206041627470116</v>
      </c>
      <c r="U238" s="32">
        <f t="shared" si="59"/>
        <v>-9.8649377643389324E-2</v>
      </c>
      <c r="V238" s="37">
        <f t="shared" si="60"/>
        <v>5.1980352241189277E-2</v>
      </c>
      <c r="W238"/>
      <c r="AK238" s="45" t="s">
        <v>78</v>
      </c>
      <c r="AL238" s="45">
        <v>7</v>
      </c>
      <c r="AM238" s="45">
        <v>30</v>
      </c>
      <c r="AN238" s="45">
        <v>4.2857142860000002</v>
      </c>
      <c r="AO238" s="45">
        <v>0.23809523799999999</v>
      </c>
      <c r="AP238" s="45"/>
      <c r="AQ238" s="45"/>
      <c r="AR238" s="45"/>
    </row>
    <row r="239" spans="1:44" x14ac:dyDescent="0.35">
      <c r="A239">
        <v>5</v>
      </c>
      <c r="B239">
        <v>3</v>
      </c>
      <c r="C239">
        <v>3</v>
      </c>
      <c r="D239">
        <v>1</v>
      </c>
      <c r="E239">
        <v>3</v>
      </c>
      <c r="F239">
        <v>5</v>
      </c>
      <c r="G239">
        <v>4</v>
      </c>
      <c r="H239" s="25">
        <f t="shared" si="46"/>
        <v>5</v>
      </c>
      <c r="I239" s="25">
        <f t="shared" si="47"/>
        <v>3</v>
      </c>
      <c r="J239" s="25">
        <f t="shared" si="48"/>
        <v>3</v>
      </c>
      <c r="K239" s="25">
        <f t="shared" si="49"/>
        <v>5</v>
      </c>
      <c r="L239" s="25">
        <f t="shared" si="50"/>
        <v>3</v>
      </c>
      <c r="M239" s="25">
        <f t="shared" si="51"/>
        <v>5</v>
      </c>
      <c r="N239" s="25">
        <f t="shared" si="52"/>
        <v>4</v>
      </c>
      <c r="O239" s="32">
        <f t="shared" si="53"/>
        <v>0.84420266961423651</v>
      </c>
      <c r="P239" s="32">
        <f t="shared" si="54"/>
        <v>-0.51458870665983425</v>
      </c>
      <c r="Q239" s="32">
        <f t="shared" si="55"/>
        <v>-1.0009496220281058</v>
      </c>
      <c r="R239" s="32">
        <f t="shared" si="56"/>
        <v>1.0506390162289212</v>
      </c>
      <c r="S239" s="32">
        <f t="shared" si="57"/>
        <v>-0.82040802109518784</v>
      </c>
      <c r="T239" s="32">
        <f t="shared" si="58"/>
        <v>0.81206041627470116</v>
      </c>
      <c r="U239" s="32">
        <f t="shared" si="59"/>
        <v>-9.8649377643389324E-2</v>
      </c>
      <c r="V239" s="37">
        <f t="shared" si="60"/>
        <v>3.890091067019167E-2</v>
      </c>
      <c r="W239"/>
      <c r="AK239" s="45" t="s">
        <v>78</v>
      </c>
      <c r="AL239" s="45">
        <v>7</v>
      </c>
      <c r="AM239" s="45">
        <v>29</v>
      </c>
      <c r="AN239" s="45">
        <v>4.1428571429999996</v>
      </c>
      <c r="AO239" s="45">
        <v>1.1428571430000001</v>
      </c>
      <c r="AP239" s="45"/>
      <c r="AQ239" s="45"/>
      <c r="AR239" s="45"/>
    </row>
    <row r="240" spans="1:44" x14ac:dyDescent="0.35">
      <c r="A240">
        <v>3</v>
      </c>
      <c r="B240">
        <v>1</v>
      </c>
      <c r="C240">
        <v>2</v>
      </c>
      <c r="D240">
        <v>5</v>
      </c>
      <c r="E240">
        <v>3</v>
      </c>
      <c r="F240">
        <v>5</v>
      </c>
      <c r="G240">
        <v>4</v>
      </c>
      <c r="H240" s="25">
        <f t="shared" si="46"/>
        <v>3</v>
      </c>
      <c r="I240" s="25">
        <f t="shared" si="47"/>
        <v>5</v>
      </c>
      <c r="J240" s="25">
        <f t="shared" si="48"/>
        <v>2</v>
      </c>
      <c r="K240" s="25">
        <f t="shared" si="49"/>
        <v>1</v>
      </c>
      <c r="L240" s="25">
        <f t="shared" si="50"/>
        <v>3</v>
      </c>
      <c r="M240" s="25">
        <f t="shared" si="51"/>
        <v>5</v>
      </c>
      <c r="N240" s="25">
        <f t="shared" si="52"/>
        <v>4</v>
      </c>
      <c r="O240" s="32">
        <f t="shared" si="53"/>
        <v>-0.95700561253682881</v>
      </c>
      <c r="P240" s="32">
        <f t="shared" si="54"/>
        <v>1.0418053570413823</v>
      </c>
      <c r="Q240" s="32">
        <f t="shared" si="55"/>
        <v>-1.904915094207053</v>
      </c>
      <c r="R240" s="32">
        <f t="shared" si="56"/>
        <v>-2.2884705377570564</v>
      </c>
      <c r="S240" s="32">
        <f t="shared" si="57"/>
        <v>-0.82040802109518784</v>
      </c>
      <c r="T240" s="32">
        <f t="shared" si="58"/>
        <v>0.81206041627470116</v>
      </c>
      <c r="U240" s="32">
        <f t="shared" si="59"/>
        <v>-9.8649377643389324E-2</v>
      </c>
      <c r="V240" s="37">
        <f t="shared" si="60"/>
        <v>-0.60222612427477618</v>
      </c>
      <c r="W240"/>
      <c r="AK240" s="45" t="s">
        <v>78</v>
      </c>
      <c r="AL240" s="45">
        <v>7</v>
      </c>
      <c r="AM240" s="45">
        <v>28</v>
      </c>
      <c r="AN240" s="45">
        <v>4</v>
      </c>
      <c r="AO240" s="45">
        <v>1.3333333329999999</v>
      </c>
      <c r="AP240" s="45"/>
      <c r="AQ240" s="45"/>
      <c r="AR240" s="45"/>
    </row>
    <row r="241" spans="1:44" x14ac:dyDescent="0.35">
      <c r="A241">
        <v>1</v>
      </c>
      <c r="B241">
        <v>1</v>
      </c>
      <c r="C241">
        <v>5</v>
      </c>
      <c r="D241">
        <v>1</v>
      </c>
      <c r="E241">
        <v>4</v>
      </c>
      <c r="F241">
        <v>5</v>
      </c>
      <c r="G241">
        <v>4</v>
      </c>
      <c r="H241" s="25">
        <f t="shared" si="46"/>
        <v>1</v>
      </c>
      <c r="I241" s="25">
        <f t="shared" si="47"/>
        <v>5</v>
      </c>
      <c r="J241" s="25">
        <f t="shared" si="48"/>
        <v>5</v>
      </c>
      <c r="K241" s="25">
        <f t="shared" si="49"/>
        <v>5</v>
      </c>
      <c r="L241" s="25">
        <f t="shared" si="50"/>
        <v>2</v>
      </c>
      <c r="M241" s="25">
        <f t="shared" si="51"/>
        <v>5</v>
      </c>
      <c r="N241" s="25">
        <f t="shared" si="52"/>
        <v>4</v>
      </c>
      <c r="O241" s="32">
        <f t="shared" si="53"/>
        <v>-2.758213894687894</v>
      </c>
      <c r="P241" s="32">
        <f t="shared" si="54"/>
        <v>1.0418053570413823</v>
      </c>
      <c r="Q241" s="32">
        <f t="shared" si="55"/>
        <v>0.80698132232978881</v>
      </c>
      <c r="R241" s="32">
        <f t="shared" si="56"/>
        <v>1.0506390162289212</v>
      </c>
      <c r="S241" s="32">
        <f t="shared" si="57"/>
        <v>-1.664945689869646</v>
      </c>
      <c r="T241" s="32">
        <f t="shared" si="58"/>
        <v>0.81206041627470116</v>
      </c>
      <c r="U241" s="32">
        <f t="shared" si="59"/>
        <v>-9.8649377643389324E-2</v>
      </c>
      <c r="V241" s="37">
        <f t="shared" si="60"/>
        <v>-0.11576040718944798</v>
      </c>
      <c r="W241"/>
      <c r="AK241" s="45" t="s">
        <v>78</v>
      </c>
      <c r="AL241" s="45">
        <v>7</v>
      </c>
      <c r="AM241" s="45">
        <v>28</v>
      </c>
      <c r="AN241" s="45">
        <v>4</v>
      </c>
      <c r="AO241" s="45">
        <v>2</v>
      </c>
      <c r="AP241" s="45"/>
      <c r="AQ241" s="45"/>
      <c r="AR241" s="45"/>
    </row>
    <row r="242" spans="1:44" x14ac:dyDescent="0.35">
      <c r="A242">
        <v>4</v>
      </c>
      <c r="B242">
        <v>5</v>
      </c>
      <c r="C242">
        <v>4</v>
      </c>
      <c r="D242">
        <v>4</v>
      </c>
      <c r="E242">
        <v>4</v>
      </c>
      <c r="F242">
        <v>5</v>
      </c>
      <c r="G242">
        <v>4</v>
      </c>
      <c r="H242" s="25">
        <f t="shared" si="46"/>
        <v>4</v>
      </c>
      <c r="I242" s="25">
        <f t="shared" si="47"/>
        <v>1</v>
      </c>
      <c r="J242" s="25">
        <f t="shared" si="48"/>
        <v>4</v>
      </c>
      <c r="K242" s="25">
        <f t="shared" si="49"/>
        <v>2</v>
      </c>
      <c r="L242" s="25">
        <f t="shared" si="50"/>
        <v>2</v>
      </c>
      <c r="M242" s="25">
        <f t="shared" si="51"/>
        <v>5</v>
      </c>
      <c r="N242" s="25">
        <f t="shared" si="52"/>
        <v>4</v>
      </c>
      <c r="O242" s="32">
        <f t="shared" si="53"/>
        <v>-5.6401471461296142E-2</v>
      </c>
      <c r="P242" s="32">
        <f t="shared" si="54"/>
        <v>-2.0709827703610508</v>
      </c>
      <c r="Q242" s="32">
        <f t="shared" si="55"/>
        <v>-9.6984149849158471E-2</v>
      </c>
      <c r="R242" s="32">
        <f t="shared" si="56"/>
        <v>-1.453693149260562</v>
      </c>
      <c r="S242" s="32">
        <f t="shared" si="57"/>
        <v>-1.664945689869646</v>
      </c>
      <c r="T242" s="32">
        <f t="shared" si="58"/>
        <v>0.81206041627470116</v>
      </c>
      <c r="U242" s="32">
        <f t="shared" si="59"/>
        <v>-9.8649377643389324E-2</v>
      </c>
      <c r="V242" s="37">
        <f t="shared" si="60"/>
        <v>-0.66137088459577154</v>
      </c>
      <c r="W242"/>
      <c r="AK242" s="45" t="s">
        <v>78</v>
      </c>
      <c r="AL242" s="45">
        <v>7</v>
      </c>
      <c r="AM242" s="45">
        <v>28</v>
      </c>
      <c r="AN242" s="45">
        <v>4</v>
      </c>
      <c r="AO242" s="45">
        <v>1</v>
      </c>
      <c r="AP242" s="45"/>
      <c r="AQ242" s="45"/>
      <c r="AR242" s="45"/>
    </row>
    <row r="243" spans="1:44" x14ac:dyDescent="0.35">
      <c r="A243">
        <v>5</v>
      </c>
      <c r="B243">
        <v>2</v>
      </c>
      <c r="C243">
        <v>3</v>
      </c>
      <c r="D243">
        <v>5</v>
      </c>
      <c r="E243">
        <v>4</v>
      </c>
      <c r="F243">
        <v>5</v>
      </c>
      <c r="G243">
        <v>4</v>
      </c>
      <c r="H243" s="25">
        <f t="shared" si="46"/>
        <v>5</v>
      </c>
      <c r="I243" s="25">
        <f t="shared" si="47"/>
        <v>4</v>
      </c>
      <c r="J243" s="25">
        <f t="shared" si="48"/>
        <v>3</v>
      </c>
      <c r="K243" s="25">
        <f t="shared" si="49"/>
        <v>1</v>
      </c>
      <c r="L243" s="25">
        <f t="shared" si="50"/>
        <v>2</v>
      </c>
      <c r="M243" s="25">
        <f t="shared" si="51"/>
        <v>5</v>
      </c>
      <c r="N243" s="25">
        <f t="shared" si="52"/>
        <v>4</v>
      </c>
      <c r="O243" s="32">
        <f t="shared" si="53"/>
        <v>0.84420266961423651</v>
      </c>
      <c r="P243" s="32">
        <f t="shared" si="54"/>
        <v>0.26360832519077404</v>
      </c>
      <c r="Q243" s="32">
        <f t="shared" si="55"/>
        <v>-1.0009496220281058</v>
      </c>
      <c r="R243" s="32">
        <f t="shared" si="56"/>
        <v>-2.2884705377570564</v>
      </c>
      <c r="S243" s="32">
        <f t="shared" si="57"/>
        <v>-1.664945689869646</v>
      </c>
      <c r="T243" s="32">
        <f t="shared" si="58"/>
        <v>0.81206041627470116</v>
      </c>
      <c r="U243" s="32">
        <f t="shared" si="59"/>
        <v>-9.8649377643389324E-2</v>
      </c>
      <c r="V243" s="37">
        <f t="shared" si="60"/>
        <v>-0.44759197374549797</v>
      </c>
      <c r="W243"/>
      <c r="AK243" s="45" t="s">
        <v>78</v>
      </c>
      <c r="AL243" s="45">
        <v>7</v>
      </c>
      <c r="AM243" s="45">
        <v>23</v>
      </c>
      <c r="AN243" s="45">
        <v>3.2857142860000002</v>
      </c>
      <c r="AO243" s="45">
        <v>2.2380952380000001</v>
      </c>
      <c r="AP243" s="45"/>
      <c r="AQ243" s="45"/>
      <c r="AR243" s="45"/>
    </row>
    <row r="244" spans="1:44" x14ac:dyDescent="0.35">
      <c r="A244">
        <v>5</v>
      </c>
      <c r="B244">
        <v>1</v>
      </c>
      <c r="C244">
        <v>5</v>
      </c>
      <c r="D244">
        <v>1</v>
      </c>
      <c r="E244">
        <v>5</v>
      </c>
      <c r="F244">
        <v>5</v>
      </c>
      <c r="G244">
        <v>4</v>
      </c>
      <c r="H244" s="25">
        <f t="shared" si="46"/>
        <v>5</v>
      </c>
      <c r="I244" s="25">
        <f t="shared" si="47"/>
        <v>5</v>
      </c>
      <c r="J244" s="25">
        <f t="shared" si="48"/>
        <v>5</v>
      </c>
      <c r="K244" s="25">
        <f t="shared" si="49"/>
        <v>5</v>
      </c>
      <c r="L244" s="25">
        <f t="shared" si="50"/>
        <v>1</v>
      </c>
      <c r="M244" s="25">
        <f t="shared" si="51"/>
        <v>5</v>
      </c>
      <c r="N244" s="25">
        <f t="shared" si="52"/>
        <v>4</v>
      </c>
      <c r="O244" s="32">
        <f t="shared" si="53"/>
        <v>0.84420266961423651</v>
      </c>
      <c r="P244" s="32">
        <f t="shared" si="54"/>
        <v>1.0418053570413823</v>
      </c>
      <c r="Q244" s="32">
        <f t="shared" si="55"/>
        <v>0.80698132232978881</v>
      </c>
      <c r="R244" s="32">
        <f t="shared" si="56"/>
        <v>1.0506390162289212</v>
      </c>
      <c r="S244" s="32">
        <f t="shared" si="57"/>
        <v>-2.5094833586441041</v>
      </c>
      <c r="T244" s="32">
        <f t="shared" si="58"/>
        <v>0.81206041627470116</v>
      </c>
      <c r="U244" s="32">
        <f t="shared" si="59"/>
        <v>-9.8649377643389324E-2</v>
      </c>
      <c r="V244" s="37">
        <f t="shared" si="60"/>
        <v>0.27822229217164807</v>
      </c>
      <c r="W244"/>
      <c r="AK244" s="45" t="s">
        <v>78</v>
      </c>
      <c r="AL244" s="45">
        <v>7</v>
      </c>
      <c r="AM244" s="45">
        <v>27</v>
      </c>
      <c r="AN244" s="45">
        <v>3.8571428569999999</v>
      </c>
      <c r="AO244" s="45">
        <v>2.80952381</v>
      </c>
      <c r="AP244" s="45"/>
      <c r="AQ244" s="45"/>
      <c r="AR244" s="45"/>
    </row>
    <row r="245" spans="1:44" x14ac:dyDescent="0.35">
      <c r="A245">
        <v>4</v>
      </c>
      <c r="B245">
        <v>1</v>
      </c>
      <c r="C245">
        <v>4</v>
      </c>
      <c r="D245">
        <v>1</v>
      </c>
      <c r="E245">
        <v>1</v>
      </c>
      <c r="F245">
        <v>1</v>
      </c>
      <c r="G245">
        <v>5</v>
      </c>
      <c r="H245" s="25">
        <f t="shared" si="46"/>
        <v>4</v>
      </c>
      <c r="I245" s="25">
        <f t="shared" si="47"/>
        <v>5</v>
      </c>
      <c r="J245" s="25">
        <f t="shared" si="48"/>
        <v>4</v>
      </c>
      <c r="K245" s="25">
        <f t="shared" si="49"/>
        <v>5</v>
      </c>
      <c r="L245" s="25">
        <f t="shared" si="50"/>
        <v>5</v>
      </c>
      <c r="M245" s="25">
        <f t="shared" si="51"/>
        <v>1</v>
      </c>
      <c r="N245" s="25">
        <f t="shared" si="52"/>
        <v>5</v>
      </c>
      <c r="O245" s="32">
        <f t="shared" si="53"/>
        <v>-5.6401471461296142E-2</v>
      </c>
      <c r="P245" s="32">
        <f t="shared" si="54"/>
        <v>1.0418053570413823</v>
      </c>
      <c r="Q245" s="32">
        <f t="shared" si="55"/>
        <v>-9.6984149849158471E-2</v>
      </c>
      <c r="R245" s="32">
        <f t="shared" si="56"/>
        <v>1.0506390162289212</v>
      </c>
      <c r="S245" s="32">
        <f t="shared" si="57"/>
        <v>0.86866731645372819</v>
      </c>
      <c r="T245" s="32">
        <f t="shared" si="58"/>
        <v>-2.9370783280215829</v>
      </c>
      <c r="U245" s="32">
        <f t="shared" si="59"/>
        <v>0.80563658408767735</v>
      </c>
      <c r="V245" s="37">
        <f t="shared" si="60"/>
        <v>9.6612046354238743E-2</v>
      </c>
      <c r="W245"/>
      <c r="AK245" s="45" t="s">
        <v>78</v>
      </c>
      <c r="AL245" s="45">
        <v>7</v>
      </c>
      <c r="AM245" s="45">
        <v>22</v>
      </c>
      <c r="AN245" s="45">
        <v>3.1428571430000001</v>
      </c>
      <c r="AO245" s="45">
        <v>2.1428571430000001</v>
      </c>
      <c r="AP245" s="45"/>
      <c r="AQ245" s="45"/>
      <c r="AR245" s="45"/>
    </row>
    <row r="246" spans="1:44" x14ac:dyDescent="0.35">
      <c r="A246">
        <v>5</v>
      </c>
      <c r="B246">
        <v>1</v>
      </c>
      <c r="C246">
        <v>5</v>
      </c>
      <c r="D246">
        <v>1</v>
      </c>
      <c r="E246">
        <v>1</v>
      </c>
      <c r="F246">
        <v>1</v>
      </c>
      <c r="G246">
        <v>5</v>
      </c>
      <c r="H246" s="25">
        <f t="shared" si="46"/>
        <v>5</v>
      </c>
      <c r="I246" s="25">
        <f t="shared" si="47"/>
        <v>5</v>
      </c>
      <c r="J246" s="25">
        <f t="shared" si="48"/>
        <v>5</v>
      </c>
      <c r="K246" s="25">
        <f t="shared" si="49"/>
        <v>5</v>
      </c>
      <c r="L246" s="25">
        <f t="shared" si="50"/>
        <v>5</v>
      </c>
      <c r="M246" s="25">
        <f t="shared" si="51"/>
        <v>1</v>
      </c>
      <c r="N246" s="25">
        <f t="shared" si="52"/>
        <v>5</v>
      </c>
      <c r="O246" s="32">
        <f t="shared" si="53"/>
        <v>0.84420266961423651</v>
      </c>
      <c r="P246" s="32">
        <f t="shared" si="54"/>
        <v>1.0418053570413823</v>
      </c>
      <c r="Q246" s="32">
        <f t="shared" si="55"/>
        <v>0.80698132232978881</v>
      </c>
      <c r="R246" s="32">
        <f t="shared" si="56"/>
        <v>1.0506390162289212</v>
      </c>
      <c r="S246" s="32">
        <f t="shared" si="57"/>
        <v>0.86866731645372819</v>
      </c>
      <c r="T246" s="32">
        <f t="shared" si="58"/>
        <v>-2.9370783280215829</v>
      </c>
      <c r="U246" s="32">
        <f t="shared" si="59"/>
        <v>0.80563658408767735</v>
      </c>
      <c r="V246" s="37">
        <f t="shared" si="60"/>
        <v>0.35440770539059308</v>
      </c>
      <c r="W246"/>
      <c r="AK246" s="45" t="s">
        <v>78</v>
      </c>
      <c r="AL246" s="45">
        <v>7</v>
      </c>
      <c r="AM246" s="45">
        <v>24</v>
      </c>
      <c r="AN246" s="45">
        <v>3.4285714289999998</v>
      </c>
      <c r="AO246" s="45">
        <v>2.2857142860000002</v>
      </c>
      <c r="AP246" s="45"/>
      <c r="AQ246" s="45"/>
      <c r="AR246" s="45"/>
    </row>
    <row r="247" spans="1:44" x14ac:dyDescent="0.35">
      <c r="A247">
        <v>1</v>
      </c>
      <c r="B247">
        <v>5</v>
      </c>
      <c r="C247">
        <v>2</v>
      </c>
      <c r="D247">
        <v>5</v>
      </c>
      <c r="E247">
        <v>5</v>
      </c>
      <c r="F247">
        <v>1</v>
      </c>
      <c r="G247">
        <v>5</v>
      </c>
      <c r="H247" s="25">
        <f t="shared" si="46"/>
        <v>1</v>
      </c>
      <c r="I247" s="25">
        <f t="shared" si="47"/>
        <v>1</v>
      </c>
      <c r="J247" s="25">
        <f t="shared" si="48"/>
        <v>2</v>
      </c>
      <c r="K247" s="25">
        <f t="shared" si="49"/>
        <v>1</v>
      </c>
      <c r="L247" s="25">
        <f t="shared" si="50"/>
        <v>1</v>
      </c>
      <c r="M247" s="25">
        <f t="shared" si="51"/>
        <v>1</v>
      </c>
      <c r="N247" s="25">
        <f t="shared" si="52"/>
        <v>5</v>
      </c>
      <c r="O247" s="32">
        <f t="shared" si="53"/>
        <v>-2.758213894687894</v>
      </c>
      <c r="P247" s="32">
        <f t="shared" si="54"/>
        <v>-2.0709827703610508</v>
      </c>
      <c r="Q247" s="32">
        <f t="shared" si="55"/>
        <v>-1.904915094207053</v>
      </c>
      <c r="R247" s="32">
        <f t="shared" si="56"/>
        <v>-2.2884705377570564</v>
      </c>
      <c r="S247" s="32">
        <f t="shared" si="57"/>
        <v>-2.5094833586441041</v>
      </c>
      <c r="T247" s="32">
        <f t="shared" si="58"/>
        <v>-2.9370783280215829</v>
      </c>
      <c r="U247" s="32">
        <f t="shared" si="59"/>
        <v>0.80563658408767735</v>
      </c>
      <c r="V247" s="37">
        <f t="shared" si="60"/>
        <v>-1.951929628513009</v>
      </c>
      <c r="W247"/>
      <c r="AK247" s="45" t="s">
        <v>78</v>
      </c>
      <c r="AL247" s="45">
        <v>7</v>
      </c>
      <c r="AM247" s="45">
        <v>30</v>
      </c>
      <c r="AN247" s="45">
        <v>4.2857142860000002</v>
      </c>
      <c r="AO247" s="45">
        <v>2.2380952380000001</v>
      </c>
      <c r="AP247" s="45"/>
      <c r="AQ247" s="45"/>
      <c r="AR247" s="45"/>
    </row>
    <row r="248" spans="1:44" x14ac:dyDescent="0.35">
      <c r="A248">
        <v>3</v>
      </c>
      <c r="B248">
        <v>1</v>
      </c>
      <c r="C248">
        <v>5</v>
      </c>
      <c r="D248">
        <v>2</v>
      </c>
      <c r="E248">
        <v>1</v>
      </c>
      <c r="F248">
        <v>2</v>
      </c>
      <c r="G248">
        <v>5</v>
      </c>
      <c r="H248" s="25">
        <f t="shared" si="46"/>
        <v>3</v>
      </c>
      <c r="I248" s="25">
        <f t="shared" si="47"/>
        <v>5</v>
      </c>
      <c r="J248" s="25">
        <f t="shared" si="48"/>
        <v>5</v>
      </c>
      <c r="K248" s="25">
        <f t="shared" si="49"/>
        <v>4</v>
      </c>
      <c r="L248" s="25">
        <f t="shared" si="50"/>
        <v>5</v>
      </c>
      <c r="M248" s="25">
        <f t="shared" si="51"/>
        <v>2</v>
      </c>
      <c r="N248" s="25">
        <f t="shared" si="52"/>
        <v>5</v>
      </c>
      <c r="O248" s="32">
        <f t="shared" si="53"/>
        <v>-0.95700561253682881</v>
      </c>
      <c r="P248" s="32">
        <f t="shared" si="54"/>
        <v>1.0418053570413823</v>
      </c>
      <c r="Q248" s="32">
        <f t="shared" si="55"/>
        <v>0.80698132232978881</v>
      </c>
      <c r="R248" s="32">
        <f t="shared" si="56"/>
        <v>0.21586162773242673</v>
      </c>
      <c r="S248" s="32">
        <f t="shared" si="57"/>
        <v>0.86866731645372819</v>
      </c>
      <c r="T248" s="32">
        <f t="shared" si="58"/>
        <v>-1.9997936419475117</v>
      </c>
      <c r="U248" s="32">
        <f t="shared" si="59"/>
        <v>0.80563658408767735</v>
      </c>
      <c r="V248" s="37">
        <f t="shared" si="60"/>
        <v>0.11173613616580898</v>
      </c>
      <c r="W248"/>
      <c r="AK248" s="45" t="s">
        <v>78</v>
      </c>
      <c r="AL248" s="45">
        <v>7</v>
      </c>
      <c r="AM248" s="45">
        <v>29</v>
      </c>
      <c r="AN248" s="45">
        <v>4.1428571429999996</v>
      </c>
      <c r="AO248" s="45">
        <v>2.1428571430000001</v>
      </c>
      <c r="AP248" s="45"/>
      <c r="AQ248" s="45"/>
      <c r="AR248" s="45"/>
    </row>
    <row r="249" spans="1:44" x14ac:dyDescent="0.35">
      <c r="A249">
        <v>5</v>
      </c>
      <c r="B249">
        <v>1</v>
      </c>
      <c r="C249">
        <v>5</v>
      </c>
      <c r="D249">
        <v>2</v>
      </c>
      <c r="E249">
        <v>1</v>
      </c>
      <c r="F249">
        <v>2</v>
      </c>
      <c r="G249">
        <v>5</v>
      </c>
      <c r="H249" s="25">
        <f t="shared" si="46"/>
        <v>5</v>
      </c>
      <c r="I249" s="25">
        <f t="shared" si="47"/>
        <v>5</v>
      </c>
      <c r="J249" s="25">
        <f t="shared" si="48"/>
        <v>5</v>
      </c>
      <c r="K249" s="25">
        <f t="shared" si="49"/>
        <v>4</v>
      </c>
      <c r="L249" s="25">
        <f t="shared" si="50"/>
        <v>5</v>
      </c>
      <c r="M249" s="25">
        <f t="shared" si="51"/>
        <v>2</v>
      </c>
      <c r="N249" s="25">
        <f t="shared" si="52"/>
        <v>5</v>
      </c>
      <c r="O249" s="32">
        <f t="shared" si="53"/>
        <v>0.84420266961423651</v>
      </c>
      <c r="P249" s="32">
        <f t="shared" si="54"/>
        <v>1.0418053570413823</v>
      </c>
      <c r="Q249" s="32">
        <f t="shared" si="55"/>
        <v>0.80698132232978881</v>
      </c>
      <c r="R249" s="32">
        <f t="shared" si="56"/>
        <v>0.21586162773242673</v>
      </c>
      <c r="S249" s="32">
        <f t="shared" si="57"/>
        <v>0.86866731645372819</v>
      </c>
      <c r="T249" s="32">
        <f t="shared" si="58"/>
        <v>-1.9997936419475117</v>
      </c>
      <c r="U249" s="32">
        <f t="shared" si="59"/>
        <v>0.80563658408767735</v>
      </c>
      <c r="V249" s="37">
        <f t="shared" si="60"/>
        <v>0.36905160504453255</v>
      </c>
      <c r="W249"/>
      <c r="AK249" s="45" t="s">
        <v>78</v>
      </c>
      <c r="AL249" s="45">
        <v>7</v>
      </c>
      <c r="AM249" s="45">
        <v>31</v>
      </c>
      <c r="AN249" s="45">
        <v>4.4285714289999998</v>
      </c>
      <c r="AO249" s="45">
        <v>2.2857142860000002</v>
      </c>
      <c r="AP249" s="45"/>
      <c r="AQ249" s="45"/>
      <c r="AR249" s="45"/>
    </row>
    <row r="250" spans="1:44" x14ac:dyDescent="0.35">
      <c r="A250">
        <v>2</v>
      </c>
      <c r="B250">
        <v>3</v>
      </c>
      <c r="C250">
        <v>5</v>
      </c>
      <c r="D250">
        <v>2</v>
      </c>
      <c r="E250">
        <v>1</v>
      </c>
      <c r="F250">
        <v>2</v>
      </c>
      <c r="G250">
        <v>5</v>
      </c>
      <c r="H250" s="25">
        <f t="shared" si="46"/>
        <v>2</v>
      </c>
      <c r="I250" s="25">
        <f t="shared" si="47"/>
        <v>3</v>
      </c>
      <c r="J250" s="25">
        <f t="shared" si="48"/>
        <v>5</v>
      </c>
      <c r="K250" s="25">
        <f t="shared" si="49"/>
        <v>4</v>
      </c>
      <c r="L250" s="25">
        <f t="shared" si="50"/>
        <v>5</v>
      </c>
      <c r="M250" s="25">
        <f t="shared" si="51"/>
        <v>2</v>
      </c>
      <c r="N250" s="25">
        <f t="shared" si="52"/>
        <v>5</v>
      </c>
      <c r="O250" s="32">
        <f t="shared" si="53"/>
        <v>-1.8576097536123615</v>
      </c>
      <c r="P250" s="32">
        <f t="shared" si="54"/>
        <v>-0.51458870665983425</v>
      </c>
      <c r="Q250" s="32">
        <f t="shared" si="55"/>
        <v>0.80698132232978881</v>
      </c>
      <c r="R250" s="32">
        <f t="shared" si="56"/>
        <v>0.21586162773242673</v>
      </c>
      <c r="S250" s="32">
        <f t="shared" si="57"/>
        <v>0.86866731645372819</v>
      </c>
      <c r="T250" s="32">
        <f t="shared" si="58"/>
        <v>-1.9997936419475117</v>
      </c>
      <c r="U250" s="32">
        <f t="shared" si="59"/>
        <v>0.80563658408767735</v>
      </c>
      <c r="V250" s="37">
        <f t="shared" si="60"/>
        <v>-0.23926360737372657</v>
      </c>
      <c r="W250"/>
      <c r="AK250" s="45" t="s">
        <v>78</v>
      </c>
      <c r="AL250" s="45">
        <v>7</v>
      </c>
      <c r="AM250" s="45">
        <v>12</v>
      </c>
      <c r="AN250" s="45">
        <v>1.7142857140000001</v>
      </c>
      <c r="AO250" s="45">
        <v>2.2380952380000001</v>
      </c>
      <c r="AP250" s="45"/>
      <c r="AQ250" s="45"/>
      <c r="AR250" s="45"/>
    </row>
    <row r="251" spans="1:44" x14ac:dyDescent="0.35">
      <c r="A251">
        <v>5</v>
      </c>
      <c r="B251">
        <v>3</v>
      </c>
      <c r="C251">
        <v>5</v>
      </c>
      <c r="D251">
        <v>3</v>
      </c>
      <c r="E251">
        <v>2</v>
      </c>
      <c r="F251">
        <v>2</v>
      </c>
      <c r="G251">
        <v>5</v>
      </c>
      <c r="H251" s="25">
        <f t="shared" si="46"/>
        <v>5</v>
      </c>
      <c r="I251" s="25">
        <f t="shared" si="47"/>
        <v>3</v>
      </c>
      <c r="J251" s="25">
        <f t="shared" si="48"/>
        <v>5</v>
      </c>
      <c r="K251" s="25">
        <f t="shared" si="49"/>
        <v>3</v>
      </c>
      <c r="L251" s="25">
        <f t="shared" si="50"/>
        <v>4</v>
      </c>
      <c r="M251" s="25">
        <f t="shared" si="51"/>
        <v>2</v>
      </c>
      <c r="N251" s="25">
        <f t="shared" si="52"/>
        <v>5</v>
      </c>
      <c r="O251" s="32">
        <f t="shared" si="53"/>
        <v>0.84420266961423651</v>
      </c>
      <c r="P251" s="32">
        <f t="shared" si="54"/>
        <v>-0.51458870665983425</v>
      </c>
      <c r="Q251" s="32">
        <f t="shared" si="55"/>
        <v>0.80698132232978881</v>
      </c>
      <c r="R251" s="32">
        <f t="shared" si="56"/>
        <v>-0.61891576076406762</v>
      </c>
      <c r="S251" s="32">
        <f t="shared" si="57"/>
        <v>2.4129647679270144E-2</v>
      </c>
      <c r="T251" s="32">
        <f t="shared" si="58"/>
        <v>-1.9997936419475117</v>
      </c>
      <c r="U251" s="32">
        <f t="shared" si="59"/>
        <v>0.80563658408767735</v>
      </c>
      <c r="V251" s="37">
        <f t="shared" si="60"/>
        <v>-9.319255509434865E-2</v>
      </c>
      <c r="W251"/>
      <c r="AK251" s="45" t="s">
        <v>78</v>
      </c>
      <c r="AL251" s="45">
        <v>7</v>
      </c>
      <c r="AM251" s="45">
        <v>29</v>
      </c>
      <c r="AN251" s="45">
        <v>4.1428571429999996</v>
      </c>
      <c r="AO251" s="45">
        <v>1.476190476</v>
      </c>
      <c r="AP251" s="45"/>
      <c r="AQ251" s="45"/>
      <c r="AR251" s="45"/>
    </row>
    <row r="252" spans="1:44" x14ac:dyDescent="0.35">
      <c r="A252">
        <v>3</v>
      </c>
      <c r="B252">
        <v>3</v>
      </c>
      <c r="C252">
        <v>4</v>
      </c>
      <c r="D252">
        <v>4</v>
      </c>
      <c r="E252">
        <v>2</v>
      </c>
      <c r="F252">
        <v>2</v>
      </c>
      <c r="G252">
        <v>5</v>
      </c>
      <c r="H252" s="25">
        <f t="shared" si="46"/>
        <v>3</v>
      </c>
      <c r="I252" s="25">
        <f t="shared" si="47"/>
        <v>3</v>
      </c>
      <c r="J252" s="25">
        <f t="shared" si="48"/>
        <v>4</v>
      </c>
      <c r="K252" s="25">
        <f t="shared" si="49"/>
        <v>2</v>
      </c>
      <c r="L252" s="25">
        <f t="shared" si="50"/>
        <v>4</v>
      </c>
      <c r="M252" s="25">
        <f t="shared" si="51"/>
        <v>2</v>
      </c>
      <c r="N252" s="25">
        <f t="shared" si="52"/>
        <v>5</v>
      </c>
      <c r="O252" s="32">
        <f t="shared" si="53"/>
        <v>-0.95700561253682881</v>
      </c>
      <c r="P252" s="32">
        <f t="shared" si="54"/>
        <v>-0.51458870665983425</v>
      </c>
      <c r="Q252" s="32">
        <f t="shared" si="55"/>
        <v>-9.6984149849158471E-2</v>
      </c>
      <c r="R252" s="32">
        <f t="shared" si="56"/>
        <v>-1.453693149260562</v>
      </c>
      <c r="S252" s="32">
        <f t="shared" si="57"/>
        <v>2.4129647679270144E-2</v>
      </c>
      <c r="T252" s="32">
        <f t="shared" si="58"/>
        <v>-1.9997936419475117</v>
      </c>
      <c r="U252" s="32">
        <f t="shared" si="59"/>
        <v>0.80563658408767735</v>
      </c>
      <c r="V252" s="37">
        <f t="shared" si="60"/>
        <v>-0.598899861212421</v>
      </c>
      <c r="W252"/>
      <c r="AK252" s="45" t="s">
        <v>78</v>
      </c>
      <c r="AL252" s="45">
        <v>7</v>
      </c>
      <c r="AM252" s="45">
        <v>31</v>
      </c>
      <c r="AN252" s="45">
        <v>4.4285714289999998</v>
      </c>
      <c r="AO252" s="45">
        <v>1.2857142859999999</v>
      </c>
      <c r="AP252" s="45"/>
      <c r="AQ252" s="45"/>
      <c r="AR252" s="45"/>
    </row>
    <row r="253" spans="1:44" x14ac:dyDescent="0.35">
      <c r="A253">
        <v>4</v>
      </c>
      <c r="B253">
        <v>1</v>
      </c>
      <c r="C253">
        <v>5</v>
      </c>
      <c r="D253">
        <v>1</v>
      </c>
      <c r="E253">
        <v>1</v>
      </c>
      <c r="F253">
        <v>3</v>
      </c>
      <c r="G253">
        <v>5</v>
      </c>
      <c r="H253" s="25">
        <f t="shared" si="46"/>
        <v>4</v>
      </c>
      <c r="I253" s="25">
        <f t="shared" si="47"/>
        <v>5</v>
      </c>
      <c r="J253" s="25">
        <f t="shared" si="48"/>
        <v>5</v>
      </c>
      <c r="K253" s="25">
        <f t="shared" si="49"/>
        <v>5</v>
      </c>
      <c r="L253" s="25">
        <f t="shared" si="50"/>
        <v>5</v>
      </c>
      <c r="M253" s="25">
        <f t="shared" si="51"/>
        <v>3</v>
      </c>
      <c r="N253" s="25">
        <f t="shared" si="52"/>
        <v>5</v>
      </c>
      <c r="O253" s="32">
        <f t="shared" si="53"/>
        <v>-5.6401471461296142E-2</v>
      </c>
      <c r="P253" s="32">
        <f t="shared" si="54"/>
        <v>1.0418053570413823</v>
      </c>
      <c r="Q253" s="32">
        <f t="shared" si="55"/>
        <v>0.80698132232978881</v>
      </c>
      <c r="R253" s="32">
        <f t="shared" si="56"/>
        <v>1.0506390162289212</v>
      </c>
      <c r="S253" s="32">
        <f t="shared" si="57"/>
        <v>0.86866731645372819</v>
      </c>
      <c r="T253" s="32">
        <f t="shared" si="58"/>
        <v>-1.0625089558734409</v>
      </c>
      <c r="U253" s="32">
        <f t="shared" si="59"/>
        <v>0.80563658408767735</v>
      </c>
      <c r="V253" s="37">
        <f t="shared" si="60"/>
        <v>0.49354559554382299</v>
      </c>
      <c r="W253"/>
      <c r="AK253" s="45" t="s">
        <v>78</v>
      </c>
      <c r="AL253" s="45">
        <v>7</v>
      </c>
      <c r="AM253" s="45">
        <v>26</v>
      </c>
      <c r="AN253" s="45">
        <v>3.7142857139999998</v>
      </c>
      <c r="AO253" s="45">
        <v>1.904761905</v>
      </c>
      <c r="AP253" s="45"/>
      <c r="AQ253" s="45"/>
      <c r="AR253" s="45"/>
    </row>
    <row r="254" spans="1:44" x14ac:dyDescent="0.35">
      <c r="A254">
        <v>5</v>
      </c>
      <c r="B254">
        <v>1</v>
      </c>
      <c r="C254">
        <v>5</v>
      </c>
      <c r="D254">
        <v>1</v>
      </c>
      <c r="E254">
        <v>1</v>
      </c>
      <c r="F254">
        <v>3</v>
      </c>
      <c r="G254">
        <v>5</v>
      </c>
      <c r="H254" s="25">
        <f t="shared" si="46"/>
        <v>5</v>
      </c>
      <c r="I254" s="25">
        <f t="shared" si="47"/>
        <v>5</v>
      </c>
      <c r="J254" s="25">
        <f t="shared" si="48"/>
        <v>5</v>
      </c>
      <c r="K254" s="25">
        <f t="shared" si="49"/>
        <v>5</v>
      </c>
      <c r="L254" s="25">
        <f t="shared" si="50"/>
        <v>5</v>
      </c>
      <c r="M254" s="25">
        <f t="shared" si="51"/>
        <v>3</v>
      </c>
      <c r="N254" s="25">
        <f t="shared" si="52"/>
        <v>5</v>
      </c>
      <c r="O254" s="32">
        <f t="shared" si="53"/>
        <v>0.84420266961423651</v>
      </c>
      <c r="P254" s="32">
        <f t="shared" si="54"/>
        <v>1.0418053570413823</v>
      </c>
      <c r="Q254" s="32">
        <f t="shared" si="55"/>
        <v>0.80698132232978881</v>
      </c>
      <c r="R254" s="32">
        <f t="shared" si="56"/>
        <v>1.0506390162289212</v>
      </c>
      <c r="S254" s="32">
        <f t="shared" si="57"/>
        <v>0.86866731645372819</v>
      </c>
      <c r="T254" s="32">
        <f t="shared" si="58"/>
        <v>-1.0625089558734409</v>
      </c>
      <c r="U254" s="32">
        <f t="shared" si="59"/>
        <v>0.80563658408767735</v>
      </c>
      <c r="V254" s="37">
        <f t="shared" si="60"/>
        <v>0.62220332998318473</v>
      </c>
      <c r="W254"/>
      <c r="AK254" s="45" t="s">
        <v>78</v>
      </c>
      <c r="AL254" s="45">
        <v>7</v>
      </c>
      <c r="AM254" s="45">
        <v>27</v>
      </c>
      <c r="AN254" s="45">
        <v>3.8571428569999999</v>
      </c>
      <c r="AO254" s="45">
        <v>1.476190476</v>
      </c>
      <c r="AP254" s="45"/>
      <c r="AQ254" s="45"/>
      <c r="AR254" s="45"/>
    </row>
    <row r="255" spans="1:44" x14ac:dyDescent="0.35">
      <c r="A255">
        <v>5</v>
      </c>
      <c r="B255">
        <v>4</v>
      </c>
      <c r="C255">
        <v>5</v>
      </c>
      <c r="D255">
        <v>1</v>
      </c>
      <c r="E255">
        <v>1</v>
      </c>
      <c r="F255">
        <v>3</v>
      </c>
      <c r="G255">
        <v>5</v>
      </c>
      <c r="H255" s="25">
        <f t="shared" si="46"/>
        <v>5</v>
      </c>
      <c r="I255" s="25">
        <f t="shared" si="47"/>
        <v>2</v>
      </c>
      <c r="J255" s="25">
        <f t="shared" si="48"/>
        <v>5</v>
      </c>
      <c r="K255" s="25">
        <f t="shared" si="49"/>
        <v>5</v>
      </c>
      <c r="L255" s="25">
        <f t="shared" si="50"/>
        <v>5</v>
      </c>
      <c r="M255" s="25">
        <f t="shared" si="51"/>
        <v>3</v>
      </c>
      <c r="N255" s="25">
        <f t="shared" si="52"/>
        <v>5</v>
      </c>
      <c r="O255" s="32">
        <f t="shared" si="53"/>
        <v>0.84420266961423651</v>
      </c>
      <c r="P255" s="32">
        <f t="shared" si="54"/>
        <v>-1.2927857385104427</v>
      </c>
      <c r="Q255" s="32">
        <f t="shared" si="55"/>
        <v>0.80698132232978881</v>
      </c>
      <c r="R255" s="32">
        <f t="shared" si="56"/>
        <v>1.0506390162289212</v>
      </c>
      <c r="S255" s="32">
        <f t="shared" si="57"/>
        <v>0.86866731645372819</v>
      </c>
      <c r="T255" s="32">
        <f t="shared" si="58"/>
        <v>-1.0625089558734409</v>
      </c>
      <c r="U255" s="32">
        <f t="shared" si="59"/>
        <v>0.80563658408767735</v>
      </c>
      <c r="V255" s="37">
        <f t="shared" si="60"/>
        <v>0.28869031633292408</v>
      </c>
      <c r="W255"/>
      <c r="AK255" s="45" t="s">
        <v>78</v>
      </c>
      <c r="AL255" s="45">
        <v>7</v>
      </c>
      <c r="AM255" s="45">
        <v>23</v>
      </c>
      <c r="AN255" s="45">
        <v>3.2857142860000002</v>
      </c>
      <c r="AO255" s="45">
        <v>1.2380952380000001</v>
      </c>
      <c r="AP255" s="45"/>
      <c r="AQ255" s="45"/>
      <c r="AR255" s="45"/>
    </row>
    <row r="256" spans="1:44" x14ac:dyDescent="0.35">
      <c r="A256">
        <v>4</v>
      </c>
      <c r="B256">
        <v>1</v>
      </c>
      <c r="C256">
        <v>4</v>
      </c>
      <c r="D256">
        <v>2</v>
      </c>
      <c r="E256">
        <v>1</v>
      </c>
      <c r="F256">
        <v>3</v>
      </c>
      <c r="G256">
        <v>5</v>
      </c>
      <c r="H256" s="25">
        <f t="shared" si="46"/>
        <v>4</v>
      </c>
      <c r="I256" s="25">
        <f t="shared" si="47"/>
        <v>5</v>
      </c>
      <c r="J256" s="25">
        <f t="shared" si="48"/>
        <v>4</v>
      </c>
      <c r="K256" s="25">
        <f t="shared" si="49"/>
        <v>4</v>
      </c>
      <c r="L256" s="25">
        <f t="shared" si="50"/>
        <v>5</v>
      </c>
      <c r="M256" s="25">
        <f t="shared" si="51"/>
        <v>3</v>
      </c>
      <c r="N256" s="25">
        <f t="shared" si="52"/>
        <v>5</v>
      </c>
      <c r="O256" s="32">
        <f t="shared" si="53"/>
        <v>-5.6401471461296142E-2</v>
      </c>
      <c r="P256" s="32">
        <f t="shared" si="54"/>
        <v>1.0418053570413823</v>
      </c>
      <c r="Q256" s="32">
        <f t="shared" si="55"/>
        <v>-9.6984149849158471E-2</v>
      </c>
      <c r="R256" s="32">
        <f t="shared" si="56"/>
        <v>0.21586162773242673</v>
      </c>
      <c r="S256" s="32">
        <f t="shared" si="57"/>
        <v>0.86866731645372819</v>
      </c>
      <c r="T256" s="32">
        <f t="shared" si="58"/>
        <v>-1.0625089558734409</v>
      </c>
      <c r="U256" s="32">
        <f t="shared" si="59"/>
        <v>0.80563658408767735</v>
      </c>
      <c r="V256" s="37">
        <f t="shared" si="60"/>
        <v>0.24515375830447414</v>
      </c>
      <c r="W256"/>
      <c r="AK256" s="45" t="s">
        <v>78</v>
      </c>
      <c r="AL256" s="45">
        <v>7</v>
      </c>
      <c r="AM256" s="45">
        <v>32</v>
      </c>
      <c r="AN256" s="45">
        <v>4.5714285710000002</v>
      </c>
      <c r="AO256" s="45">
        <v>0.61904761900000005</v>
      </c>
      <c r="AP256" s="45"/>
      <c r="AQ256" s="45"/>
      <c r="AR256" s="45"/>
    </row>
    <row r="257" spans="1:44" x14ac:dyDescent="0.35">
      <c r="A257">
        <v>4</v>
      </c>
      <c r="B257">
        <v>3</v>
      </c>
      <c r="C257">
        <v>5</v>
      </c>
      <c r="D257">
        <v>2</v>
      </c>
      <c r="E257">
        <v>1</v>
      </c>
      <c r="F257">
        <v>3</v>
      </c>
      <c r="G257">
        <v>5</v>
      </c>
      <c r="H257" s="25">
        <f t="shared" si="46"/>
        <v>4</v>
      </c>
      <c r="I257" s="25">
        <f t="shared" si="47"/>
        <v>3</v>
      </c>
      <c r="J257" s="25">
        <f t="shared" si="48"/>
        <v>5</v>
      </c>
      <c r="K257" s="25">
        <f t="shared" si="49"/>
        <v>4</v>
      </c>
      <c r="L257" s="25">
        <f t="shared" si="50"/>
        <v>5</v>
      </c>
      <c r="M257" s="25">
        <f t="shared" si="51"/>
        <v>3</v>
      </c>
      <c r="N257" s="25">
        <f t="shared" si="52"/>
        <v>5</v>
      </c>
      <c r="O257" s="32">
        <f t="shared" si="53"/>
        <v>-5.6401471461296142E-2</v>
      </c>
      <c r="P257" s="32">
        <f t="shared" si="54"/>
        <v>-0.51458870665983425</v>
      </c>
      <c r="Q257" s="32">
        <f t="shared" si="55"/>
        <v>0.80698132232978881</v>
      </c>
      <c r="R257" s="32">
        <f t="shared" si="56"/>
        <v>0.21586162773242673</v>
      </c>
      <c r="S257" s="32">
        <f t="shared" si="57"/>
        <v>0.86866731645372819</v>
      </c>
      <c r="T257" s="32">
        <f t="shared" si="58"/>
        <v>-1.0625089558734409</v>
      </c>
      <c r="U257" s="32">
        <f t="shared" si="59"/>
        <v>0.80563658408767735</v>
      </c>
      <c r="V257" s="37">
        <f t="shared" si="60"/>
        <v>0.15194967380129284</v>
      </c>
      <c r="W257"/>
      <c r="AK257" s="45" t="s">
        <v>78</v>
      </c>
      <c r="AL257" s="45">
        <v>7</v>
      </c>
      <c r="AM257" s="45">
        <v>33</v>
      </c>
      <c r="AN257" s="45">
        <v>4.7142857139999998</v>
      </c>
      <c r="AO257" s="45">
        <v>0.571428571</v>
      </c>
      <c r="AP257" s="45"/>
      <c r="AQ257" s="45"/>
      <c r="AR257" s="45"/>
    </row>
    <row r="258" spans="1:44" x14ac:dyDescent="0.35">
      <c r="A258">
        <v>5</v>
      </c>
      <c r="B258">
        <v>3</v>
      </c>
      <c r="C258">
        <v>5</v>
      </c>
      <c r="D258">
        <v>2</v>
      </c>
      <c r="E258">
        <v>1</v>
      </c>
      <c r="F258">
        <v>3</v>
      </c>
      <c r="G258">
        <v>5</v>
      </c>
      <c r="H258" s="25">
        <f t="shared" ref="H258:H321" si="61">IF(ISBLANK(A258),"",A258)</f>
        <v>5</v>
      </c>
      <c r="I258" s="25">
        <f t="shared" ref="I258:I321" si="62">IF(ISBLANK(B258),"",6-B258)</f>
        <v>3</v>
      </c>
      <c r="J258" s="25">
        <f t="shared" ref="J258:J321" si="63">IF(ISBLANK(C258),"",C258)</f>
        <v>5</v>
      </c>
      <c r="K258" s="25">
        <f t="shared" ref="K258:K321" si="64">IF(ISBLANK(D258),"",6-D258)</f>
        <v>4</v>
      </c>
      <c r="L258" s="25">
        <f t="shared" ref="L258:L321" si="65">IF(ISBLANK(E258),"",6-E258)</f>
        <v>5</v>
      </c>
      <c r="M258" s="25">
        <f t="shared" ref="M258:M321" si="66">IF(ISBLANK(F258),"",F258)</f>
        <v>3</v>
      </c>
      <c r="N258" s="25">
        <f t="shared" ref="N258:N321" si="67">IF(ISBLANK(G258),"",G258)</f>
        <v>5</v>
      </c>
      <c r="O258" s="32">
        <f t="shared" ref="O258:O321" si="68">IF(ISTEXT(H258),"",STANDARDIZE(H258,H$500,H$501))</f>
        <v>0.84420266961423651</v>
      </c>
      <c r="P258" s="32">
        <f t="shared" ref="P258:P321" si="69">IF(ISTEXT(I258),"",STANDARDIZE(I258,I$500,I$501))</f>
        <v>-0.51458870665983425</v>
      </c>
      <c r="Q258" s="32">
        <f t="shared" ref="Q258:Q321" si="70">IF(ISTEXT(J258),"",STANDARDIZE(J258,J$500,J$501))</f>
        <v>0.80698132232978881</v>
      </c>
      <c r="R258" s="32">
        <f t="shared" ref="R258:R321" si="71">IF(ISTEXT(K258),"",STANDARDIZE(K258,K$500,K$501))</f>
        <v>0.21586162773242673</v>
      </c>
      <c r="S258" s="32">
        <f t="shared" ref="S258:S321" si="72">IF(ISTEXT(L258),"",STANDARDIZE(L258,L$500,L$501))</f>
        <v>0.86866731645372819</v>
      </c>
      <c r="T258" s="32">
        <f t="shared" ref="T258:T321" si="73">IF(ISTEXT(M258),"",STANDARDIZE(M258,M$500,M$501))</f>
        <v>-1.0625089558734409</v>
      </c>
      <c r="U258" s="32">
        <f t="shared" ref="U258:U321" si="74">IF(ISTEXT(N258),"",STANDARDIZE(N258,N$500,N$501))</f>
        <v>0.80563658408767735</v>
      </c>
      <c r="V258" s="37">
        <f t="shared" ref="V258:V321" si="75">AVERAGE(O258:U258)</f>
        <v>0.28060740824065472</v>
      </c>
      <c r="W258"/>
      <c r="AK258" s="45" t="s">
        <v>78</v>
      </c>
      <c r="AL258" s="45">
        <v>7</v>
      </c>
      <c r="AM258" s="45">
        <v>30</v>
      </c>
      <c r="AN258" s="45">
        <v>4.2857142860000002</v>
      </c>
      <c r="AO258" s="45">
        <v>1.571428571</v>
      </c>
      <c r="AP258" s="45"/>
      <c r="AQ258" s="45"/>
      <c r="AR258" s="45"/>
    </row>
    <row r="259" spans="1:44" x14ac:dyDescent="0.35">
      <c r="A259">
        <v>5</v>
      </c>
      <c r="B259">
        <v>3</v>
      </c>
      <c r="C259">
        <v>3</v>
      </c>
      <c r="D259">
        <v>3</v>
      </c>
      <c r="E259">
        <v>1</v>
      </c>
      <c r="F259">
        <v>3</v>
      </c>
      <c r="G259">
        <v>5</v>
      </c>
      <c r="H259" s="25">
        <f t="shared" si="61"/>
        <v>5</v>
      </c>
      <c r="I259" s="25">
        <f t="shared" si="62"/>
        <v>3</v>
      </c>
      <c r="J259" s="25">
        <f t="shared" si="63"/>
        <v>3</v>
      </c>
      <c r="K259" s="25">
        <f t="shared" si="64"/>
        <v>3</v>
      </c>
      <c r="L259" s="25">
        <f t="shared" si="65"/>
        <v>5</v>
      </c>
      <c r="M259" s="25">
        <f t="shared" si="66"/>
        <v>3</v>
      </c>
      <c r="N259" s="25">
        <f t="shared" si="67"/>
        <v>5</v>
      </c>
      <c r="O259" s="32">
        <f t="shared" si="68"/>
        <v>0.84420266961423651</v>
      </c>
      <c r="P259" s="32">
        <f t="shared" si="69"/>
        <v>-0.51458870665983425</v>
      </c>
      <c r="Q259" s="32">
        <f t="shared" si="70"/>
        <v>-1.0009496220281058</v>
      </c>
      <c r="R259" s="32">
        <f t="shared" si="71"/>
        <v>-0.61891576076406762</v>
      </c>
      <c r="S259" s="32">
        <f t="shared" si="72"/>
        <v>0.86866731645372819</v>
      </c>
      <c r="T259" s="32">
        <f t="shared" si="73"/>
        <v>-1.0625089558734409</v>
      </c>
      <c r="U259" s="32">
        <f t="shared" si="74"/>
        <v>0.80563658408767735</v>
      </c>
      <c r="V259" s="37">
        <f t="shared" si="75"/>
        <v>-9.6922353595686656E-2</v>
      </c>
      <c r="W259"/>
      <c r="AK259" s="45" t="s">
        <v>78</v>
      </c>
      <c r="AL259" s="45">
        <v>7</v>
      </c>
      <c r="AM259" s="45">
        <v>30</v>
      </c>
      <c r="AN259" s="45">
        <v>4.2857142860000002</v>
      </c>
      <c r="AO259" s="45">
        <v>0.571428571</v>
      </c>
      <c r="AP259" s="45"/>
      <c r="AQ259" s="45"/>
      <c r="AR259" s="45"/>
    </row>
    <row r="260" spans="1:44" x14ac:dyDescent="0.35">
      <c r="A260">
        <v>4</v>
      </c>
      <c r="B260">
        <v>2</v>
      </c>
      <c r="C260">
        <v>4</v>
      </c>
      <c r="D260">
        <v>2</v>
      </c>
      <c r="E260">
        <v>2</v>
      </c>
      <c r="F260">
        <v>3</v>
      </c>
      <c r="G260">
        <v>5</v>
      </c>
      <c r="H260" s="25">
        <f t="shared" si="61"/>
        <v>4</v>
      </c>
      <c r="I260" s="25">
        <f t="shared" si="62"/>
        <v>4</v>
      </c>
      <c r="J260" s="25">
        <f t="shared" si="63"/>
        <v>4</v>
      </c>
      <c r="K260" s="25">
        <f t="shared" si="64"/>
        <v>4</v>
      </c>
      <c r="L260" s="25">
        <f t="shared" si="65"/>
        <v>4</v>
      </c>
      <c r="M260" s="25">
        <f t="shared" si="66"/>
        <v>3</v>
      </c>
      <c r="N260" s="25">
        <f t="shared" si="67"/>
        <v>5</v>
      </c>
      <c r="O260" s="32">
        <f t="shared" si="68"/>
        <v>-5.6401471461296142E-2</v>
      </c>
      <c r="P260" s="32">
        <f t="shared" si="69"/>
        <v>0.26360832519077404</v>
      </c>
      <c r="Q260" s="32">
        <f t="shared" si="70"/>
        <v>-9.6984149849158471E-2</v>
      </c>
      <c r="R260" s="32">
        <f t="shared" si="71"/>
        <v>0.21586162773242673</v>
      </c>
      <c r="S260" s="32">
        <f t="shared" si="72"/>
        <v>2.4129647679270144E-2</v>
      </c>
      <c r="T260" s="32">
        <f t="shared" si="73"/>
        <v>-1.0625089558734409</v>
      </c>
      <c r="U260" s="32">
        <f t="shared" si="74"/>
        <v>0.80563658408767735</v>
      </c>
      <c r="V260" s="37">
        <f t="shared" si="75"/>
        <v>1.3334515358036108E-2</v>
      </c>
      <c r="W260"/>
      <c r="AK260" s="45" t="s">
        <v>78</v>
      </c>
      <c r="AL260" s="45">
        <v>7</v>
      </c>
      <c r="AM260" s="45">
        <v>29</v>
      </c>
      <c r="AN260" s="45">
        <v>4.1428571429999996</v>
      </c>
      <c r="AO260" s="45">
        <v>0.80952380999999995</v>
      </c>
      <c r="AP260" s="45"/>
      <c r="AQ260" s="45"/>
      <c r="AR260" s="45"/>
    </row>
    <row r="261" spans="1:44" x14ac:dyDescent="0.35">
      <c r="A261">
        <v>4</v>
      </c>
      <c r="B261">
        <v>2</v>
      </c>
      <c r="C261">
        <v>3</v>
      </c>
      <c r="D261">
        <v>4</v>
      </c>
      <c r="E261">
        <v>2</v>
      </c>
      <c r="F261">
        <v>3</v>
      </c>
      <c r="G261">
        <v>5</v>
      </c>
      <c r="H261" s="25">
        <f t="shared" si="61"/>
        <v>4</v>
      </c>
      <c r="I261" s="25">
        <f t="shared" si="62"/>
        <v>4</v>
      </c>
      <c r="J261" s="25">
        <f t="shared" si="63"/>
        <v>3</v>
      </c>
      <c r="K261" s="25">
        <f t="shared" si="64"/>
        <v>2</v>
      </c>
      <c r="L261" s="25">
        <f t="shared" si="65"/>
        <v>4</v>
      </c>
      <c r="M261" s="25">
        <f t="shared" si="66"/>
        <v>3</v>
      </c>
      <c r="N261" s="25">
        <f t="shared" si="67"/>
        <v>5</v>
      </c>
      <c r="O261" s="32">
        <f t="shared" si="68"/>
        <v>-5.6401471461296142E-2</v>
      </c>
      <c r="P261" s="32">
        <f t="shared" si="69"/>
        <v>0.26360832519077404</v>
      </c>
      <c r="Q261" s="32">
        <f t="shared" si="70"/>
        <v>-1.0009496220281058</v>
      </c>
      <c r="R261" s="32">
        <f t="shared" si="71"/>
        <v>-1.453693149260562</v>
      </c>
      <c r="S261" s="32">
        <f t="shared" si="72"/>
        <v>2.4129647679270144E-2</v>
      </c>
      <c r="T261" s="32">
        <f t="shared" si="73"/>
        <v>-1.0625089558734409</v>
      </c>
      <c r="U261" s="32">
        <f t="shared" si="74"/>
        <v>0.80563658408767735</v>
      </c>
      <c r="V261" s="37">
        <f t="shared" si="75"/>
        <v>-0.35431123452366897</v>
      </c>
      <c r="W261"/>
      <c r="AK261" s="45" t="s">
        <v>78</v>
      </c>
      <c r="AL261" s="45">
        <v>7</v>
      </c>
      <c r="AM261" s="45">
        <v>30</v>
      </c>
      <c r="AN261" s="45">
        <v>4.2857142860000002</v>
      </c>
      <c r="AO261" s="45">
        <v>0.90476190499999998</v>
      </c>
      <c r="AP261" s="45"/>
      <c r="AQ261" s="45"/>
      <c r="AR261" s="45"/>
    </row>
    <row r="262" spans="1:44" x14ac:dyDescent="0.35">
      <c r="A262">
        <v>3</v>
      </c>
      <c r="B262">
        <v>3</v>
      </c>
      <c r="C262">
        <v>3</v>
      </c>
      <c r="D262">
        <v>2</v>
      </c>
      <c r="E262">
        <v>3</v>
      </c>
      <c r="F262">
        <v>3</v>
      </c>
      <c r="G262">
        <v>5</v>
      </c>
      <c r="H262" s="25">
        <f t="shared" si="61"/>
        <v>3</v>
      </c>
      <c r="I262" s="25">
        <f t="shared" si="62"/>
        <v>3</v>
      </c>
      <c r="J262" s="25">
        <f t="shared" si="63"/>
        <v>3</v>
      </c>
      <c r="K262" s="25">
        <f t="shared" si="64"/>
        <v>4</v>
      </c>
      <c r="L262" s="25">
        <f t="shared" si="65"/>
        <v>3</v>
      </c>
      <c r="M262" s="25">
        <f t="shared" si="66"/>
        <v>3</v>
      </c>
      <c r="N262" s="25">
        <f t="shared" si="67"/>
        <v>5</v>
      </c>
      <c r="O262" s="32">
        <f t="shared" si="68"/>
        <v>-0.95700561253682881</v>
      </c>
      <c r="P262" s="32">
        <f t="shared" si="69"/>
        <v>-0.51458870665983425</v>
      </c>
      <c r="Q262" s="32">
        <f t="shared" si="70"/>
        <v>-1.0009496220281058</v>
      </c>
      <c r="R262" s="32">
        <f t="shared" si="71"/>
        <v>0.21586162773242673</v>
      </c>
      <c r="S262" s="32">
        <f t="shared" si="72"/>
        <v>-0.82040802109518784</v>
      </c>
      <c r="T262" s="32">
        <f t="shared" si="73"/>
        <v>-1.0625089558734409</v>
      </c>
      <c r="U262" s="32">
        <f t="shared" si="74"/>
        <v>0.80563658408767735</v>
      </c>
      <c r="V262" s="37">
        <f t="shared" si="75"/>
        <v>-0.47628038662475614</v>
      </c>
      <c r="W262"/>
      <c r="AK262" s="45" t="s">
        <v>78</v>
      </c>
      <c r="AL262" s="45">
        <v>7</v>
      </c>
      <c r="AM262" s="45">
        <v>27</v>
      </c>
      <c r="AN262" s="45">
        <v>3.8571428569999999</v>
      </c>
      <c r="AO262" s="45">
        <v>1.1428571430000001</v>
      </c>
      <c r="AP262" s="45"/>
      <c r="AQ262" s="45"/>
      <c r="AR262" s="45"/>
    </row>
    <row r="263" spans="1:44" x14ac:dyDescent="0.35">
      <c r="A263">
        <v>5</v>
      </c>
      <c r="B263">
        <v>4</v>
      </c>
      <c r="C263">
        <v>4</v>
      </c>
      <c r="D263">
        <v>4</v>
      </c>
      <c r="E263">
        <v>3</v>
      </c>
      <c r="F263">
        <v>3</v>
      </c>
      <c r="G263">
        <v>5</v>
      </c>
      <c r="H263" s="25">
        <f t="shared" si="61"/>
        <v>5</v>
      </c>
      <c r="I263" s="25">
        <f t="shared" si="62"/>
        <v>2</v>
      </c>
      <c r="J263" s="25">
        <f t="shared" si="63"/>
        <v>4</v>
      </c>
      <c r="K263" s="25">
        <f t="shared" si="64"/>
        <v>2</v>
      </c>
      <c r="L263" s="25">
        <f t="shared" si="65"/>
        <v>3</v>
      </c>
      <c r="M263" s="25">
        <f t="shared" si="66"/>
        <v>3</v>
      </c>
      <c r="N263" s="25">
        <f t="shared" si="67"/>
        <v>5</v>
      </c>
      <c r="O263" s="32">
        <f t="shared" si="68"/>
        <v>0.84420266961423651</v>
      </c>
      <c r="P263" s="32">
        <f t="shared" si="69"/>
        <v>-1.2927857385104427</v>
      </c>
      <c r="Q263" s="32">
        <f t="shared" si="70"/>
        <v>-9.6984149849158471E-2</v>
      </c>
      <c r="R263" s="32">
        <f t="shared" si="71"/>
        <v>-1.453693149260562</v>
      </c>
      <c r="S263" s="32">
        <f t="shared" si="72"/>
        <v>-0.82040802109518784</v>
      </c>
      <c r="T263" s="32">
        <f t="shared" si="73"/>
        <v>-1.0625089558734409</v>
      </c>
      <c r="U263" s="32">
        <f t="shared" si="74"/>
        <v>0.80563658408767735</v>
      </c>
      <c r="V263" s="37">
        <f t="shared" si="75"/>
        <v>-0.43950582298383967</v>
      </c>
      <c r="W263"/>
      <c r="AK263" s="45" t="s">
        <v>78</v>
      </c>
      <c r="AL263" s="45">
        <v>7</v>
      </c>
      <c r="AM263" s="45">
        <v>28</v>
      </c>
      <c r="AN263" s="45">
        <v>4</v>
      </c>
      <c r="AO263" s="45">
        <v>0.33333333300000001</v>
      </c>
      <c r="AP263" s="45"/>
      <c r="AQ263" s="45"/>
      <c r="AR263" s="45"/>
    </row>
    <row r="264" spans="1:44" x14ac:dyDescent="0.35">
      <c r="A264">
        <v>5</v>
      </c>
      <c r="B264">
        <v>4</v>
      </c>
      <c r="C264">
        <v>4</v>
      </c>
      <c r="D264">
        <v>2</v>
      </c>
      <c r="E264">
        <v>4</v>
      </c>
      <c r="F264">
        <v>3</v>
      </c>
      <c r="G264">
        <v>5</v>
      </c>
      <c r="H264" s="25">
        <f t="shared" si="61"/>
        <v>5</v>
      </c>
      <c r="I264" s="25">
        <f t="shared" si="62"/>
        <v>2</v>
      </c>
      <c r="J264" s="25">
        <f t="shared" si="63"/>
        <v>4</v>
      </c>
      <c r="K264" s="25">
        <f t="shared" si="64"/>
        <v>4</v>
      </c>
      <c r="L264" s="25">
        <f t="shared" si="65"/>
        <v>2</v>
      </c>
      <c r="M264" s="25">
        <f t="shared" si="66"/>
        <v>3</v>
      </c>
      <c r="N264" s="25">
        <f t="shared" si="67"/>
        <v>5</v>
      </c>
      <c r="O264" s="32">
        <f t="shared" si="68"/>
        <v>0.84420266961423651</v>
      </c>
      <c r="P264" s="32">
        <f t="shared" si="69"/>
        <v>-1.2927857385104427</v>
      </c>
      <c r="Q264" s="32">
        <f t="shared" si="70"/>
        <v>-9.6984149849158471E-2</v>
      </c>
      <c r="R264" s="32">
        <f t="shared" si="71"/>
        <v>0.21586162773242673</v>
      </c>
      <c r="S264" s="32">
        <f t="shared" si="72"/>
        <v>-1.664945689869646</v>
      </c>
      <c r="T264" s="32">
        <f t="shared" si="73"/>
        <v>-1.0625089558734409</v>
      </c>
      <c r="U264" s="32">
        <f t="shared" si="74"/>
        <v>0.80563658408767735</v>
      </c>
      <c r="V264" s="37">
        <f t="shared" si="75"/>
        <v>-0.32164623609547821</v>
      </c>
      <c r="W264"/>
      <c r="AK264" s="45" t="s">
        <v>78</v>
      </c>
      <c r="AL264" s="45">
        <v>7</v>
      </c>
      <c r="AM264" s="45">
        <v>25</v>
      </c>
      <c r="AN264" s="45">
        <v>3.5714285710000002</v>
      </c>
      <c r="AO264" s="45">
        <v>0.95238095199999995</v>
      </c>
      <c r="AP264" s="45"/>
      <c r="AQ264" s="45"/>
      <c r="AR264" s="45"/>
    </row>
    <row r="265" spans="1:44" x14ac:dyDescent="0.35">
      <c r="A265">
        <v>5</v>
      </c>
      <c r="B265">
        <v>1</v>
      </c>
      <c r="C265">
        <v>4</v>
      </c>
      <c r="D265">
        <v>1</v>
      </c>
      <c r="E265">
        <v>1</v>
      </c>
      <c r="F265">
        <v>4</v>
      </c>
      <c r="G265">
        <v>5</v>
      </c>
      <c r="H265" s="25">
        <f t="shared" si="61"/>
        <v>5</v>
      </c>
      <c r="I265" s="25">
        <f t="shared" si="62"/>
        <v>5</v>
      </c>
      <c r="J265" s="25">
        <f t="shared" si="63"/>
        <v>4</v>
      </c>
      <c r="K265" s="25">
        <f t="shared" si="64"/>
        <v>5</v>
      </c>
      <c r="L265" s="25">
        <f t="shared" si="65"/>
        <v>5</v>
      </c>
      <c r="M265" s="25">
        <f t="shared" si="66"/>
        <v>4</v>
      </c>
      <c r="N265" s="25">
        <f t="shared" si="67"/>
        <v>5</v>
      </c>
      <c r="O265" s="32">
        <f t="shared" si="68"/>
        <v>0.84420266961423651</v>
      </c>
      <c r="P265" s="32">
        <f t="shared" si="69"/>
        <v>1.0418053570413823</v>
      </c>
      <c r="Q265" s="32">
        <f t="shared" si="70"/>
        <v>-9.6984149849158471E-2</v>
      </c>
      <c r="R265" s="32">
        <f t="shared" si="71"/>
        <v>1.0506390162289212</v>
      </c>
      <c r="S265" s="32">
        <f t="shared" si="72"/>
        <v>0.86866731645372819</v>
      </c>
      <c r="T265" s="32">
        <f t="shared" si="73"/>
        <v>-0.12522426979936985</v>
      </c>
      <c r="U265" s="32">
        <f t="shared" si="74"/>
        <v>0.80563658408767735</v>
      </c>
      <c r="V265" s="37">
        <f t="shared" si="75"/>
        <v>0.62696321768248819</v>
      </c>
      <c r="W265"/>
      <c r="AK265" s="45" t="s">
        <v>78</v>
      </c>
      <c r="AL265" s="45">
        <v>7</v>
      </c>
      <c r="AM265" s="45">
        <v>24</v>
      </c>
      <c r="AN265" s="45">
        <v>3.4285714289999998</v>
      </c>
      <c r="AO265" s="45">
        <v>0.61904761900000005</v>
      </c>
      <c r="AP265" s="45"/>
      <c r="AQ265" s="45"/>
      <c r="AR265" s="45"/>
    </row>
    <row r="266" spans="1:44" x14ac:dyDescent="0.35">
      <c r="A266">
        <v>5</v>
      </c>
      <c r="B266">
        <v>4</v>
      </c>
      <c r="C266">
        <v>4</v>
      </c>
      <c r="D266">
        <v>1</v>
      </c>
      <c r="E266">
        <v>1</v>
      </c>
      <c r="F266">
        <v>4</v>
      </c>
      <c r="G266">
        <v>5</v>
      </c>
      <c r="H266" s="25">
        <f t="shared" si="61"/>
        <v>5</v>
      </c>
      <c r="I266" s="25">
        <f t="shared" si="62"/>
        <v>2</v>
      </c>
      <c r="J266" s="25">
        <f t="shared" si="63"/>
        <v>4</v>
      </c>
      <c r="K266" s="25">
        <f t="shared" si="64"/>
        <v>5</v>
      </c>
      <c r="L266" s="25">
        <f t="shared" si="65"/>
        <v>5</v>
      </c>
      <c r="M266" s="25">
        <f t="shared" si="66"/>
        <v>4</v>
      </c>
      <c r="N266" s="25">
        <f t="shared" si="67"/>
        <v>5</v>
      </c>
      <c r="O266" s="32">
        <f t="shared" si="68"/>
        <v>0.84420266961423651</v>
      </c>
      <c r="P266" s="32">
        <f t="shared" si="69"/>
        <v>-1.2927857385104427</v>
      </c>
      <c r="Q266" s="32">
        <f t="shared" si="70"/>
        <v>-9.6984149849158471E-2</v>
      </c>
      <c r="R266" s="32">
        <f t="shared" si="71"/>
        <v>1.0506390162289212</v>
      </c>
      <c r="S266" s="32">
        <f t="shared" si="72"/>
        <v>0.86866731645372819</v>
      </c>
      <c r="T266" s="32">
        <f t="shared" si="73"/>
        <v>-0.12522426979936985</v>
      </c>
      <c r="U266" s="32">
        <f t="shared" si="74"/>
        <v>0.80563658408767735</v>
      </c>
      <c r="V266" s="37">
        <f t="shared" si="75"/>
        <v>0.29345020403222744</v>
      </c>
      <c r="W266"/>
      <c r="AK266" s="45" t="s">
        <v>78</v>
      </c>
      <c r="AL266" s="45">
        <v>7</v>
      </c>
      <c r="AM266" s="45">
        <v>24</v>
      </c>
      <c r="AN266" s="45">
        <v>3.4285714289999998</v>
      </c>
      <c r="AO266" s="45">
        <v>1.619047619</v>
      </c>
      <c r="AP266" s="45"/>
      <c r="AQ266" s="45"/>
      <c r="AR266" s="45"/>
    </row>
    <row r="267" spans="1:44" x14ac:dyDescent="0.35">
      <c r="A267">
        <v>5</v>
      </c>
      <c r="B267">
        <v>1</v>
      </c>
      <c r="C267">
        <v>5</v>
      </c>
      <c r="D267">
        <v>1</v>
      </c>
      <c r="E267">
        <v>1</v>
      </c>
      <c r="F267">
        <v>4</v>
      </c>
      <c r="G267">
        <v>5</v>
      </c>
      <c r="H267" s="25">
        <f t="shared" si="61"/>
        <v>5</v>
      </c>
      <c r="I267" s="25">
        <f t="shared" si="62"/>
        <v>5</v>
      </c>
      <c r="J267" s="25">
        <f t="shared" si="63"/>
        <v>5</v>
      </c>
      <c r="K267" s="25">
        <f t="shared" si="64"/>
        <v>5</v>
      </c>
      <c r="L267" s="25">
        <f t="shared" si="65"/>
        <v>5</v>
      </c>
      <c r="M267" s="25">
        <f t="shared" si="66"/>
        <v>4</v>
      </c>
      <c r="N267" s="25">
        <f t="shared" si="67"/>
        <v>5</v>
      </c>
      <c r="O267" s="32">
        <f t="shared" si="68"/>
        <v>0.84420266961423651</v>
      </c>
      <c r="P267" s="32">
        <f t="shared" si="69"/>
        <v>1.0418053570413823</v>
      </c>
      <c r="Q267" s="32">
        <f t="shared" si="70"/>
        <v>0.80698132232978881</v>
      </c>
      <c r="R267" s="32">
        <f t="shared" si="71"/>
        <v>1.0506390162289212</v>
      </c>
      <c r="S267" s="32">
        <f t="shared" si="72"/>
        <v>0.86866731645372819</v>
      </c>
      <c r="T267" s="32">
        <f t="shared" si="73"/>
        <v>-0.12522426979936985</v>
      </c>
      <c r="U267" s="32">
        <f t="shared" si="74"/>
        <v>0.80563658408767735</v>
      </c>
      <c r="V267" s="37">
        <f t="shared" si="75"/>
        <v>0.75610114227948066</v>
      </c>
      <c r="W267"/>
      <c r="AK267" s="45" t="s">
        <v>78</v>
      </c>
      <c r="AL267" s="45">
        <v>7</v>
      </c>
      <c r="AM267" s="45">
        <v>25</v>
      </c>
      <c r="AN267" s="45">
        <v>3.5714285710000002</v>
      </c>
      <c r="AO267" s="45">
        <v>1.619047619</v>
      </c>
      <c r="AP267" s="45"/>
      <c r="AQ267" s="45"/>
      <c r="AR267" s="45"/>
    </row>
    <row r="268" spans="1:44" x14ac:dyDescent="0.35">
      <c r="A268">
        <v>5</v>
      </c>
      <c r="B268">
        <v>2</v>
      </c>
      <c r="C268">
        <v>5</v>
      </c>
      <c r="D268">
        <v>1</v>
      </c>
      <c r="E268">
        <v>1</v>
      </c>
      <c r="F268">
        <v>4</v>
      </c>
      <c r="G268">
        <v>5</v>
      </c>
      <c r="H268" s="25">
        <f t="shared" si="61"/>
        <v>5</v>
      </c>
      <c r="I268" s="25">
        <f t="shared" si="62"/>
        <v>4</v>
      </c>
      <c r="J268" s="25">
        <f t="shared" si="63"/>
        <v>5</v>
      </c>
      <c r="K268" s="25">
        <f t="shared" si="64"/>
        <v>5</v>
      </c>
      <c r="L268" s="25">
        <f t="shared" si="65"/>
        <v>5</v>
      </c>
      <c r="M268" s="25">
        <f t="shared" si="66"/>
        <v>4</v>
      </c>
      <c r="N268" s="25">
        <f t="shared" si="67"/>
        <v>5</v>
      </c>
      <c r="O268" s="32">
        <f t="shared" si="68"/>
        <v>0.84420266961423651</v>
      </c>
      <c r="P268" s="32">
        <f t="shared" si="69"/>
        <v>0.26360832519077404</v>
      </c>
      <c r="Q268" s="32">
        <f t="shared" si="70"/>
        <v>0.80698132232978881</v>
      </c>
      <c r="R268" s="32">
        <f t="shared" si="71"/>
        <v>1.0506390162289212</v>
      </c>
      <c r="S268" s="32">
        <f t="shared" si="72"/>
        <v>0.86866731645372819</v>
      </c>
      <c r="T268" s="32">
        <f t="shared" si="73"/>
        <v>-0.12522426979936985</v>
      </c>
      <c r="U268" s="32">
        <f t="shared" si="74"/>
        <v>0.80563658408767735</v>
      </c>
      <c r="V268" s="37">
        <f t="shared" si="75"/>
        <v>0.64493013772939378</v>
      </c>
      <c r="W268"/>
      <c r="AK268" s="45" t="s">
        <v>78</v>
      </c>
      <c r="AL268" s="45">
        <v>7</v>
      </c>
      <c r="AM268" s="45">
        <v>33</v>
      </c>
      <c r="AN268" s="45">
        <v>4.7142857139999998</v>
      </c>
      <c r="AO268" s="45">
        <v>0.23809523799999999</v>
      </c>
      <c r="AP268" s="45"/>
      <c r="AQ268" s="45"/>
      <c r="AR268" s="45"/>
    </row>
    <row r="269" spans="1:44" x14ac:dyDescent="0.35">
      <c r="A269">
        <v>1</v>
      </c>
      <c r="B269">
        <v>3</v>
      </c>
      <c r="C269">
        <v>1</v>
      </c>
      <c r="D269">
        <v>2</v>
      </c>
      <c r="E269">
        <v>1</v>
      </c>
      <c r="F269">
        <v>4</v>
      </c>
      <c r="G269">
        <v>5</v>
      </c>
      <c r="H269" s="25">
        <f t="shared" si="61"/>
        <v>1</v>
      </c>
      <c r="I269" s="25">
        <f t="shared" si="62"/>
        <v>3</v>
      </c>
      <c r="J269" s="25">
        <f t="shared" si="63"/>
        <v>1</v>
      </c>
      <c r="K269" s="25">
        <f t="shared" si="64"/>
        <v>4</v>
      </c>
      <c r="L269" s="25">
        <f t="shared" si="65"/>
        <v>5</v>
      </c>
      <c r="M269" s="25">
        <f t="shared" si="66"/>
        <v>4</v>
      </c>
      <c r="N269" s="25">
        <f t="shared" si="67"/>
        <v>5</v>
      </c>
      <c r="O269" s="32">
        <f t="shared" si="68"/>
        <v>-2.758213894687894</v>
      </c>
      <c r="P269" s="32">
        <f t="shared" si="69"/>
        <v>-0.51458870665983425</v>
      </c>
      <c r="Q269" s="32">
        <f t="shared" si="70"/>
        <v>-2.8088805663860001</v>
      </c>
      <c r="R269" s="32">
        <f t="shared" si="71"/>
        <v>0.21586162773242673</v>
      </c>
      <c r="S269" s="32">
        <f t="shared" si="72"/>
        <v>0.86866731645372819</v>
      </c>
      <c r="T269" s="32">
        <f t="shared" si="73"/>
        <v>-0.12522426979936985</v>
      </c>
      <c r="U269" s="32">
        <f t="shared" si="74"/>
        <v>0.80563658408767735</v>
      </c>
      <c r="V269" s="37">
        <f t="shared" si="75"/>
        <v>-0.61667741560846667</v>
      </c>
      <c r="W269"/>
      <c r="AK269" s="45" t="s">
        <v>78</v>
      </c>
      <c r="AL269" s="45">
        <v>7</v>
      </c>
      <c r="AM269" s="45">
        <v>30</v>
      </c>
      <c r="AN269" s="45">
        <v>4.2857142860000002</v>
      </c>
      <c r="AO269" s="45">
        <v>1.2380952380000001</v>
      </c>
      <c r="AP269" s="45"/>
      <c r="AQ269" s="45"/>
      <c r="AR269" s="45"/>
    </row>
    <row r="270" spans="1:44" x14ac:dyDescent="0.35">
      <c r="A270">
        <v>4</v>
      </c>
      <c r="B270">
        <v>2</v>
      </c>
      <c r="C270">
        <v>4</v>
      </c>
      <c r="D270">
        <v>2</v>
      </c>
      <c r="E270">
        <v>1</v>
      </c>
      <c r="F270">
        <v>4</v>
      </c>
      <c r="G270">
        <v>5</v>
      </c>
      <c r="H270" s="25">
        <f t="shared" si="61"/>
        <v>4</v>
      </c>
      <c r="I270" s="25">
        <f t="shared" si="62"/>
        <v>4</v>
      </c>
      <c r="J270" s="25">
        <f t="shared" si="63"/>
        <v>4</v>
      </c>
      <c r="K270" s="25">
        <f t="shared" si="64"/>
        <v>4</v>
      </c>
      <c r="L270" s="25">
        <f t="shared" si="65"/>
        <v>5</v>
      </c>
      <c r="M270" s="25">
        <f t="shared" si="66"/>
        <v>4</v>
      </c>
      <c r="N270" s="25">
        <f t="shared" si="67"/>
        <v>5</v>
      </c>
      <c r="O270" s="32">
        <f t="shared" si="68"/>
        <v>-5.6401471461296142E-2</v>
      </c>
      <c r="P270" s="32">
        <f t="shared" si="69"/>
        <v>0.26360832519077404</v>
      </c>
      <c r="Q270" s="32">
        <f t="shared" si="70"/>
        <v>-9.6984149849158471E-2</v>
      </c>
      <c r="R270" s="32">
        <f t="shared" si="71"/>
        <v>0.21586162773242673</v>
      </c>
      <c r="S270" s="32">
        <f t="shared" si="72"/>
        <v>0.86866731645372819</v>
      </c>
      <c r="T270" s="32">
        <f t="shared" si="73"/>
        <v>-0.12522426979936985</v>
      </c>
      <c r="U270" s="32">
        <f t="shared" si="74"/>
        <v>0.80563658408767735</v>
      </c>
      <c r="V270" s="37">
        <f t="shared" si="75"/>
        <v>0.26788056605068317</v>
      </c>
      <c r="W270"/>
      <c r="AK270" s="45" t="s">
        <v>78</v>
      </c>
      <c r="AL270" s="45">
        <v>7</v>
      </c>
      <c r="AM270" s="45">
        <v>34</v>
      </c>
      <c r="AN270" s="45">
        <v>4.8571428570000004</v>
      </c>
      <c r="AO270" s="45">
        <v>0.14285714299999999</v>
      </c>
      <c r="AP270" s="45"/>
      <c r="AQ270" s="45"/>
      <c r="AR270" s="45"/>
    </row>
    <row r="271" spans="1:44" x14ac:dyDescent="0.35">
      <c r="A271">
        <v>4</v>
      </c>
      <c r="B271">
        <v>3</v>
      </c>
      <c r="C271">
        <v>5</v>
      </c>
      <c r="D271">
        <v>2</v>
      </c>
      <c r="E271">
        <v>1</v>
      </c>
      <c r="F271">
        <v>4</v>
      </c>
      <c r="G271">
        <v>5</v>
      </c>
      <c r="H271" s="25">
        <f t="shared" si="61"/>
        <v>4</v>
      </c>
      <c r="I271" s="25">
        <f t="shared" si="62"/>
        <v>3</v>
      </c>
      <c r="J271" s="25">
        <f t="shared" si="63"/>
        <v>5</v>
      </c>
      <c r="K271" s="25">
        <f t="shared" si="64"/>
        <v>4</v>
      </c>
      <c r="L271" s="25">
        <f t="shared" si="65"/>
        <v>5</v>
      </c>
      <c r="M271" s="25">
        <f t="shared" si="66"/>
        <v>4</v>
      </c>
      <c r="N271" s="25">
        <f t="shared" si="67"/>
        <v>5</v>
      </c>
      <c r="O271" s="32">
        <f t="shared" si="68"/>
        <v>-5.6401471461296142E-2</v>
      </c>
      <c r="P271" s="32">
        <f t="shared" si="69"/>
        <v>-0.51458870665983425</v>
      </c>
      <c r="Q271" s="32">
        <f t="shared" si="70"/>
        <v>0.80698132232978881</v>
      </c>
      <c r="R271" s="32">
        <f t="shared" si="71"/>
        <v>0.21586162773242673</v>
      </c>
      <c r="S271" s="32">
        <f t="shared" si="72"/>
        <v>0.86866731645372819</v>
      </c>
      <c r="T271" s="32">
        <f t="shared" si="73"/>
        <v>-0.12522426979936985</v>
      </c>
      <c r="U271" s="32">
        <f t="shared" si="74"/>
        <v>0.80563658408767735</v>
      </c>
      <c r="V271" s="37">
        <f t="shared" si="75"/>
        <v>0.28584748609758875</v>
      </c>
      <c r="W271"/>
      <c r="AK271" s="45" t="s">
        <v>78</v>
      </c>
      <c r="AL271" s="45">
        <v>7</v>
      </c>
      <c r="AM271" s="45">
        <v>33</v>
      </c>
      <c r="AN271" s="45">
        <v>4.7142857139999998</v>
      </c>
      <c r="AO271" s="45">
        <v>0.23809523799999999</v>
      </c>
      <c r="AP271" s="45"/>
      <c r="AQ271" s="45"/>
      <c r="AR271" s="45"/>
    </row>
    <row r="272" spans="1:44" x14ac:dyDescent="0.35">
      <c r="A272">
        <v>4</v>
      </c>
      <c r="B272">
        <v>2</v>
      </c>
      <c r="C272">
        <v>1</v>
      </c>
      <c r="D272">
        <v>3</v>
      </c>
      <c r="E272">
        <v>1</v>
      </c>
      <c r="F272">
        <v>4</v>
      </c>
      <c r="G272">
        <v>5</v>
      </c>
      <c r="H272" s="25">
        <f t="shared" si="61"/>
        <v>4</v>
      </c>
      <c r="I272" s="25">
        <f t="shared" si="62"/>
        <v>4</v>
      </c>
      <c r="J272" s="25">
        <f t="shared" si="63"/>
        <v>1</v>
      </c>
      <c r="K272" s="25">
        <f t="shared" si="64"/>
        <v>3</v>
      </c>
      <c r="L272" s="25">
        <f t="shared" si="65"/>
        <v>5</v>
      </c>
      <c r="M272" s="25">
        <f t="shared" si="66"/>
        <v>4</v>
      </c>
      <c r="N272" s="25">
        <f t="shared" si="67"/>
        <v>5</v>
      </c>
      <c r="O272" s="32">
        <f t="shared" si="68"/>
        <v>-5.6401471461296142E-2</v>
      </c>
      <c r="P272" s="32">
        <f t="shared" si="69"/>
        <v>0.26360832519077404</v>
      </c>
      <c r="Q272" s="32">
        <f t="shared" si="70"/>
        <v>-2.8088805663860001</v>
      </c>
      <c r="R272" s="32">
        <f t="shared" si="71"/>
        <v>-0.61891576076406762</v>
      </c>
      <c r="S272" s="32">
        <f t="shared" si="72"/>
        <v>0.86866731645372819</v>
      </c>
      <c r="T272" s="32">
        <f t="shared" si="73"/>
        <v>-0.12522426979936985</v>
      </c>
      <c r="U272" s="32">
        <f t="shared" si="74"/>
        <v>0.80563658408767735</v>
      </c>
      <c r="V272" s="37">
        <f t="shared" si="75"/>
        <v>-0.2387871203826506</v>
      </c>
      <c r="W272"/>
      <c r="AK272" s="45" t="s">
        <v>78</v>
      </c>
      <c r="AL272" s="45">
        <v>7</v>
      </c>
      <c r="AM272" s="45">
        <v>23</v>
      </c>
      <c r="AN272" s="45">
        <v>3.2857142860000002</v>
      </c>
      <c r="AO272" s="45">
        <v>2.904761905</v>
      </c>
      <c r="AP272" s="45"/>
      <c r="AQ272" s="45"/>
      <c r="AR272" s="45"/>
    </row>
    <row r="273" spans="1:44" x14ac:dyDescent="0.35">
      <c r="A273">
        <v>5</v>
      </c>
      <c r="B273">
        <v>4</v>
      </c>
      <c r="C273">
        <v>4</v>
      </c>
      <c r="D273">
        <v>3</v>
      </c>
      <c r="E273">
        <v>1</v>
      </c>
      <c r="F273">
        <v>4</v>
      </c>
      <c r="G273">
        <v>5</v>
      </c>
      <c r="H273" s="25">
        <f t="shared" si="61"/>
        <v>5</v>
      </c>
      <c r="I273" s="25">
        <f t="shared" si="62"/>
        <v>2</v>
      </c>
      <c r="J273" s="25">
        <f t="shared" si="63"/>
        <v>4</v>
      </c>
      <c r="K273" s="25">
        <f t="shared" si="64"/>
        <v>3</v>
      </c>
      <c r="L273" s="25">
        <f t="shared" si="65"/>
        <v>5</v>
      </c>
      <c r="M273" s="25">
        <f t="shared" si="66"/>
        <v>4</v>
      </c>
      <c r="N273" s="25">
        <f t="shared" si="67"/>
        <v>5</v>
      </c>
      <c r="O273" s="32">
        <f t="shared" si="68"/>
        <v>0.84420266961423651</v>
      </c>
      <c r="P273" s="32">
        <f t="shared" si="69"/>
        <v>-1.2927857385104427</v>
      </c>
      <c r="Q273" s="32">
        <f t="shared" si="70"/>
        <v>-9.6984149849158471E-2</v>
      </c>
      <c r="R273" s="32">
        <f t="shared" si="71"/>
        <v>-0.61891576076406762</v>
      </c>
      <c r="S273" s="32">
        <f t="shared" si="72"/>
        <v>0.86866731645372819</v>
      </c>
      <c r="T273" s="32">
        <f t="shared" si="73"/>
        <v>-0.12522426979936985</v>
      </c>
      <c r="U273" s="32">
        <f t="shared" si="74"/>
        <v>0.80563658408767735</v>
      </c>
      <c r="V273" s="37">
        <f t="shared" si="75"/>
        <v>5.4942378747514779E-2</v>
      </c>
      <c r="W273"/>
      <c r="AK273" s="45" t="s">
        <v>78</v>
      </c>
      <c r="AL273" s="45">
        <v>7</v>
      </c>
      <c r="AM273" s="45">
        <v>30</v>
      </c>
      <c r="AN273" s="45">
        <v>4.2857142860000002</v>
      </c>
      <c r="AO273" s="45">
        <v>0.23809523799999999</v>
      </c>
      <c r="AP273" s="45"/>
      <c r="AQ273" s="45"/>
      <c r="AR273" s="45"/>
    </row>
    <row r="274" spans="1:44" x14ac:dyDescent="0.35">
      <c r="A274">
        <v>4</v>
      </c>
      <c r="B274">
        <v>2</v>
      </c>
      <c r="C274">
        <v>4</v>
      </c>
      <c r="D274">
        <v>4</v>
      </c>
      <c r="E274">
        <v>1</v>
      </c>
      <c r="F274">
        <v>4</v>
      </c>
      <c r="G274">
        <v>5</v>
      </c>
      <c r="H274" s="25">
        <f t="shared" si="61"/>
        <v>4</v>
      </c>
      <c r="I274" s="25">
        <f t="shared" si="62"/>
        <v>4</v>
      </c>
      <c r="J274" s="25">
        <f t="shared" si="63"/>
        <v>4</v>
      </c>
      <c r="K274" s="25">
        <f t="shared" si="64"/>
        <v>2</v>
      </c>
      <c r="L274" s="25">
        <f t="shared" si="65"/>
        <v>5</v>
      </c>
      <c r="M274" s="25">
        <f t="shared" si="66"/>
        <v>4</v>
      </c>
      <c r="N274" s="25">
        <f t="shared" si="67"/>
        <v>5</v>
      </c>
      <c r="O274" s="32">
        <f t="shared" si="68"/>
        <v>-5.6401471461296142E-2</v>
      </c>
      <c r="P274" s="32">
        <f t="shared" si="69"/>
        <v>0.26360832519077404</v>
      </c>
      <c r="Q274" s="32">
        <f t="shared" si="70"/>
        <v>-9.6984149849158471E-2</v>
      </c>
      <c r="R274" s="32">
        <f t="shared" si="71"/>
        <v>-1.453693149260562</v>
      </c>
      <c r="S274" s="32">
        <f t="shared" si="72"/>
        <v>0.86866731645372819</v>
      </c>
      <c r="T274" s="32">
        <f t="shared" si="73"/>
        <v>-0.12522426979936985</v>
      </c>
      <c r="U274" s="32">
        <f t="shared" si="74"/>
        <v>0.80563658408767735</v>
      </c>
      <c r="V274" s="37">
        <f t="shared" si="75"/>
        <v>2.9372740765970438E-2</v>
      </c>
      <c r="W274"/>
      <c r="AK274" s="45" t="s">
        <v>78</v>
      </c>
      <c r="AL274" s="45">
        <v>7</v>
      </c>
      <c r="AM274" s="45">
        <v>30</v>
      </c>
      <c r="AN274" s="45">
        <v>4.2857142860000002</v>
      </c>
      <c r="AO274" s="45">
        <v>0.571428571</v>
      </c>
      <c r="AP274" s="45"/>
      <c r="AQ274" s="45"/>
      <c r="AR274" s="45"/>
    </row>
    <row r="275" spans="1:44" x14ac:dyDescent="0.35">
      <c r="A275">
        <v>5</v>
      </c>
      <c r="B275">
        <v>5</v>
      </c>
      <c r="C275">
        <v>4</v>
      </c>
      <c r="D275">
        <v>4</v>
      </c>
      <c r="E275">
        <v>1</v>
      </c>
      <c r="F275">
        <v>4</v>
      </c>
      <c r="G275">
        <v>5</v>
      </c>
      <c r="H275" s="25">
        <f t="shared" si="61"/>
        <v>5</v>
      </c>
      <c r="I275" s="25">
        <f t="shared" si="62"/>
        <v>1</v>
      </c>
      <c r="J275" s="25">
        <f t="shared" si="63"/>
        <v>4</v>
      </c>
      <c r="K275" s="25">
        <f t="shared" si="64"/>
        <v>2</v>
      </c>
      <c r="L275" s="25">
        <f t="shared" si="65"/>
        <v>5</v>
      </c>
      <c r="M275" s="25">
        <f t="shared" si="66"/>
        <v>4</v>
      </c>
      <c r="N275" s="25">
        <f t="shared" si="67"/>
        <v>5</v>
      </c>
      <c r="O275" s="32">
        <f t="shared" si="68"/>
        <v>0.84420266961423651</v>
      </c>
      <c r="P275" s="32">
        <f t="shared" si="69"/>
        <v>-2.0709827703610508</v>
      </c>
      <c r="Q275" s="32">
        <f t="shared" si="70"/>
        <v>-9.6984149849158471E-2</v>
      </c>
      <c r="R275" s="32">
        <f t="shared" si="71"/>
        <v>-1.453693149260562</v>
      </c>
      <c r="S275" s="32">
        <f t="shared" si="72"/>
        <v>0.86866731645372819</v>
      </c>
      <c r="T275" s="32">
        <f t="shared" si="73"/>
        <v>-0.12522426979936985</v>
      </c>
      <c r="U275" s="32">
        <f t="shared" si="74"/>
        <v>0.80563658408767735</v>
      </c>
      <c r="V275" s="37">
        <f t="shared" si="75"/>
        <v>-0.17548253844492842</v>
      </c>
      <c r="W275"/>
      <c r="AK275" s="45" t="s">
        <v>78</v>
      </c>
      <c r="AL275" s="45">
        <v>7</v>
      </c>
      <c r="AM275" s="45">
        <v>26</v>
      </c>
      <c r="AN275" s="45">
        <v>3.7142857139999998</v>
      </c>
      <c r="AO275" s="45">
        <v>1.904761905</v>
      </c>
      <c r="AP275" s="45"/>
      <c r="AQ275" s="45"/>
      <c r="AR275" s="45"/>
    </row>
    <row r="276" spans="1:44" x14ac:dyDescent="0.35">
      <c r="A276">
        <v>5</v>
      </c>
      <c r="B276">
        <v>1</v>
      </c>
      <c r="C276">
        <v>5</v>
      </c>
      <c r="D276">
        <v>5</v>
      </c>
      <c r="E276">
        <v>1</v>
      </c>
      <c r="F276">
        <v>4</v>
      </c>
      <c r="G276">
        <v>5</v>
      </c>
      <c r="H276" s="25">
        <f t="shared" si="61"/>
        <v>5</v>
      </c>
      <c r="I276" s="25">
        <f t="shared" si="62"/>
        <v>5</v>
      </c>
      <c r="J276" s="25">
        <f t="shared" si="63"/>
        <v>5</v>
      </c>
      <c r="K276" s="25">
        <f t="shared" si="64"/>
        <v>1</v>
      </c>
      <c r="L276" s="25">
        <f t="shared" si="65"/>
        <v>5</v>
      </c>
      <c r="M276" s="25">
        <f t="shared" si="66"/>
        <v>4</v>
      </c>
      <c r="N276" s="25">
        <f t="shared" si="67"/>
        <v>5</v>
      </c>
      <c r="O276" s="32">
        <f t="shared" si="68"/>
        <v>0.84420266961423651</v>
      </c>
      <c r="P276" s="32">
        <f t="shared" si="69"/>
        <v>1.0418053570413823</v>
      </c>
      <c r="Q276" s="32">
        <f t="shared" si="70"/>
        <v>0.80698132232978881</v>
      </c>
      <c r="R276" s="32">
        <f t="shared" si="71"/>
        <v>-2.2884705377570564</v>
      </c>
      <c r="S276" s="32">
        <f t="shared" si="72"/>
        <v>0.86866731645372819</v>
      </c>
      <c r="T276" s="32">
        <f t="shared" si="73"/>
        <v>-0.12522426979936985</v>
      </c>
      <c r="U276" s="32">
        <f t="shared" si="74"/>
        <v>0.80563658408767735</v>
      </c>
      <c r="V276" s="37">
        <f t="shared" si="75"/>
        <v>0.27908549171005526</v>
      </c>
      <c r="W276"/>
      <c r="AK276" s="45" t="s">
        <v>78</v>
      </c>
      <c r="AL276" s="45">
        <v>7</v>
      </c>
      <c r="AM276" s="45">
        <v>28</v>
      </c>
      <c r="AN276" s="45">
        <v>4</v>
      </c>
      <c r="AO276" s="45">
        <v>1.3333333329999999</v>
      </c>
      <c r="AP276" s="45"/>
      <c r="AQ276" s="45"/>
      <c r="AR276" s="45"/>
    </row>
    <row r="277" spans="1:44" x14ac:dyDescent="0.35">
      <c r="A277">
        <v>4</v>
      </c>
      <c r="B277">
        <v>2</v>
      </c>
      <c r="C277">
        <v>4</v>
      </c>
      <c r="D277">
        <v>1</v>
      </c>
      <c r="E277">
        <v>2</v>
      </c>
      <c r="F277">
        <v>4</v>
      </c>
      <c r="G277">
        <v>5</v>
      </c>
      <c r="H277" s="25">
        <f t="shared" si="61"/>
        <v>4</v>
      </c>
      <c r="I277" s="25">
        <f t="shared" si="62"/>
        <v>4</v>
      </c>
      <c r="J277" s="25">
        <f t="shared" si="63"/>
        <v>4</v>
      </c>
      <c r="K277" s="25">
        <f t="shared" si="64"/>
        <v>5</v>
      </c>
      <c r="L277" s="25">
        <f t="shared" si="65"/>
        <v>4</v>
      </c>
      <c r="M277" s="25">
        <f t="shared" si="66"/>
        <v>4</v>
      </c>
      <c r="N277" s="25">
        <f t="shared" si="67"/>
        <v>5</v>
      </c>
      <c r="O277" s="32">
        <f t="shared" si="68"/>
        <v>-5.6401471461296142E-2</v>
      </c>
      <c r="P277" s="32">
        <f t="shared" si="69"/>
        <v>0.26360832519077404</v>
      </c>
      <c r="Q277" s="32">
        <f t="shared" si="70"/>
        <v>-9.6984149849158471E-2</v>
      </c>
      <c r="R277" s="32">
        <f t="shared" si="71"/>
        <v>1.0506390162289212</v>
      </c>
      <c r="S277" s="32">
        <f t="shared" si="72"/>
        <v>2.4129647679270144E-2</v>
      </c>
      <c r="T277" s="32">
        <f t="shared" si="73"/>
        <v>-0.12522426979936985</v>
      </c>
      <c r="U277" s="32">
        <f t="shared" si="74"/>
        <v>0.80563658408767735</v>
      </c>
      <c r="V277" s="37">
        <f t="shared" si="75"/>
        <v>0.26648624029668827</v>
      </c>
      <c r="W277"/>
      <c r="AK277" s="45" t="s">
        <v>78</v>
      </c>
      <c r="AL277" s="45">
        <v>7</v>
      </c>
      <c r="AM277" s="45">
        <v>28</v>
      </c>
      <c r="AN277" s="45">
        <v>4</v>
      </c>
      <c r="AO277" s="45">
        <v>1</v>
      </c>
      <c r="AP277" s="45"/>
      <c r="AQ277" s="45"/>
      <c r="AR277" s="45"/>
    </row>
    <row r="278" spans="1:44" x14ac:dyDescent="0.35">
      <c r="A278">
        <v>5</v>
      </c>
      <c r="B278">
        <v>2</v>
      </c>
      <c r="C278">
        <v>4</v>
      </c>
      <c r="D278">
        <v>1</v>
      </c>
      <c r="E278">
        <v>2</v>
      </c>
      <c r="F278">
        <v>4</v>
      </c>
      <c r="G278">
        <v>5</v>
      </c>
      <c r="H278" s="25">
        <f t="shared" si="61"/>
        <v>5</v>
      </c>
      <c r="I278" s="25">
        <f t="shared" si="62"/>
        <v>4</v>
      </c>
      <c r="J278" s="25">
        <f t="shared" si="63"/>
        <v>4</v>
      </c>
      <c r="K278" s="25">
        <f t="shared" si="64"/>
        <v>5</v>
      </c>
      <c r="L278" s="25">
        <f t="shared" si="65"/>
        <v>4</v>
      </c>
      <c r="M278" s="25">
        <f t="shared" si="66"/>
        <v>4</v>
      </c>
      <c r="N278" s="25">
        <f t="shared" si="67"/>
        <v>5</v>
      </c>
      <c r="O278" s="32">
        <f t="shared" si="68"/>
        <v>0.84420266961423651</v>
      </c>
      <c r="P278" s="32">
        <f t="shared" si="69"/>
        <v>0.26360832519077404</v>
      </c>
      <c r="Q278" s="32">
        <f t="shared" si="70"/>
        <v>-9.6984149849158471E-2</v>
      </c>
      <c r="R278" s="32">
        <f t="shared" si="71"/>
        <v>1.0506390162289212</v>
      </c>
      <c r="S278" s="32">
        <f t="shared" si="72"/>
        <v>2.4129647679270144E-2</v>
      </c>
      <c r="T278" s="32">
        <f t="shared" si="73"/>
        <v>-0.12522426979936985</v>
      </c>
      <c r="U278" s="32">
        <f t="shared" si="74"/>
        <v>0.80563658408767735</v>
      </c>
      <c r="V278" s="37">
        <f t="shared" si="75"/>
        <v>0.39514397473605012</v>
      </c>
      <c r="W278"/>
      <c r="AK278" s="45" t="s">
        <v>78</v>
      </c>
      <c r="AL278" s="45">
        <v>7</v>
      </c>
      <c r="AM278" s="45">
        <v>26</v>
      </c>
      <c r="AN278" s="45">
        <v>3.7142857139999998</v>
      </c>
      <c r="AO278" s="45">
        <v>2.5714285710000002</v>
      </c>
      <c r="AP278" s="45"/>
      <c r="AQ278" s="45"/>
      <c r="AR278" s="45"/>
    </row>
    <row r="279" spans="1:44" x14ac:dyDescent="0.35">
      <c r="A279">
        <v>4</v>
      </c>
      <c r="B279">
        <v>2</v>
      </c>
      <c r="C279">
        <v>3</v>
      </c>
      <c r="D279">
        <v>2</v>
      </c>
      <c r="E279">
        <v>2</v>
      </c>
      <c r="F279">
        <v>4</v>
      </c>
      <c r="G279">
        <v>5</v>
      </c>
      <c r="H279" s="25">
        <f t="shared" si="61"/>
        <v>4</v>
      </c>
      <c r="I279" s="25">
        <f t="shared" si="62"/>
        <v>4</v>
      </c>
      <c r="J279" s="25">
        <f t="shared" si="63"/>
        <v>3</v>
      </c>
      <c r="K279" s="25">
        <f t="shared" si="64"/>
        <v>4</v>
      </c>
      <c r="L279" s="25">
        <f t="shared" si="65"/>
        <v>4</v>
      </c>
      <c r="M279" s="25">
        <f t="shared" si="66"/>
        <v>4</v>
      </c>
      <c r="N279" s="25">
        <f t="shared" si="67"/>
        <v>5</v>
      </c>
      <c r="O279" s="32">
        <f t="shared" si="68"/>
        <v>-5.6401471461296142E-2</v>
      </c>
      <c r="P279" s="32">
        <f t="shared" si="69"/>
        <v>0.26360832519077404</v>
      </c>
      <c r="Q279" s="32">
        <f t="shared" si="70"/>
        <v>-1.0009496220281058</v>
      </c>
      <c r="R279" s="32">
        <f t="shared" si="71"/>
        <v>0.21586162773242673</v>
      </c>
      <c r="S279" s="32">
        <f t="shared" si="72"/>
        <v>2.4129647679270144E-2</v>
      </c>
      <c r="T279" s="32">
        <f t="shared" si="73"/>
        <v>-0.12522426979936985</v>
      </c>
      <c r="U279" s="32">
        <f t="shared" si="74"/>
        <v>0.80563658408767735</v>
      </c>
      <c r="V279" s="37">
        <f t="shared" si="75"/>
        <v>1.8094403057339496E-2</v>
      </c>
      <c r="W279"/>
      <c r="AK279" s="45" t="s">
        <v>78</v>
      </c>
      <c r="AL279" s="45">
        <v>7</v>
      </c>
      <c r="AM279" s="45">
        <v>30</v>
      </c>
      <c r="AN279" s="45">
        <v>4.2857142860000002</v>
      </c>
      <c r="AO279" s="45">
        <v>2.2380952380000001</v>
      </c>
      <c r="AP279" s="45"/>
      <c r="AQ279" s="45"/>
      <c r="AR279" s="45"/>
    </row>
    <row r="280" spans="1:44" x14ac:dyDescent="0.35">
      <c r="A280">
        <v>5</v>
      </c>
      <c r="B280">
        <v>4</v>
      </c>
      <c r="C280">
        <v>4</v>
      </c>
      <c r="D280">
        <v>2</v>
      </c>
      <c r="E280">
        <v>2</v>
      </c>
      <c r="F280">
        <v>4</v>
      </c>
      <c r="G280">
        <v>5</v>
      </c>
      <c r="H280" s="25">
        <f t="shared" si="61"/>
        <v>5</v>
      </c>
      <c r="I280" s="25">
        <f t="shared" si="62"/>
        <v>2</v>
      </c>
      <c r="J280" s="25">
        <f t="shared" si="63"/>
        <v>4</v>
      </c>
      <c r="K280" s="25">
        <f t="shared" si="64"/>
        <v>4</v>
      </c>
      <c r="L280" s="25">
        <f t="shared" si="65"/>
        <v>4</v>
      </c>
      <c r="M280" s="25">
        <f t="shared" si="66"/>
        <v>4</v>
      </c>
      <c r="N280" s="25">
        <f t="shared" si="67"/>
        <v>5</v>
      </c>
      <c r="O280" s="32">
        <f t="shared" si="68"/>
        <v>0.84420266961423651</v>
      </c>
      <c r="P280" s="32">
        <f t="shared" si="69"/>
        <v>-1.2927857385104427</v>
      </c>
      <c r="Q280" s="32">
        <f t="shared" si="70"/>
        <v>-9.6984149849158471E-2</v>
      </c>
      <c r="R280" s="32">
        <f t="shared" si="71"/>
        <v>0.21586162773242673</v>
      </c>
      <c r="S280" s="32">
        <f t="shared" si="72"/>
        <v>2.4129647679270144E-2</v>
      </c>
      <c r="T280" s="32">
        <f t="shared" si="73"/>
        <v>-0.12522426979936985</v>
      </c>
      <c r="U280" s="32">
        <f t="shared" si="74"/>
        <v>0.80563658408767735</v>
      </c>
      <c r="V280" s="37">
        <f t="shared" si="75"/>
        <v>5.354805299351996E-2</v>
      </c>
      <c r="W280"/>
      <c r="AK280" s="45" t="s">
        <v>78</v>
      </c>
      <c r="AL280" s="45">
        <v>7</v>
      </c>
      <c r="AM280" s="45">
        <v>30</v>
      </c>
      <c r="AN280" s="45">
        <v>4.2857142860000002</v>
      </c>
      <c r="AO280" s="45">
        <v>0.23809523799999999</v>
      </c>
      <c r="AP280" s="45"/>
      <c r="AQ280" s="45"/>
      <c r="AR280" s="45"/>
    </row>
    <row r="281" spans="1:44" x14ac:dyDescent="0.35">
      <c r="A281">
        <v>4</v>
      </c>
      <c r="B281">
        <v>2</v>
      </c>
      <c r="C281">
        <v>5</v>
      </c>
      <c r="D281">
        <v>2</v>
      </c>
      <c r="E281">
        <v>2</v>
      </c>
      <c r="F281">
        <v>4</v>
      </c>
      <c r="G281">
        <v>5</v>
      </c>
      <c r="H281" s="25">
        <f t="shared" si="61"/>
        <v>4</v>
      </c>
      <c r="I281" s="25">
        <f t="shared" si="62"/>
        <v>4</v>
      </c>
      <c r="J281" s="25">
        <f t="shared" si="63"/>
        <v>5</v>
      </c>
      <c r="K281" s="25">
        <f t="shared" si="64"/>
        <v>4</v>
      </c>
      <c r="L281" s="25">
        <f t="shared" si="65"/>
        <v>4</v>
      </c>
      <c r="M281" s="25">
        <f t="shared" si="66"/>
        <v>4</v>
      </c>
      <c r="N281" s="25">
        <f t="shared" si="67"/>
        <v>5</v>
      </c>
      <c r="O281" s="32">
        <f t="shared" si="68"/>
        <v>-5.6401471461296142E-2</v>
      </c>
      <c r="P281" s="32">
        <f t="shared" si="69"/>
        <v>0.26360832519077404</v>
      </c>
      <c r="Q281" s="32">
        <f t="shared" si="70"/>
        <v>0.80698132232978881</v>
      </c>
      <c r="R281" s="32">
        <f t="shared" si="71"/>
        <v>0.21586162773242673</v>
      </c>
      <c r="S281" s="32">
        <f t="shared" si="72"/>
        <v>2.4129647679270144E-2</v>
      </c>
      <c r="T281" s="32">
        <f t="shared" si="73"/>
        <v>-0.12522426979936985</v>
      </c>
      <c r="U281" s="32">
        <f t="shared" si="74"/>
        <v>0.80563658408767735</v>
      </c>
      <c r="V281" s="37">
        <f t="shared" si="75"/>
        <v>0.27637025225132444</v>
      </c>
      <c r="W281"/>
      <c r="AK281" s="45" t="s">
        <v>78</v>
      </c>
      <c r="AL281" s="45">
        <v>7</v>
      </c>
      <c r="AM281" s="45">
        <v>31</v>
      </c>
      <c r="AN281" s="45">
        <v>4.4285714289999998</v>
      </c>
      <c r="AO281" s="45">
        <v>0.28571428599999998</v>
      </c>
      <c r="AP281" s="45"/>
      <c r="AQ281" s="45"/>
      <c r="AR281" s="45"/>
    </row>
    <row r="282" spans="1:44" x14ac:dyDescent="0.35">
      <c r="A282">
        <v>5</v>
      </c>
      <c r="B282">
        <v>5</v>
      </c>
      <c r="C282">
        <v>5</v>
      </c>
      <c r="D282">
        <v>2</v>
      </c>
      <c r="E282">
        <v>2</v>
      </c>
      <c r="F282">
        <v>4</v>
      </c>
      <c r="G282">
        <v>5</v>
      </c>
      <c r="H282" s="25">
        <f t="shared" si="61"/>
        <v>5</v>
      </c>
      <c r="I282" s="25">
        <f t="shared" si="62"/>
        <v>1</v>
      </c>
      <c r="J282" s="25">
        <f t="shared" si="63"/>
        <v>5</v>
      </c>
      <c r="K282" s="25">
        <f t="shared" si="64"/>
        <v>4</v>
      </c>
      <c r="L282" s="25">
        <f t="shared" si="65"/>
        <v>4</v>
      </c>
      <c r="M282" s="25">
        <f t="shared" si="66"/>
        <v>4</v>
      </c>
      <c r="N282" s="25">
        <f t="shared" si="67"/>
        <v>5</v>
      </c>
      <c r="O282" s="32">
        <f t="shared" si="68"/>
        <v>0.84420266961423651</v>
      </c>
      <c r="P282" s="32">
        <f t="shared" si="69"/>
        <v>-2.0709827703610508</v>
      </c>
      <c r="Q282" s="32">
        <f t="shared" si="70"/>
        <v>0.80698132232978881</v>
      </c>
      <c r="R282" s="32">
        <f t="shared" si="71"/>
        <v>0.21586162773242673</v>
      </c>
      <c r="S282" s="32">
        <f t="shared" si="72"/>
        <v>2.4129647679270144E-2</v>
      </c>
      <c r="T282" s="32">
        <f t="shared" si="73"/>
        <v>-0.12522426979936985</v>
      </c>
      <c r="U282" s="32">
        <f t="shared" si="74"/>
        <v>0.80563658408767735</v>
      </c>
      <c r="V282" s="37">
        <f t="shared" si="75"/>
        <v>7.1514973040425561E-2</v>
      </c>
      <c r="W282"/>
      <c r="AK282" s="45" t="s">
        <v>78</v>
      </c>
      <c r="AL282" s="45">
        <v>7</v>
      </c>
      <c r="AM282" s="45">
        <v>28</v>
      </c>
      <c r="AN282" s="45">
        <v>4</v>
      </c>
      <c r="AO282" s="45">
        <v>0.33333333300000001</v>
      </c>
      <c r="AP282" s="45"/>
      <c r="AQ282" s="45"/>
      <c r="AR282" s="45"/>
    </row>
    <row r="283" spans="1:44" x14ac:dyDescent="0.35">
      <c r="A283">
        <v>5</v>
      </c>
      <c r="B283">
        <v>3</v>
      </c>
      <c r="C283">
        <v>4</v>
      </c>
      <c r="D283">
        <v>3</v>
      </c>
      <c r="E283">
        <v>2</v>
      </c>
      <c r="F283">
        <v>4</v>
      </c>
      <c r="G283">
        <v>5</v>
      </c>
      <c r="H283" s="25">
        <f t="shared" si="61"/>
        <v>5</v>
      </c>
      <c r="I283" s="25">
        <f t="shared" si="62"/>
        <v>3</v>
      </c>
      <c r="J283" s="25">
        <f t="shared" si="63"/>
        <v>4</v>
      </c>
      <c r="K283" s="25">
        <f t="shared" si="64"/>
        <v>3</v>
      </c>
      <c r="L283" s="25">
        <f t="shared" si="65"/>
        <v>4</v>
      </c>
      <c r="M283" s="25">
        <f t="shared" si="66"/>
        <v>4</v>
      </c>
      <c r="N283" s="25">
        <f t="shared" si="67"/>
        <v>5</v>
      </c>
      <c r="O283" s="32">
        <f t="shared" si="68"/>
        <v>0.84420266961423651</v>
      </c>
      <c r="P283" s="32">
        <f t="shared" si="69"/>
        <v>-0.51458870665983425</v>
      </c>
      <c r="Q283" s="32">
        <f t="shared" si="70"/>
        <v>-9.6984149849158471E-2</v>
      </c>
      <c r="R283" s="32">
        <f t="shared" si="71"/>
        <v>-0.61891576076406762</v>
      </c>
      <c r="S283" s="32">
        <f t="shared" si="72"/>
        <v>2.4129647679270144E-2</v>
      </c>
      <c r="T283" s="32">
        <f t="shared" si="73"/>
        <v>-0.12522426979936985</v>
      </c>
      <c r="U283" s="32">
        <f t="shared" si="74"/>
        <v>0.80563658408767735</v>
      </c>
      <c r="V283" s="37">
        <f t="shared" si="75"/>
        <v>4.5465144901250545E-2</v>
      </c>
      <c r="W283"/>
      <c r="AK283" s="45" t="s">
        <v>78</v>
      </c>
      <c r="AL283" s="45">
        <v>7</v>
      </c>
      <c r="AM283" s="45">
        <v>28</v>
      </c>
      <c r="AN283" s="45">
        <v>4</v>
      </c>
      <c r="AO283" s="45">
        <v>1</v>
      </c>
      <c r="AP283" s="45"/>
      <c r="AQ283" s="45"/>
      <c r="AR283" s="45"/>
    </row>
    <row r="284" spans="1:44" x14ac:dyDescent="0.35">
      <c r="A284">
        <v>5</v>
      </c>
      <c r="B284">
        <v>3</v>
      </c>
      <c r="C284">
        <v>5</v>
      </c>
      <c r="D284">
        <v>1</v>
      </c>
      <c r="E284">
        <v>3</v>
      </c>
      <c r="F284">
        <v>4</v>
      </c>
      <c r="G284">
        <v>5</v>
      </c>
      <c r="H284" s="25">
        <f t="shared" si="61"/>
        <v>5</v>
      </c>
      <c r="I284" s="25">
        <f t="shared" si="62"/>
        <v>3</v>
      </c>
      <c r="J284" s="25">
        <f t="shared" si="63"/>
        <v>5</v>
      </c>
      <c r="K284" s="25">
        <f t="shared" si="64"/>
        <v>5</v>
      </c>
      <c r="L284" s="25">
        <f t="shared" si="65"/>
        <v>3</v>
      </c>
      <c r="M284" s="25">
        <f t="shared" si="66"/>
        <v>4</v>
      </c>
      <c r="N284" s="25">
        <f t="shared" si="67"/>
        <v>5</v>
      </c>
      <c r="O284" s="32">
        <f t="shared" si="68"/>
        <v>0.84420266961423651</v>
      </c>
      <c r="P284" s="32">
        <f t="shared" si="69"/>
        <v>-0.51458870665983425</v>
      </c>
      <c r="Q284" s="32">
        <f t="shared" si="70"/>
        <v>0.80698132232978881</v>
      </c>
      <c r="R284" s="32">
        <f t="shared" si="71"/>
        <v>1.0506390162289212</v>
      </c>
      <c r="S284" s="32">
        <f t="shared" si="72"/>
        <v>-0.82040802109518784</v>
      </c>
      <c r="T284" s="32">
        <f t="shared" si="73"/>
        <v>-0.12522426979936985</v>
      </c>
      <c r="U284" s="32">
        <f t="shared" si="74"/>
        <v>0.80563658408767735</v>
      </c>
      <c r="V284" s="37">
        <f t="shared" si="75"/>
        <v>0.29246265638660457</v>
      </c>
      <c r="W284"/>
      <c r="AK284" s="45" t="s">
        <v>78</v>
      </c>
      <c r="AL284" s="45">
        <v>7</v>
      </c>
      <c r="AM284" s="45">
        <v>30</v>
      </c>
      <c r="AN284" s="45">
        <v>4.2857142860000002</v>
      </c>
      <c r="AO284" s="45">
        <v>0.23809523799999999</v>
      </c>
      <c r="AP284" s="45"/>
      <c r="AQ284" s="45"/>
      <c r="AR284" s="45"/>
    </row>
    <row r="285" spans="1:44" x14ac:dyDescent="0.35">
      <c r="A285">
        <v>4</v>
      </c>
      <c r="B285">
        <v>2</v>
      </c>
      <c r="C285">
        <v>2</v>
      </c>
      <c r="D285">
        <v>2</v>
      </c>
      <c r="E285">
        <v>3</v>
      </c>
      <c r="F285">
        <v>4</v>
      </c>
      <c r="G285">
        <v>5</v>
      </c>
      <c r="H285" s="25">
        <f t="shared" si="61"/>
        <v>4</v>
      </c>
      <c r="I285" s="25">
        <f t="shared" si="62"/>
        <v>4</v>
      </c>
      <c r="J285" s="25">
        <f t="shared" si="63"/>
        <v>2</v>
      </c>
      <c r="K285" s="25">
        <f t="shared" si="64"/>
        <v>4</v>
      </c>
      <c r="L285" s="25">
        <f t="shared" si="65"/>
        <v>3</v>
      </c>
      <c r="M285" s="25">
        <f t="shared" si="66"/>
        <v>4</v>
      </c>
      <c r="N285" s="25">
        <f t="shared" si="67"/>
        <v>5</v>
      </c>
      <c r="O285" s="32">
        <f t="shared" si="68"/>
        <v>-5.6401471461296142E-2</v>
      </c>
      <c r="P285" s="32">
        <f t="shared" si="69"/>
        <v>0.26360832519077404</v>
      </c>
      <c r="Q285" s="32">
        <f t="shared" si="70"/>
        <v>-1.904915094207053</v>
      </c>
      <c r="R285" s="32">
        <f t="shared" si="71"/>
        <v>0.21586162773242673</v>
      </c>
      <c r="S285" s="32">
        <f t="shared" si="72"/>
        <v>-0.82040802109518784</v>
      </c>
      <c r="T285" s="32">
        <f t="shared" si="73"/>
        <v>-0.12522426979936985</v>
      </c>
      <c r="U285" s="32">
        <f t="shared" si="74"/>
        <v>0.80563658408767735</v>
      </c>
      <c r="V285" s="37">
        <f t="shared" si="75"/>
        <v>-0.23169175993600408</v>
      </c>
      <c r="W285"/>
      <c r="AK285" s="45" t="s">
        <v>78</v>
      </c>
      <c r="AL285" s="45">
        <v>7</v>
      </c>
      <c r="AM285" s="45">
        <v>28</v>
      </c>
      <c r="AN285" s="45">
        <v>4</v>
      </c>
      <c r="AO285" s="45">
        <v>2</v>
      </c>
      <c r="AP285" s="45"/>
      <c r="AQ285" s="45"/>
      <c r="AR285" s="45"/>
    </row>
    <row r="286" spans="1:44" x14ac:dyDescent="0.35">
      <c r="A286">
        <v>3</v>
      </c>
      <c r="B286">
        <v>3</v>
      </c>
      <c r="C286">
        <v>4</v>
      </c>
      <c r="D286">
        <v>3</v>
      </c>
      <c r="E286">
        <v>3</v>
      </c>
      <c r="F286">
        <v>4</v>
      </c>
      <c r="G286">
        <v>5</v>
      </c>
      <c r="H286" s="25">
        <f t="shared" si="61"/>
        <v>3</v>
      </c>
      <c r="I286" s="25">
        <f t="shared" si="62"/>
        <v>3</v>
      </c>
      <c r="J286" s="25">
        <f t="shared" si="63"/>
        <v>4</v>
      </c>
      <c r="K286" s="25">
        <f t="shared" si="64"/>
        <v>3</v>
      </c>
      <c r="L286" s="25">
        <f t="shared" si="65"/>
        <v>3</v>
      </c>
      <c r="M286" s="25">
        <f t="shared" si="66"/>
        <v>4</v>
      </c>
      <c r="N286" s="25">
        <f t="shared" si="67"/>
        <v>5</v>
      </c>
      <c r="O286" s="32">
        <f t="shared" si="68"/>
        <v>-0.95700561253682881</v>
      </c>
      <c r="P286" s="32">
        <f t="shared" si="69"/>
        <v>-0.51458870665983425</v>
      </c>
      <c r="Q286" s="32">
        <f t="shared" si="70"/>
        <v>-9.6984149849158471E-2</v>
      </c>
      <c r="R286" s="32">
        <f t="shared" si="71"/>
        <v>-0.61891576076406762</v>
      </c>
      <c r="S286" s="32">
        <f t="shared" si="72"/>
        <v>-0.82040802109518784</v>
      </c>
      <c r="T286" s="32">
        <f t="shared" si="73"/>
        <v>-0.12522426979936985</v>
      </c>
      <c r="U286" s="32">
        <f t="shared" si="74"/>
        <v>0.80563658408767735</v>
      </c>
      <c r="V286" s="37">
        <f t="shared" si="75"/>
        <v>-0.33249856237382414</v>
      </c>
      <c r="W286"/>
      <c r="AK286" s="45" t="s">
        <v>78</v>
      </c>
      <c r="AL286" s="45">
        <v>7</v>
      </c>
      <c r="AM286" s="45">
        <v>28</v>
      </c>
      <c r="AN286" s="45">
        <v>4</v>
      </c>
      <c r="AO286" s="45">
        <v>0.66666666699999999</v>
      </c>
      <c r="AP286" s="45"/>
      <c r="AQ286" s="45"/>
      <c r="AR286" s="45"/>
    </row>
    <row r="287" spans="1:44" x14ac:dyDescent="0.35">
      <c r="A287">
        <v>5</v>
      </c>
      <c r="B287">
        <v>4</v>
      </c>
      <c r="C287">
        <v>4</v>
      </c>
      <c r="D287">
        <v>2</v>
      </c>
      <c r="E287">
        <v>4</v>
      </c>
      <c r="F287">
        <v>4</v>
      </c>
      <c r="G287">
        <v>5</v>
      </c>
      <c r="H287" s="25">
        <f t="shared" si="61"/>
        <v>5</v>
      </c>
      <c r="I287" s="25">
        <f t="shared" si="62"/>
        <v>2</v>
      </c>
      <c r="J287" s="25">
        <f t="shared" si="63"/>
        <v>4</v>
      </c>
      <c r="K287" s="25">
        <f t="shared" si="64"/>
        <v>4</v>
      </c>
      <c r="L287" s="25">
        <f t="shared" si="65"/>
        <v>2</v>
      </c>
      <c r="M287" s="25">
        <f t="shared" si="66"/>
        <v>4</v>
      </c>
      <c r="N287" s="25">
        <f t="shared" si="67"/>
        <v>5</v>
      </c>
      <c r="O287" s="32">
        <f t="shared" si="68"/>
        <v>0.84420266961423651</v>
      </c>
      <c r="P287" s="32">
        <f t="shared" si="69"/>
        <v>-1.2927857385104427</v>
      </c>
      <c r="Q287" s="32">
        <f t="shared" si="70"/>
        <v>-9.6984149849158471E-2</v>
      </c>
      <c r="R287" s="32">
        <f t="shared" si="71"/>
        <v>0.21586162773242673</v>
      </c>
      <c r="S287" s="32">
        <f t="shared" si="72"/>
        <v>-1.664945689869646</v>
      </c>
      <c r="T287" s="32">
        <f t="shared" si="73"/>
        <v>-0.12522426979936985</v>
      </c>
      <c r="U287" s="32">
        <f t="shared" si="74"/>
        <v>0.80563658408767735</v>
      </c>
      <c r="V287" s="37">
        <f t="shared" si="75"/>
        <v>-0.18774842379918236</v>
      </c>
      <c r="W287"/>
      <c r="AK287" s="45" t="s">
        <v>78</v>
      </c>
      <c r="AL287" s="45">
        <v>7</v>
      </c>
      <c r="AM287" s="45">
        <v>30</v>
      </c>
      <c r="AN287" s="45">
        <v>4.2857142860000002</v>
      </c>
      <c r="AO287" s="45">
        <v>0.90476190499999998</v>
      </c>
      <c r="AP287" s="45"/>
      <c r="AQ287" s="45"/>
      <c r="AR287" s="45"/>
    </row>
    <row r="288" spans="1:44" x14ac:dyDescent="0.35">
      <c r="A288">
        <v>3</v>
      </c>
      <c r="B288">
        <v>2</v>
      </c>
      <c r="C288">
        <v>5</v>
      </c>
      <c r="D288">
        <v>3</v>
      </c>
      <c r="E288">
        <v>4</v>
      </c>
      <c r="F288">
        <v>4</v>
      </c>
      <c r="G288">
        <v>5</v>
      </c>
      <c r="H288" s="25">
        <f t="shared" si="61"/>
        <v>3</v>
      </c>
      <c r="I288" s="25">
        <f t="shared" si="62"/>
        <v>4</v>
      </c>
      <c r="J288" s="25">
        <f t="shared" si="63"/>
        <v>5</v>
      </c>
      <c r="K288" s="25">
        <f t="shared" si="64"/>
        <v>3</v>
      </c>
      <c r="L288" s="25">
        <f t="shared" si="65"/>
        <v>2</v>
      </c>
      <c r="M288" s="25">
        <f t="shared" si="66"/>
        <v>4</v>
      </c>
      <c r="N288" s="25">
        <f t="shared" si="67"/>
        <v>5</v>
      </c>
      <c r="O288" s="32">
        <f t="shared" si="68"/>
        <v>-0.95700561253682881</v>
      </c>
      <c r="P288" s="32">
        <f t="shared" si="69"/>
        <v>0.26360832519077404</v>
      </c>
      <c r="Q288" s="32">
        <f t="shared" si="70"/>
        <v>0.80698132232978881</v>
      </c>
      <c r="R288" s="32">
        <f t="shared" si="71"/>
        <v>-0.61891576076406762</v>
      </c>
      <c r="S288" s="32">
        <f t="shared" si="72"/>
        <v>-1.664945689869646</v>
      </c>
      <c r="T288" s="32">
        <f t="shared" si="73"/>
        <v>-0.12522426979936985</v>
      </c>
      <c r="U288" s="32">
        <f t="shared" si="74"/>
        <v>0.80563658408767735</v>
      </c>
      <c r="V288" s="37">
        <f t="shared" si="75"/>
        <v>-0.21283787162309603</v>
      </c>
      <c r="W288"/>
      <c r="AK288" s="45" t="s">
        <v>78</v>
      </c>
      <c r="AL288" s="45">
        <v>7</v>
      </c>
      <c r="AM288" s="45">
        <v>26</v>
      </c>
      <c r="AN288" s="45">
        <v>3.7142857139999998</v>
      </c>
      <c r="AO288" s="45">
        <v>0.90476190499999998</v>
      </c>
      <c r="AP288" s="45"/>
      <c r="AQ288" s="45"/>
      <c r="AR288" s="45"/>
    </row>
    <row r="289" spans="1:44" x14ac:dyDescent="0.35">
      <c r="A289">
        <v>3</v>
      </c>
      <c r="B289">
        <v>3</v>
      </c>
      <c r="C289">
        <v>2</v>
      </c>
      <c r="D289">
        <v>4</v>
      </c>
      <c r="E289">
        <v>4</v>
      </c>
      <c r="F289">
        <v>4</v>
      </c>
      <c r="G289">
        <v>5</v>
      </c>
      <c r="H289" s="25">
        <f t="shared" si="61"/>
        <v>3</v>
      </c>
      <c r="I289" s="25">
        <f t="shared" si="62"/>
        <v>3</v>
      </c>
      <c r="J289" s="25">
        <f t="shared" si="63"/>
        <v>2</v>
      </c>
      <c r="K289" s="25">
        <f t="shared" si="64"/>
        <v>2</v>
      </c>
      <c r="L289" s="25">
        <f t="shared" si="65"/>
        <v>2</v>
      </c>
      <c r="M289" s="25">
        <f t="shared" si="66"/>
        <v>4</v>
      </c>
      <c r="N289" s="25">
        <f t="shared" si="67"/>
        <v>5</v>
      </c>
      <c r="O289" s="32">
        <f t="shared" si="68"/>
        <v>-0.95700561253682881</v>
      </c>
      <c r="P289" s="32">
        <f t="shared" si="69"/>
        <v>-0.51458870665983425</v>
      </c>
      <c r="Q289" s="32">
        <f t="shared" si="70"/>
        <v>-1.904915094207053</v>
      </c>
      <c r="R289" s="32">
        <f t="shared" si="71"/>
        <v>-1.453693149260562</v>
      </c>
      <c r="S289" s="32">
        <f t="shared" si="72"/>
        <v>-1.664945689869646</v>
      </c>
      <c r="T289" s="32">
        <f t="shared" si="73"/>
        <v>-0.12522426979936985</v>
      </c>
      <c r="U289" s="32">
        <f t="shared" si="74"/>
        <v>0.80563658408767735</v>
      </c>
      <c r="V289" s="37">
        <f t="shared" si="75"/>
        <v>-0.83067656260651657</v>
      </c>
      <c r="W289"/>
      <c r="AK289" s="45" t="s">
        <v>78</v>
      </c>
      <c r="AL289" s="45">
        <v>7</v>
      </c>
      <c r="AM289" s="45">
        <v>25</v>
      </c>
      <c r="AN289" s="45">
        <v>3.5714285710000002</v>
      </c>
      <c r="AO289" s="45">
        <v>0.61904761900000005</v>
      </c>
      <c r="AP289" s="45"/>
      <c r="AQ289" s="45"/>
      <c r="AR289" s="45"/>
    </row>
    <row r="290" spans="1:44" x14ac:dyDescent="0.35">
      <c r="A290">
        <v>5</v>
      </c>
      <c r="B290">
        <v>1</v>
      </c>
      <c r="C290">
        <v>5</v>
      </c>
      <c r="D290">
        <v>1</v>
      </c>
      <c r="E290">
        <v>5</v>
      </c>
      <c r="F290">
        <v>4</v>
      </c>
      <c r="G290">
        <v>5</v>
      </c>
      <c r="H290" s="25">
        <f t="shared" si="61"/>
        <v>5</v>
      </c>
      <c r="I290" s="25">
        <f t="shared" si="62"/>
        <v>5</v>
      </c>
      <c r="J290" s="25">
        <f t="shared" si="63"/>
        <v>5</v>
      </c>
      <c r="K290" s="25">
        <f t="shared" si="64"/>
        <v>5</v>
      </c>
      <c r="L290" s="25">
        <f t="shared" si="65"/>
        <v>1</v>
      </c>
      <c r="M290" s="25">
        <f t="shared" si="66"/>
        <v>4</v>
      </c>
      <c r="N290" s="25">
        <f t="shared" si="67"/>
        <v>5</v>
      </c>
      <c r="O290" s="32">
        <f t="shared" si="68"/>
        <v>0.84420266961423651</v>
      </c>
      <c r="P290" s="32">
        <f t="shared" si="69"/>
        <v>1.0418053570413823</v>
      </c>
      <c r="Q290" s="32">
        <f t="shared" si="70"/>
        <v>0.80698132232978881</v>
      </c>
      <c r="R290" s="32">
        <f t="shared" si="71"/>
        <v>1.0506390162289212</v>
      </c>
      <c r="S290" s="32">
        <f t="shared" si="72"/>
        <v>-2.5094833586441041</v>
      </c>
      <c r="T290" s="32">
        <f t="shared" si="73"/>
        <v>-0.12522426979936985</v>
      </c>
      <c r="U290" s="32">
        <f t="shared" si="74"/>
        <v>0.80563658408767735</v>
      </c>
      <c r="V290" s="37">
        <f t="shared" si="75"/>
        <v>0.27350818869407606</v>
      </c>
      <c r="W290"/>
      <c r="AK290" s="45" t="s">
        <v>78</v>
      </c>
      <c r="AL290" s="45">
        <v>7</v>
      </c>
      <c r="AM290" s="45">
        <v>26</v>
      </c>
      <c r="AN290" s="45">
        <v>3.7142857139999998</v>
      </c>
      <c r="AO290" s="45">
        <v>1.571428571</v>
      </c>
      <c r="AP290" s="45"/>
      <c r="AQ290" s="45"/>
      <c r="AR290" s="45"/>
    </row>
    <row r="291" spans="1:44" x14ac:dyDescent="0.35">
      <c r="A291">
        <v>5</v>
      </c>
      <c r="B291">
        <v>1</v>
      </c>
      <c r="C291">
        <v>5</v>
      </c>
      <c r="D291">
        <v>1</v>
      </c>
      <c r="E291">
        <v>5</v>
      </c>
      <c r="F291">
        <v>4</v>
      </c>
      <c r="G291">
        <v>5</v>
      </c>
      <c r="H291" s="25">
        <f t="shared" si="61"/>
        <v>5</v>
      </c>
      <c r="I291" s="25">
        <f t="shared" si="62"/>
        <v>5</v>
      </c>
      <c r="J291" s="25">
        <f t="shared" si="63"/>
        <v>5</v>
      </c>
      <c r="K291" s="25">
        <f t="shared" si="64"/>
        <v>5</v>
      </c>
      <c r="L291" s="25">
        <f t="shared" si="65"/>
        <v>1</v>
      </c>
      <c r="M291" s="25">
        <f t="shared" si="66"/>
        <v>4</v>
      </c>
      <c r="N291" s="25">
        <f t="shared" si="67"/>
        <v>5</v>
      </c>
      <c r="O291" s="32">
        <f t="shared" si="68"/>
        <v>0.84420266961423651</v>
      </c>
      <c r="P291" s="32">
        <f t="shared" si="69"/>
        <v>1.0418053570413823</v>
      </c>
      <c r="Q291" s="32">
        <f t="shared" si="70"/>
        <v>0.80698132232978881</v>
      </c>
      <c r="R291" s="32">
        <f t="shared" si="71"/>
        <v>1.0506390162289212</v>
      </c>
      <c r="S291" s="32">
        <f t="shared" si="72"/>
        <v>-2.5094833586441041</v>
      </c>
      <c r="T291" s="32">
        <f t="shared" si="73"/>
        <v>-0.12522426979936985</v>
      </c>
      <c r="U291" s="32">
        <f t="shared" si="74"/>
        <v>0.80563658408767735</v>
      </c>
      <c r="V291" s="37">
        <f t="shared" si="75"/>
        <v>0.27350818869407606</v>
      </c>
      <c r="W291"/>
      <c r="AK291" s="45" t="s">
        <v>78</v>
      </c>
      <c r="AL291" s="45">
        <v>7</v>
      </c>
      <c r="AM291" s="45">
        <v>26</v>
      </c>
      <c r="AN291" s="45">
        <v>3.7142857139999998</v>
      </c>
      <c r="AO291" s="45">
        <v>1.2380952380000001</v>
      </c>
      <c r="AP291" s="45"/>
      <c r="AQ291" s="45"/>
      <c r="AR291" s="45"/>
    </row>
    <row r="292" spans="1:44" x14ac:dyDescent="0.35">
      <c r="A292">
        <v>1</v>
      </c>
      <c r="B292">
        <v>1</v>
      </c>
      <c r="C292">
        <v>1</v>
      </c>
      <c r="D292">
        <v>1</v>
      </c>
      <c r="E292">
        <v>1</v>
      </c>
      <c r="F292">
        <v>5</v>
      </c>
      <c r="G292">
        <v>5</v>
      </c>
      <c r="H292" s="25">
        <f t="shared" si="61"/>
        <v>1</v>
      </c>
      <c r="I292" s="25">
        <f t="shared" si="62"/>
        <v>5</v>
      </c>
      <c r="J292" s="25">
        <f t="shared" si="63"/>
        <v>1</v>
      </c>
      <c r="K292" s="25">
        <f t="shared" si="64"/>
        <v>5</v>
      </c>
      <c r="L292" s="25">
        <f t="shared" si="65"/>
        <v>5</v>
      </c>
      <c r="M292" s="25">
        <f t="shared" si="66"/>
        <v>5</v>
      </c>
      <c r="N292" s="25">
        <f t="shared" si="67"/>
        <v>5</v>
      </c>
      <c r="O292" s="32">
        <f t="shared" si="68"/>
        <v>-2.758213894687894</v>
      </c>
      <c r="P292" s="32">
        <f t="shared" si="69"/>
        <v>1.0418053570413823</v>
      </c>
      <c r="Q292" s="32">
        <f t="shared" si="70"/>
        <v>-2.8088805663860001</v>
      </c>
      <c r="R292" s="32">
        <f t="shared" si="71"/>
        <v>1.0506390162289212</v>
      </c>
      <c r="S292" s="32">
        <f t="shared" si="72"/>
        <v>0.86866731645372819</v>
      </c>
      <c r="T292" s="32">
        <f t="shared" si="73"/>
        <v>0.81206041627470116</v>
      </c>
      <c r="U292" s="32">
        <f t="shared" si="74"/>
        <v>0.80563658408767735</v>
      </c>
      <c r="V292" s="37">
        <f t="shared" si="75"/>
        <v>-0.14118368156964053</v>
      </c>
      <c r="W292"/>
      <c r="AK292" s="45" t="s">
        <v>78</v>
      </c>
      <c r="AL292" s="45">
        <v>7</v>
      </c>
      <c r="AM292" s="45">
        <v>21</v>
      </c>
      <c r="AN292" s="45">
        <v>3</v>
      </c>
      <c r="AO292" s="45">
        <v>1.3333333329999999</v>
      </c>
      <c r="AP292" s="45"/>
      <c r="AQ292" s="45"/>
      <c r="AR292" s="45"/>
    </row>
    <row r="293" spans="1:44" x14ac:dyDescent="0.35">
      <c r="A293">
        <v>4</v>
      </c>
      <c r="B293">
        <v>1</v>
      </c>
      <c r="C293">
        <v>1</v>
      </c>
      <c r="D293">
        <v>1</v>
      </c>
      <c r="E293">
        <v>1</v>
      </c>
      <c r="F293">
        <v>5</v>
      </c>
      <c r="G293">
        <v>5</v>
      </c>
      <c r="H293" s="25">
        <f t="shared" si="61"/>
        <v>4</v>
      </c>
      <c r="I293" s="25">
        <f t="shared" si="62"/>
        <v>5</v>
      </c>
      <c r="J293" s="25">
        <f t="shared" si="63"/>
        <v>1</v>
      </c>
      <c r="K293" s="25">
        <f t="shared" si="64"/>
        <v>5</v>
      </c>
      <c r="L293" s="25">
        <f t="shared" si="65"/>
        <v>5</v>
      </c>
      <c r="M293" s="25">
        <f t="shared" si="66"/>
        <v>5</v>
      </c>
      <c r="N293" s="25">
        <f t="shared" si="67"/>
        <v>5</v>
      </c>
      <c r="O293" s="32">
        <f t="shared" si="68"/>
        <v>-5.6401471461296142E-2</v>
      </c>
      <c r="P293" s="32">
        <f t="shared" si="69"/>
        <v>1.0418053570413823</v>
      </c>
      <c r="Q293" s="32">
        <f t="shared" si="70"/>
        <v>-2.8088805663860001</v>
      </c>
      <c r="R293" s="32">
        <f t="shared" si="71"/>
        <v>1.0506390162289212</v>
      </c>
      <c r="S293" s="32">
        <f t="shared" si="72"/>
        <v>0.86866731645372819</v>
      </c>
      <c r="T293" s="32">
        <f t="shared" si="73"/>
        <v>0.81206041627470116</v>
      </c>
      <c r="U293" s="32">
        <f t="shared" si="74"/>
        <v>0.80563658408767735</v>
      </c>
      <c r="V293" s="37">
        <f t="shared" si="75"/>
        <v>0.24478952174844484</v>
      </c>
      <c r="W293"/>
      <c r="AK293" s="45" t="s">
        <v>78</v>
      </c>
      <c r="AL293" s="45">
        <v>7</v>
      </c>
      <c r="AM293" s="45">
        <v>30</v>
      </c>
      <c r="AN293" s="45">
        <v>4.2857142860000002</v>
      </c>
      <c r="AO293" s="45">
        <v>2.2380952380000001</v>
      </c>
      <c r="AP293" s="45"/>
      <c r="AQ293" s="45"/>
      <c r="AR293" s="45"/>
    </row>
    <row r="294" spans="1:44" x14ac:dyDescent="0.35">
      <c r="A294">
        <v>5</v>
      </c>
      <c r="B294">
        <v>1</v>
      </c>
      <c r="C294">
        <v>1</v>
      </c>
      <c r="D294">
        <v>1</v>
      </c>
      <c r="E294">
        <v>1</v>
      </c>
      <c r="F294">
        <v>5</v>
      </c>
      <c r="G294">
        <v>5</v>
      </c>
      <c r="H294" s="25">
        <f t="shared" si="61"/>
        <v>5</v>
      </c>
      <c r="I294" s="25">
        <f t="shared" si="62"/>
        <v>5</v>
      </c>
      <c r="J294" s="25">
        <f t="shared" si="63"/>
        <v>1</v>
      </c>
      <c r="K294" s="25">
        <f t="shared" si="64"/>
        <v>5</v>
      </c>
      <c r="L294" s="25">
        <f t="shared" si="65"/>
        <v>5</v>
      </c>
      <c r="M294" s="25">
        <f t="shared" si="66"/>
        <v>5</v>
      </c>
      <c r="N294" s="25">
        <f t="shared" si="67"/>
        <v>5</v>
      </c>
      <c r="O294" s="32">
        <f t="shared" si="68"/>
        <v>0.84420266961423651</v>
      </c>
      <c r="P294" s="32">
        <f t="shared" si="69"/>
        <v>1.0418053570413823</v>
      </c>
      <c r="Q294" s="32">
        <f t="shared" si="70"/>
        <v>-2.8088805663860001</v>
      </c>
      <c r="R294" s="32">
        <f t="shared" si="71"/>
        <v>1.0506390162289212</v>
      </c>
      <c r="S294" s="32">
        <f t="shared" si="72"/>
        <v>0.86866731645372819</v>
      </c>
      <c r="T294" s="32">
        <f t="shared" si="73"/>
        <v>0.81206041627470116</v>
      </c>
      <c r="U294" s="32">
        <f t="shared" si="74"/>
        <v>0.80563658408767735</v>
      </c>
      <c r="V294" s="37">
        <f t="shared" si="75"/>
        <v>0.37344725618780666</v>
      </c>
      <c r="W294"/>
      <c r="AK294" s="45" t="s">
        <v>78</v>
      </c>
      <c r="AL294" s="45">
        <v>7</v>
      </c>
      <c r="AM294" s="45">
        <v>30</v>
      </c>
      <c r="AN294" s="45">
        <v>4.2857142860000002</v>
      </c>
      <c r="AO294" s="45">
        <v>2.2380952380000001</v>
      </c>
      <c r="AP294" s="45"/>
      <c r="AQ294" s="45"/>
      <c r="AR294" s="45"/>
    </row>
    <row r="295" spans="1:44" x14ac:dyDescent="0.35">
      <c r="A295">
        <v>5</v>
      </c>
      <c r="B295">
        <v>1</v>
      </c>
      <c r="C295">
        <v>1</v>
      </c>
      <c r="D295">
        <v>1</v>
      </c>
      <c r="E295">
        <v>1</v>
      </c>
      <c r="F295">
        <v>5</v>
      </c>
      <c r="G295">
        <v>5</v>
      </c>
      <c r="H295" s="25">
        <f t="shared" si="61"/>
        <v>5</v>
      </c>
      <c r="I295" s="25">
        <f t="shared" si="62"/>
        <v>5</v>
      </c>
      <c r="J295" s="25">
        <f t="shared" si="63"/>
        <v>1</v>
      </c>
      <c r="K295" s="25">
        <f t="shared" si="64"/>
        <v>5</v>
      </c>
      <c r="L295" s="25">
        <f t="shared" si="65"/>
        <v>5</v>
      </c>
      <c r="M295" s="25">
        <f t="shared" si="66"/>
        <v>5</v>
      </c>
      <c r="N295" s="25">
        <f t="shared" si="67"/>
        <v>5</v>
      </c>
      <c r="O295" s="32">
        <f t="shared" si="68"/>
        <v>0.84420266961423651</v>
      </c>
      <c r="P295" s="32">
        <f t="shared" si="69"/>
        <v>1.0418053570413823</v>
      </c>
      <c r="Q295" s="32">
        <f t="shared" si="70"/>
        <v>-2.8088805663860001</v>
      </c>
      <c r="R295" s="32">
        <f t="shared" si="71"/>
        <v>1.0506390162289212</v>
      </c>
      <c r="S295" s="32">
        <f t="shared" si="72"/>
        <v>0.86866731645372819</v>
      </c>
      <c r="T295" s="32">
        <f t="shared" si="73"/>
        <v>0.81206041627470116</v>
      </c>
      <c r="U295" s="32">
        <f t="shared" si="74"/>
        <v>0.80563658408767735</v>
      </c>
      <c r="V295" s="37">
        <f t="shared" si="75"/>
        <v>0.37344725618780666</v>
      </c>
      <c r="W295"/>
      <c r="AK295" s="45" t="s">
        <v>78</v>
      </c>
      <c r="AL295" s="45">
        <v>7</v>
      </c>
      <c r="AM295" s="45">
        <v>27</v>
      </c>
      <c r="AN295" s="45">
        <v>3.8571428569999999</v>
      </c>
      <c r="AO295" s="45">
        <v>3.80952381</v>
      </c>
      <c r="AP295" s="45"/>
      <c r="AQ295" s="45"/>
      <c r="AR295" s="45"/>
    </row>
    <row r="296" spans="1:44" x14ac:dyDescent="0.35">
      <c r="A296">
        <v>5</v>
      </c>
      <c r="B296">
        <v>1</v>
      </c>
      <c r="C296">
        <v>1</v>
      </c>
      <c r="D296">
        <v>1</v>
      </c>
      <c r="E296">
        <v>1</v>
      </c>
      <c r="F296">
        <v>5</v>
      </c>
      <c r="G296">
        <v>5</v>
      </c>
      <c r="H296" s="25">
        <f t="shared" si="61"/>
        <v>5</v>
      </c>
      <c r="I296" s="25">
        <f t="shared" si="62"/>
        <v>5</v>
      </c>
      <c r="J296" s="25">
        <f t="shared" si="63"/>
        <v>1</v>
      </c>
      <c r="K296" s="25">
        <f t="shared" si="64"/>
        <v>5</v>
      </c>
      <c r="L296" s="25">
        <f t="shared" si="65"/>
        <v>5</v>
      </c>
      <c r="M296" s="25">
        <f t="shared" si="66"/>
        <v>5</v>
      </c>
      <c r="N296" s="25">
        <f t="shared" si="67"/>
        <v>5</v>
      </c>
      <c r="O296" s="32">
        <f t="shared" si="68"/>
        <v>0.84420266961423651</v>
      </c>
      <c r="P296" s="32">
        <f t="shared" si="69"/>
        <v>1.0418053570413823</v>
      </c>
      <c r="Q296" s="32">
        <f t="shared" si="70"/>
        <v>-2.8088805663860001</v>
      </c>
      <c r="R296" s="32">
        <f t="shared" si="71"/>
        <v>1.0506390162289212</v>
      </c>
      <c r="S296" s="32">
        <f t="shared" si="72"/>
        <v>0.86866731645372819</v>
      </c>
      <c r="T296" s="32">
        <f t="shared" si="73"/>
        <v>0.81206041627470116</v>
      </c>
      <c r="U296" s="32">
        <f t="shared" si="74"/>
        <v>0.80563658408767735</v>
      </c>
      <c r="V296" s="37">
        <f t="shared" si="75"/>
        <v>0.37344725618780666</v>
      </c>
      <c r="W296"/>
      <c r="AK296" s="45" t="s">
        <v>78</v>
      </c>
      <c r="AL296" s="45">
        <v>7</v>
      </c>
      <c r="AM296" s="45">
        <v>30</v>
      </c>
      <c r="AN296" s="45">
        <v>4.2857142860000002</v>
      </c>
      <c r="AO296" s="45">
        <v>2.2380952380000001</v>
      </c>
      <c r="AP296" s="45"/>
      <c r="AQ296" s="45"/>
      <c r="AR296" s="45"/>
    </row>
    <row r="297" spans="1:44" x14ac:dyDescent="0.35">
      <c r="A297">
        <v>1</v>
      </c>
      <c r="B297">
        <v>5</v>
      </c>
      <c r="C297">
        <v>1</v>
      </c>
      <c r="D297">
        <v>1</v>
      </c>
      <c r="E297">
        <v>1</v>
      </c>
      <c r="F297">
        <v>5</v>
      </c>
      <c r="G297">
        <v>5</v>
      </c>
      <c r="H297" s="25">
        <f t="shared" si="61"/>
        <v>1</v>
      </c>
      <c r="I297" s="25">
        <f t="shared" si="62"/>
        <v>1</v>
      </c>
      <c r="J297" s="25">
        <f t="shared" si="63"/>
        <v>1</v>
      </c>
      <c r="K297" s="25">
        <f t="shared" si="64"/>
        <v>5</v>
      </c>
      <c r="L297" s="25">
        <f t="shared" si="65"/>
        <v>5</v>
      </c>
      <c r="M297" s="25">
        <f t="shared" si="66"/>
        <v>5</v>
      </c>
      <c r="N297" s="25">
        <f t="shared" si="67"/>
        <v>5</v>
      </c>
      <c r="O297" s="32">
        <f t="shared" si="68"/>
        <v>-2.758213894687894</v>
      </c>
      <c r="P297" s="32">
        <f t="shared" si="69"/>
        <v>-2.0709827703610508</v>
      </c>
      <c r="Q297" s="32">
        <f t="shared" si="70"/>
        <v>-2.8088805663860001</v>
      </c>
      <c r="R297" s="32">
        <f t="shared" si="71"/>
        <v>1.0506390162289212</v>
      </c>
      <c r="S297" s="32">
        <f t="shared" si="72"/>
        <v>0.86866731645372819</v>
      </c>
      <c r="T297" s="32">
        <f t="shared" si="73"/>
        <v>0.81206041627470116</v>
      </c>
      <c r="U297" s="32">
        <f t="shared" si="74"/>
        <v>0.80563658408767735</v>
      </c>
      <c r="V297" s="37">
        <f t="shared" si="75"/>
        <v>-0.58586769976998809</v>
      </c>
      <c r="W297"/>
      <c r="AK297" s="45" t="s">
        <v>78</v>
      </c>
      <c r="AL297" s="45">
        <v>7</v>
      </c>
      <c r="AM297" s="45">
        <v>31</v>
      </c>
      <c r="AN297" s="45">
        <v>4.4285714289999998</v>
      </c>
      <c r="AO297" s="45">
        <v>2.2857142860000002</v>
      </c>
      <c r="AP297" s="45"/>
      <c r="AQ297" s="45"/>
      <c r="AR297" s="45"/>
    </row>
    <row r="298" spans="1:44" x14ac:dyDescent="0.35">
      <c r="A298">
        <v>5</v>
      </c>
      <c r="B298">
        <v>1</v>
      </c>
      <c r="C298">
        <v>2</v>
      </c>
      <c r="D298">
        <v>1</v>
      </c>
      <c r="E298">
        <v>1</v>
      </c>
      <c r="F298">
        <v>5</v>
      </c>
      <c r="G298">
        <v>5</v>
      </c>
      <c r="H298" s="25">
        <f t="shared" si="61"/>
        <v>5</v>
      </c>
      <c r="I298" s="25">
        <f t="shared" si="62"/>
        <v>5</v>
      </c>
      <c r="J298" s="25">
        <f t="shared" si="63"/>
        <v>2</v>
      </c>
      <c r="K298" s="25">
        <f t="shared" si="64"/>
        <v>5</v>
      </c>
      <c r="L298" s="25">
        <f t="shared" si="65"/>
        <v>5</v>
      </c>
      <c r="M298" s="25">
        <f t="shared" si="66"/>
        <v>5</v>
      </c>
      <c r="N298" s="25">
        <f t="shared" si="67"/>
        <v>5</v>
      </c>
      <c r="O298" s="32">
        <f t="shared" si="68"/>
        <v>0.84420266961423651</v>
      </c>
      <c r="P298" s="32">
        <f t="shared" si="69"/>
        <v>1.0418053570413823</v>
      </c>
      <c r="Q298" s="32">
        <f t="shared" si="70"/>
        <v>-1.904915094207053</v>
      </c>
      <c r="R298" s="32">
        <f t="shared" si="71"/>
        <v>1.0506390162289212</v>
      </c>
      <c r="S298" s="32">
        <f t="shared" si="72"/>
        <v>0.86866731645372819</v>
      </c>
      <c r="T298" s="32">
        <f t="shared" si="73"/>
        <v>0.81206041627470116</v>
      </c>
      <c r="U298" s="32">
        <f t="shared" si="74"/>
        <v>0.80563658408767735</v>
      </c>
      <c r="V298" s="37">
        <f t="shared" si="75"/>
        <v>0.50258518078479919</v>
      </c>
      <c r="W298"/>
      <c r="AK298" s="45" t="s">
        <v>78</v>
      </c>
      <c r="AL298" s="45">
        <v>7</v>
      </c>
      <c r="AM298" s="45">
        <v>31</v>
      </c>
      <c r="AN298" s="45">
        <v>4.4285714289999998</v>
      </c>
      <c r="AO298" s="45">
        <v>2.2857142860000002</v>
      </c>
      <c r="AP298" s="45"/>
      <c r="AQ298" s="45"/>
      <c r="AR298" s="45"/>
    </row>
    <row r="299" spans="1:44" x14ac:dyDescent="0.35">
      <c r="A299">
        <v>5</v>
      </c>
      <c r="B299">
        <v>5</v>
      </c>
      <c r="C299">
        <v>2</v>
      </c>
      <c r="D299">
        <v>1</v>
      </c>
      <c r="E299">
        <v>1</v>
      </c>
      <c r="F299">
        <v>5</v>
      </c>
      <c r="G299">
        <v>5</v>
      </c>
      <c r="H299" s="25">
        <f t="shared" si="61"/>
        <v>5</v>
      </c>
      <c r="I299" s="25">
        <f t="shared" si="62"/>
        <v>1</v>
      </c>
      <c r="J299" s="25">
        <f t="shared" si="63"/>
        <v>2</v>
      </c>
      <c r="K299" s="25">
        <f t="shared" si="64"/>
        <v>5</v>
      </c>
      <c r="L299" s="25">
        <f t="shared" si="65"/>
        <v>5</v>
      </c>
      <c r="M299" s="25">
        <f t="shared" si="66"/>
        <v>5</v>
      </c>
      <c r="N299" s="25">
        <f t="shared" si="67"/>
        <v>5</v>
      </c>
      <c r="O299" s="32">
        <f t="shared" si="68"/>
        <v>0.84420266961423651</v>
      </c>
      <c r="P299" s="32">
        <f t="shared" si="69"/>
        <v>-2.0709827703610508</v>
      </c>
      <c r="Q299" s="32">
        <f t="shared" si="70"/>
        <v>-1.904915094207053</v>
      </c>
      <c r="R299" s="32">
        <f t="shared" si="71"/>
        <v>1.0506390162289212</v>
      </c>
      <c r="S299" s="32">
        <f t="shared" si="72"/>
        <v>0.86866731645372819</v>
      </c>
      <c r="T299" s="32">
        <f t="shared" si="73"/>
        <v>0.81206041627470116</v>
      </c>
      <c r="U299" s="32">
        <f t="shared" si="74"/>
        <v>0.80563658408767735</v>
      </c>
      <c r="V299" s="37">
        <f t="shared" si="75"/>
        <v>5.7901162584451563E-2</v>
      </c>
      <c r="W299"/>
      <c r="AK299" s="45" t="s">
        <v>78</v>
      </c>
      <c r="AL299" s="45">
        <v>7</v>
      </c>
      <c r="AM299" s="45">
        <v>31</v>
      </c>
      <c r="AN299" s="45">
        <v>4.4285714289999998</v>
      </c>
      <c r="AO299" s="45">
        <v>2.2857142860000002</v>
      </c>
      <c r="AP299" s="45"/>
      <c r="AQ299" s="45"/>
      <c r="AR299" s="45"/>
    </row>
    <row r="300" spans="1:44" x14ac:dyDescent="0.35">
      <c r="A300">
        <v>5</v>
      </c>
      <c r="B300">
        <v>1</v>
      </c>
      <c r="C300">
        <v>3</v>
      </c>
      <c r="D300">
        <v>1</v>
      </c>
      <c r="E300">
        <v>1</v>
      </c>
      <c r="F300">
        <v>5</v>
      </c>
      <c r="G300">
        <v>5</v>
      </c>
      <c r="H300" s="25">
        <f t="shared" si="61"/>
        <v>5</v>
      </c>
      <c r="I300" s="25">
        <f t="shared" si="62"/>
        <v>5</v>
      </c>
      <c r="J300" s="25">
        <f t="shared" si="63"/>
        <v>3</v>
      </c>
      <c r="K300" s="25">
        <f t="shared" si="64"/>
        <v>5</v>
      </c>
      <c r="L300" s="25">
        <f t="shared" si="65"/>
        <v>5</v>
      </c>
      <c r="M300" s="25">
        <f t="shared" si="66"/>
        <v>5</v>
      </c>
      <c r="N300" s="25">
        <f t="shared" si="67"/>
        <v>5</v>
      </c>
      <c r="O300" s="32">
        <f t="shared" si="68"/>
        <v>0.84420266961423651</v>
      </c>
      <c r="P300" s="32">
        <f t="shared" si="69"/>
        <v>1.0418053570413823</v>
      </c>
      <c r="Q300" s="32">
        <f t="shared" si="70"/>
        <v>-1.0009496220281058</v>
      </c>
      <c r="R300" s="32">
        <f t="shared" si="71"/>
        <v>1.0506390162289212</v>
      </c>
      <c r="S300" s="32">
        <f t="shared" si="72"/>
        <v>0.86866731645372819</v>
      </c>
      <c r="T300" s="32">
        <f t="shared" si="73"/>
        <v>0.81206041627470116</v>
      </c>
      <c r="U300" s="32">
        <f t="shared" si="74"/>
        <v>0.80563658408767735</v>
      </c>
      <c r="V300" s="37">
        <f t="shared" si="75"/>
        <v>0.63172310538179155</v>
      </c>
      <c r="W300"/>
      <c r="AK300" s="45" t="s">
        <v>78</v>
      </c>
      <c r="AL300" s="45">
        <v>7</v>
      </c>
      <c r="AM300" s="45">
        <v>23</v>
      </c>
      <c r="AN300" s="45">
        <v>3.2857142860000002</v>
      </c>
      <c r="AO300" s="45">
        <v>4.5714285710000002</v>
      </c>
      <c r="AP300" s="45"/>
      <c r="AQ300" s="45"/>
      <c r="AR300" s="45"/>
    </row>
    <row r="301" spans="1:44" x14ac:dyDescent="0.35">
      <c r="A301">
        <v>5</v>
      </c>
      <c r="B301">
        <v>1</v>
      </c>
      <c r="C301">
        <v>3</v>
      </c>
      <c r="D301">
        <v>1</v>
      </c>
      <c r="E301">
        <v>1</v>
      </c>
      <c r="F301">
        <v>5</v>
      </c>
      <c r="G301">
        <v>5</v>
      </c>
      <c r="H301" s="25">
        <f t="shared" si="61"/>
        <v>5</v>
      </c>
      <c r="I301" s="25">
        <f t="shared" si="62"/>
        <v>5</v>
      </c>
      <c r="J301" s="25">
        <f t="shared" si="63"/>
        <v>3</v>
      </c>
      <c r="K301" s="25">
        <f t="shared" si="64"/>
        <v>5</v>
      </c>
      <c r="L301" s="25">
        <f t="shared" si="65"/>
        <v>5</v>
      </c>
      <c r="M301" s="25">
        <f t="shared" si="66"/>
        <v>5</v>
      </c>
      <c r="N301" s="25">
        <f t="shared" si="67"/>
        <v>5</v>
      </c>
      <c r="O301" s="32">
        <f t="shared" si="68"/>
        <v>0.84420266961423651</v>
      </c>
      <c r="P301" s="32">
        <f t="shared" si="69"/>
        <v>1.0418053570413823</v>
      </c>
      <c r="Q301" s="32">
        <f t="shared" si="70"/>
        <v>-1.0009496220281058</v>
      </c>
      <c r="R301" s="32">
        <f t="shared" si="71"/>
        <v>1.0506390162289212</v>
      </c>
      <c r="S301" s="32">
        <f t="shared" si="72"/>
        <v>0.86866731645372819</v>
      </c>
      <c r="T301" s="32">
        <f t="shared" si="73"/>
        <v>0.81206041627470116</v>
      </c>
      <c r="U301" s="32">
        <f t="shared" si="74"/>
        <v>0.80563658408767735</v>
      </c>
      <c r="V301" s="37">
        <f t="shared" si="75"/>
        <v>0.63172310538179155</v>
      </c>
      <c r="W301"/>
      <c r="AK301" s="45" t="s">
        <v>78</v>
      </c>
      <c r="AL301" s="45">
        <v>7</v>
      </c>
      <c r="AM301" s="45">
        <v>32</v>
      </c>
      <c r="AN301" s="45">
        <v>4.5714285710000002</v>
      </c>
      <c r="AO301" s="45">
        <v>1.2857142859999999</v>
      </c>
      <c r="AP301" s="45"/>
      <c r="AQ301" s="45"/>
      <c r="AR301" s="45"/>
    </row>
    <row r="302" spans="1:44" x14ac:dyDescent="0.35">
      <c r="A302">
        <v>5</v>
      </c>
      <c r="B302">
        <v>1</v>
      </c>
      <c r="C302">
        <v>3</v>
      </c>
      <c r="D302">
        <v>1</v>
      </c>
      <c r="E302">
        <v>1</v>
      </c>
      <c r="F302">
        <v>5</v>
      </c>
      <c r="G302">
        <v>5</v>
      </c>
      <c r="H302" s="25">
        <f t="shared" si="61"/>
        <v>5</v>
      </c>
      <c r="I302" s="25">
        <f t="shared" si="62"/>
        <v>5</v>
      </c>
      <c r="J302" s="25">
        <f t="shared" si="63"/>
        <v>3</v>
      </c>
      <c r="K302" s="25">
        <f t="shared" si="64"/>
        <v>5</v>
      </c>
      <c r="L302" s="25">
        <f t="shared" si="65"/>
        <v>5</v>
      </c>
      <c r="M302" s="25">
        <f t="shared" si="66"/>
        <v>5</v>
      </c>
      <c r="N302" s="25">
        <f t="shared" si="67"/>
        <v>5</v>
      </c>
      <c r="O302" s="32">
        <f t="shared" si="68"/>
        <v>0.84420266961423651</v>
      </c>
      <c r="P302" s="32">
        <f t="shared" si="69"/>
        <v>1.0418053570413823</v>
      </c>
      <c r="Q302" s="32">
        <f t="shared" si="70"/>
        <v>-1.0009496220281058</v>
      </c>
      <c r="R302" s="32">
        <f t="shared" si="71"/>
        <v>1.0506390162289212</v>
      </c>
      <c r="S302" s="32">
        <f t="shared" si="72"/>
        <v>0.86866731645372819</v>
      </c>
      <c r="T302" s="32">
        <f t="shared" si="73"/>
        <v>0.81206041627470116</v>
      </c>
      <c r="U302" s="32">
        <f t="shared" si="74"/>
        <v>0.80563658408767735</v>
      </c>
      <c r="V302" s="37">
        <f t="shared" si="75"/>
        <v>0.63172310538179155</v>
      </c>
      <c r="W302"/>
      <c r="AK302" s="45" t="s">
        <v>78</v>
      </c>
      <c r="AL302" s="45">
        <v>7</v>
      </c>
      <c r="AM302" s="45">
        <v>28</v>
      </c>
      <c r="AN302" s="45">
        <v>4</v>
      </c>
      <c r="AO302" s="45">
        <v>3</v>
      </c>
      <c r="AP302" s="45"/>
      <c r="AQ302" s="45"/>
      <c r="AR302" s="45"/>
    </row>
    <row r="303" spans="1:44" x14ac:dyDescent="0.35">
      <c r="A303">
        <v>4</v>
      </c>
      <c r="B303">
        <v>1</v>
      </c>
      <c r="C303">
        <v>4</v>
      </c>
      <c r="D303">
        <v>1</v>
      </c>
      <c r="E303">
        <v>1</v>
      </c>
      <c r="F303">
        <v>5</v>
      </c>
      <c r="G303">
        <v>5</v>
      </c>
      <c r="H303" s="25">
        <f t="shared" si="61"/>
        <v>4</v>
      </c>
      <c r="I303" s="25">
        <f t="shared" si="62"/>
        <v>5</v>
      </c>
      <c r="J303" s="25">
        <f t="shared" si="63"/>
        <v>4</v>
      </c>
      <c r="K303" s="25">
        <f t="shared" si="64"/>
        <v>5</v>
      </c>
      <c r="L303" s="25">
        <f t="shared" si="65"/>
        <v>5</v>
      </c>
      <c r="M303" s="25">
        <f t="shared" si="66"/>
        <v>5</v>
      </c>
      <c r="N303" s="25">
        <f t="shared" si="67"/>
        <v>5</v>
      </c>
      <c r="O303" s="32">
        <f t="shared" si="68"/>
        <v>-5.6401471461296142E-2</v>
      </c>
      <c r="P303" s="32">
        <f t="shared" si="69"/>
        <v>1.0418053570413823</v>
      </c>
      <c r="Q303" s="32">
        <f t="shared" si="70"/>
        <v>-9.6984149849158471E-2</v>
      </c>
      <c r="R303" s="32">
        <f t="shared" si="71"/>
        <v>1.0506390162289212</v>
      </c>
      <c r="S303" s="32">
        <f t="shared" si="72"/>
        <v>0.86866731645372819</v>
      </c>
      <c r="T303" s="32">
        <f t="shared" si="73"/>
        <v>0.81206041627470116</v>
      </c>
      <c r="U303" s="32">
        <f t="shared" si="74"/>
        <v>0.80563658408767735</v>
      </c>
      <c r="V303" s="37">
        <f t="shared" si="75"/>
        <v>0.63220329553942212</v>
      </c>
      <c r="W303"/>
      <c r="AK303" s="45" t="s">
        <v>78</v>
      </c>
      <c r="AL303" s="45">
        <v>7</v>
      </c>
      <c r="AM303" s="45">
        <v>33</v>
      </c>
      <c r="AN303" s="45">
        <v>4.7142857139999998</v>
      </c>
      <c r="AO303" s="45">
        <v>0.571428571</v>
      </c>
      <c r="AP303" s="45"/>
      <c r="AQ303" s="45"/>
      <c r="AR303" s="45"/>
    </row>
    <row r="304" spans="1:44" x14ac:dyDescent="0.35">
      <c r="A304">
        <v>5</v>
      </c>
      <c r="B304">
        <v>1</v>
      </c>
      <c r="C304">
        <v>4</v>
      </c>
      <c r="D304">
        <v>1</v>
      </c>
      <c r="E304">
        <v>1</v>
      </c>
      <c r="F304">
        <v>5</v>
      </c>
      <c r="G304">
        <v>5</v>
      </c>
      <c r="H304" s="25">
        <f t="shared" si="61"/>
        <v>5</v>
      </c>
      <c r="I304" s="25">
        <f t="shared" si="62"/>
        <v>5</v>
      </c>
      <c r="J304" s="25">
        <f t="shared" si="63"/>
        <v>4</v>
      </c>
      <c r="K304" s="25">
        <f t="shared" si="64"/>
        <v>5</v>
      </c>
      <c r="L304" s="25">
        <f t="shared" si="65"/>
        <v>5</v>
      </c>
      <c r="M304" s="25">
        <f t="shared" si="66"/>
        <v>5</v>
      </c>
      <c r="N304" s="25">
        <f t="shared" si="67"/>
        <v>5</v>
      </c>
      <c r="O304" s="32">
        <f t="shared" si="68"/>
        <v>0.84420266961423651</v>
      </c>
      <c r="P304" s="32">
        <f t="shared" si="69"/>
        <v>1.0418053570413823</v>
      </c>
      <c r="Q304" s="32">
        <f t="shared" si="70"/>
        <v>-9.6984149849158471E-2</v>
      </c>
      <c r="R304" s="32">
        <f t="shared" si="71"/>
        <v>1.0506390162289212</v>
      </c>
      <c r="S304" s="32">
        <f t="shared" si="72"/>
        <v>0.86866731645372819</v>
      </c>
      <c r="T304" s="32">
        <f t="shared" si="73"/>
        <v>0.81206041627470116</v>
      </c>
      <c r="U304" s="32">
        <f t="shared" si="74"/>
        <v>0.80563658408767735</v>
      </c>
      <c r="V304" s="37">
        <f t="shared" si="75"/>
        <v>0.76086102997878413</v>
      </c>
      <c r="W304"/>
      <c r="AK304" s="45" t="s">
        <v>78</v>
      </c>
      <c r="AL304" s="45">
        <v>7</v>
      </c>
      <c r="AM304" s="45">
        <v>33</v>
      </c>
      <c r="AN304" s="45">
        <v>4.7142857139999998</v>
      </c>
      <c r="AO304" s="45">
        <v>0.571428571</v>
      </c>
      <c r="AP304" s="45"/>
      <c r="AQ304" s="45"/>
      <c r="AR304" s="45"/>
    </row>
    <row r="305" spans="1:44" x14ac:dyDescent="0.35">
      <c r="A305">
        <v>5</v>
      </c>
      <c r="B305">
        <v>1</v>
      </c>
      <c r="C305">
        <v>4</v>
      </c>
      <c r="D305">
        <v>1</v>
      </c>
      <c r="E305">
        <v>1</v>
      </c>
      <c r="F305">
        <v>5</v>
      </c>
      <c r="G305">
        <v>5</v>
      </c>
      <c r="H305" s="25">
        <f t="shared" si="61"/>
        <v>5</v>
      </c>
      <c r="I305" s="25">
        <f t="shared" si="62"/>
        <v>5</v>
      </c>
      <c r="J305" s="25">
        <f t="shared" si="63"/>
        <v>4</v>
      </c>
      <c r="K305" s="25">
        <f t="shared" si="64"/>
        <v>5</v>
      </c>
      <c r="L305" s="25">
        <f t="shared" si="65"/>
        <v>5</v>
      </c>
      <c r="M305" s="25">
        <f t="shared" si="66"/>
        <v>5</v>
      </c>
      <c r="N305" s="25">
        <f t="shared" si="67"/>
        <v>5</v>
      </c>
      <c r="O305" s="32">
        <f t="shared" si="68"/>
        <v>0.84420266961423651</v>
      </c>
      <c r="P305" s="32">
        <f t="shared" si="69"/>
        <v>1.0418053570413823</v>
      </c>
      <c r="Q305" s="32">
        <f t="shared" si="70"/>
        <v>-9.6984149849158471E-2</v>
      </c>
      <c r="R305" s="32">
        <f t="shared" si="71"/>
        <v>1.0506390162289212</v>
      </c>
      <c r="S305" s="32">
        <f t="shared" si="72"/>
        <v>0.86866731645372819</v>
      </c>
      <c r="T305" s="32">
        <f t="shared" si="73"/>
        <v>0.81206041627470116</v>
      </c>
      <c r="U305" s="32">
        <f t="shared" si="74"/>
        <v>0.80563658408767735</v>
      </c>
      <c r="V305" s="37">
        <f t="shared" si="75"/>
        <v>0.76086102997878413</v>
      </c>
      <c r="W305"/>
      <c r="AK305" s="45" t="s">
        <v>78</v>
      </c>
      <c r="AL305" s="45">
        <v>7</v>
      </c>
      <c r="AM305" s="45">
        <v>33</v>
      </c>
      <c r="AN305" s="45">
        <v>4.7142857139999998</v>
      </c>
      <c r="AO305" s="45">
        <v>0.571428571</v>
      </c>
      <c r="AP305" s="45"/>
      <c r="AQ305" s="45"/>
      <c r="AR305" s="45"/>
    </row>
    <row r="306" spans="1:44" x14ac:dyDescent="0.35">
      <c r="A306">
        <v>5</v>
      </c>
      <c r="B306">
        <v>1</v>
      </c>
      <c r="C306">
        <v>4</v>
      </c>
      <c r="D306">
        <v>1</v>
      </c>
      <c r="E306">
        <v>1</v>
      </c>
      <c r="F306">
        <v>5</v>
      </c>
      <c r="G306">
        <v>5</v>
      </c>
      <c r="H306" s="25">
        <f t="shared" si="61"/>
        <v>5</v>
      </c>
      <c r="I306" s="25">
        <f t="shared" si="62"/>
        <v>5</v>
      </c>
      <c r="J306" s="25">
        <f t="shared" si="63"/>
        <v>4</v>
      </c>
      <c r="K306" s="25">
        <f t="shared" si="64"/>
        <v>5</v>
      </c>
      <c r="L306" s="25">
        <f t="shared" si="65"/>
        <v>5</v>
      </c>
      <c r="M306" s="25">
        <f t="shared" si="66"/>
        <v>5</v>
      </c>
      <c r="N306" s="25">
        <f t="shared" si="67"/>
        <v>5</v>
      </c>
      <c r="O306" s="32">
        <f t="shared" si="68"/>
        <v>0.84420266961423651</v>
      </c>
      <c r="P306" s="32">
        <f t="shared" si="69"/>
        <v>1.0418053570413823</v>
      </c>
      <c r="Q306" s="32">
        <f t="shared" si="70"/>
        <v>-9.6984149849158471E-2</v>
      </c>
      <c r="R306" s="32">
        <f t="shared" si="71"/>
        <v>1.0506390162289212</v>
      </c>
      <c r="S306" s="32">
        <f t="shared" si="72"/>
        <v>0.86866731645372819</v>
      </c>
      <c r="T306" s="32">
        <f t="shared" si="73"/>
        <v>0.81206041627470116</v>
      </c>
      <c r="U306" s="32">
        <f t="shared" si="74"/>
        <v>0.80563658408767735</v>
      </c>
      <c r="V306" s="37">
        <f t="shared" si="75"/>
        <v>0.76086102997878413</v>
      </c>
      <c r="W306"/>
      <c r="AK306" s="45" t="s">
        <v>78</v>
      </c>
      <c r="AL306" s="45">
        <v>7</v>
      </c>
      <c r="AM306" s="45">
        <v>33</v>
      </c>
      <c r="AN306" s="45">
        <v>4.7142857139999998</v>
      </c>
      <c r="AO306" s="45">
        <v>0.23809523799999999</v>
      </c>
      <c r="AP306" s="45"/>
      <c r="AQ306" s="45"/>
      <c r="AR306" s="45"/>
    </row>
    <row r="307" spans="1:44" x14ac:dyDescent="0.35">
      <c r="A307">
        <v>4</v>
      </c>
      <c r="B307">
        <v>2</v>
      </c>
      <c r="C307">
        <v>4</v>
      </c>
      <c r="D307">
        <v>1</v>
      </c>
      <c r="E307">
        <v>1</v>
      </c>
      <c r="F307">
        <v>5</v>
      </c>
      <c r="G307">
        <v>5</v>
      </c>
      <c r="H307" s="25">
        <f t="shared" si="61"/>
        <v>4</v>
      </c>
      <c r="I307" s="25">
        <f t="shared" si="62"/>
        <v>4</v>
      </c>
      <c r="J307" s="25">
        <f t="shared" si="63"/>
        <v>4</v>
      </c>
      <c r="K307" s="25">
        <f t="shared" si="64"/>
        <v>5</v>
      </c>
      <c r="L307" s="25">
        <f t="shared" si="65"/>
        <v>5</v>
      </c>
      <c r="M307" s="25">
        <f t="shared" si="66"/>
        <v>5</v>
      </c>
      <c r="N307" s="25">
        <f t="shared" si="67"/>
        <v>5</v>
      </c>
      <c r="O307" s="32">
        <f t="shared" si="68"/>
        <v>-5.6401471461296142E-2</v>
      </c>
      <c r="P307" s="32">
        <f t="shared" si="69"/>
        <v>0.26360832519077404</v>
      </c>
      <c r="Q307" s="32">
        <f t="shared" si="70"/>
        <v>-9.6984149849158471E-2</v>
      </c>
      <c r="R307" s="32">
        <f t="shared" si="71"/>
        <v>1.0506390162289212</v>
      </c>
      <c r="S307" s="32">
        <f t="shared" si="72"/>
        <v>0.86866731645372819</v>
      </c>
      <c r="T307" s="32">
        <f t="shared" si="73"/>
        <v>0.81206041627470116</v>
      </c>
      <c r="U307" s="32">
        <f t="shared" si="74"/>
        <v>0.80563658408767735</v>
      </c>
      <c r="V307" s="37">
        <f t="shared" si="75"/>
        <v>0.52103229098933534</v>
      </c>
      <c r="W307"/>
      <c r="AK307" s="45" t="s">
        <v>78</v>
      </c>
      <c r="AL307" s="45">
        <v>7</v>
      </c>
      <c r="AM307" s="45">
        <v>34</v>
      </c>
      <c r="AN307" s="45">
        <v>4.8571428570000004</v>
      </c>
      <c r="AO307" s="45">
        <v>0.14285714299999999</v>
      </c>
      <c r="AP307" s="45"/>
      <c r="AQ307" s="45"/>
      <c r="AR307" s="45"/>
    </row>
    <row r="308" spans="1:44" x14ac:dyDescent="0.35">
      <c r="A308">
        <v>5</v>
      </c>
      <c r="B308">
        <v>2</v>
      </c>
      <c r="C308">
        <v>4</v>
      </c>
      <c r="D308">
        <v>1</v>
      </c>
      <c r="E308">
        <v>1</v>
      </c>
      <c r="F308">
        <v>5</v>
      </c>
      <c r="G308">
        <v>5</v>
      </c>
      <c r="H308" s="25">
        <f t="shared" si="61"/>
        <v>5</v>
      </c>
      <c r="I308" s="25">
        <f t="shared" si="62"/>
        <v>4</v>
      </c>
      <c r="J308" s="25">
        <f t="shared" si="63"/>
        <v>4</v>
      </c>
      <c r="K308" s="25">
        <f t="shared" si="64"/>
        <v>5</v>
      </c>
      <c r="L308" s="25">
        <f t="shared" si="65"/>
        <v>5</v>
      </c>
      <c r="M308" s="25">
        <f t="shared" si="66"/>
        <v>5</v>
      </c>
      <c r="N308" s="25">
        <f t="shared" si="67"/>
        <v>5</v>
      </c>
      <c r="O308" s="32">
        <f t="shared" si="68"/>
        <v>0.84420266961423651</v>
      </c>
      <c r="P308" s="32">
        <f t="shared" si="69"/>
        <v>0.26360832519077404</v>
      </c>
      <c r="Q308" s="32">
        <f t="shared" si="70"/>
        <v>-9.6984149849158471E-2</v>
      </c>
      <c r="R308" s="32">
        <f t="shared" si="71"/>
        <v>1.0506390162289212</v>
      </c>
      <c r="S308" s="32">
        <f t="shared" si="72"/>
        <v>0.86866731645372819</v>
      </c>
      <c r="T308" s="32">
        <f t="shared" si="73"/>
        <v>0.81206041627470116</v>
      </c>
      <c r="U308" s="32">
        <f t="shared" si="74"/>
        <v>0.80563658408767735</v>
      </c>
      <c r="V308" s="37">
        <f t="shared" si="75"/>
        <v>0.64969002542869714</v>
      </c>
      <c r="W308"/>
      <c r="AK308" s="45" t="s">
        <v>78</v>
      </c>
      <c r="AL308" s="45">
        <v>7</v>
      </c>
      <c r="AM308" s="45">
        <v>34</v>
      </c>
      <c r="AN308" s="45">
        <v>4.8571428570000004</v>
      </c>
      <c r="AO308" s="45">
        <v>0.14285714299999999</v>
      </c>
      <c r="AP308" s="45"/>
      <c r="AQ308" s="45"/>
      <c r="AR308" s="45"/>
    </row>
    <row r="309" spans="1:44" x14ac:dyDescent="0.35">
      <c r="A309">
        <v>5</v>
      </c>
      <c r="B309">
        <v>2</v>
      </c>
      <c r="C309">
        <v>4</v>
      </c>
      <c r="D309">
        <v>1</v>
      </c>
      <c r="E309">
        <v>1</v>
      </c>
      <c r="F309">
        <v>5</v>
      </c>
      <c r="G309">
        <v>5</v>
      </c>
      <c r="H309" s="25">
        <f t="shared" si="61"/>
        <v>5</v>
      </c>
      <c r="I309" s="25">
        <f t="shared" si="62"/>
        <v>4</v>
      </c>
      <c r="J309" s="25">
        <f t="shared" si="63"/>
        <v>4</v>
      </c>
      <c r="K309" s="25">
        <f t="shared" si="64"/>
        <v>5</v>
      </c>
      <c r="L309" s="25">
        <f t="shared" si="65"/>
        <v>5</v>
      </c>
      <c r="M309" s="25">
        <f t="shared" si="66"/>
        <v>5</v>
      </c>
      <c r="N309" s="25">
        <f t="shared" si="67"/>
        <v>5</v>
      </c>
      <c r="O309" s="32">
        <f t="shared" si="68"/>
        <v>0.84420266961423651</v>
      </c>
      <c r="P309" s="32">
        <f t="shared" si="69"/>
        <v>0.26360832519077404</v>
      </c>
      <c r="Q309" s="32">
        <f t="shared" si="70"/>
        <v>-9.6984149849158471E-2</v>
      </c>
      <c r="R309" s="32">
        <f t="shared" si="71"/>
        <v>1.0506390162289212</v>
      </c>
      <c r="S309" s="32">
        <f t="shared" si="72"/>
        <v>0.86866731645372819</v>
      </c>
      <c r="T309" s="32">
        <f t="shared" si="73"/>
        <v>0.81206041627470116</v>
      </c>
      <c r="U309" s="32">
        <f t="shared" si="74"/>
        <v>0.80563658408767735</v>
      </c>
      <c r="V309" s="37">
        <f t="shared" si="75"/>
        <v>0.64969002542869714</v>
      </c>
      <c r="W309"/>
      <c r="AK309" s="45" t="s">
        <v>78</v>
      </c>
      <c r="AL309" s="45">
        <v>7</v>
      </c>
      <c r="AM309" s="45">
        <v>34</v>
      </c>
      <c r="AN309" s="45">
        <v>4.8571428570000004</v>
      </c>
      <c r="AO309" s="45">
        <v>0.14285714299999999</v>
      </c>
      <c r="AP309" s="45"/>
      <c r="AQ309" s="45"/>
      <c r="AR309" s="45"/>
    </row>
    <row r="310" spans="1:44" x14ac:dyDescent="0.35">
      <c r="A310">
        <v>5</v>
      </c>
      <c r="B310">
        <v>3</v>
      </c>
      <c r="C310">
        <v>4</v>
      </c>
      <c r="D310">
        <v>1</v>
      </c>
      <c r="E310">
        <v>1</v>
      </c>
      <c r="F310">
        <v>5</v>
      </c>
      <c r="G310">
        <v>5</v>
      </c>
      <c r="H310" s="25">
        <f t="shared" si="61"/>
        <v>5</v>
      </c>
      <c r="I310" s="25">
        <f t="shared" si="62"/>
        <v>3</v>
      </c>
      <c r="J310" s="25">
        <f t="shared" si="63"/>
        <v>4</v>
      </c>
      <c r="K310" s="25">
        <f t="shared" si="64"/>
        <v>5</v>
      </c>
      <c r="L310" s="25">
        <f t="shared" si="65"/>
        <v>5</v>
      </c>
      <c r="M310" s="25">
        <f t="shared" si="66"/>
        <v>5</v>
      </c>
      <c r="N310" s="25">
        <f t="shared" si="67"/>
        <v>5</v>
      </c>
      <c r="O310" s="32">
        <f t="shared" si="68"/>
        <v>0.84420266961423651</v>
      </c>
      <c r="P310" s="32">
        <f t="shared" si="69"/>
        <v>-0.51458870665983425</v>
      </c>
      <c r="Q310" s="32">
        <f t="shared" si="70"/>
        <v>-9.6984149849158471E-2</v>
      </c>
      <c r="R310" s="32">
        <f t="shared" si="71"/>
        <v>1.0506390162289212</v>
      </c>
      <c r="S310" s="32">
        <f t="shared" si="72"/>
        <v>0.86866731645372819</v>
      </c>
      <c r="T310" s="32">
        <f t="shared" si="73"/>
        <v>0.81206041627470116</v>
      </c>
      <c r="U310" s="32">
        <f t="shared" si="74"/>
        <v>0.80563658408767735</v>
      </c>
      <c r="V310" s="37">
        <f t="shared" si="75"/>
        <v>0.53851902087861014</v>
      </c>
      <c r="W310"/>
      <c r="AK310" s="45" t="s">
        <v>78</v>
      </c>
      <c r="AL310" s="45">
        <v>7</v>
      </c>
      <c r="AM310" s="45">
        <v>32</v>
      </c>
      <c r="AN310" s="45">
        <v>4.5714285710000002</v>
      </c>
      <c r="AO310" s="45">
        <v>0.28571428599999998</v>
      </c>
      <c r="AP310" s="45"/>
      <c r="AQ310" s="45"/>
      <c r="AR310" s="45"/>
    </row>
    <row r="311" spans="1:44" x14ac:dyDescent="0.35">
      <c r="A311">
        <v>5</v>
      </c>
      <c r="B311">
        <v>4</v>
      </c>
      <c r="C311">
        <v>4</v>
      </c>
      <c r="D311">
        <v>1</v>
      </c>
      <c r="E311">
        <v>1</v>
      </c>
      <c r="F311">
        <v>5</v>
      </c>
      <c r="G311">
        <v>5</v>
      </c>
      <c r="H311" s="25">
        <f t="shared" si="61"/>
        <v>5</v>
      </c>
      <c r="I311" s="25">
        <f t="shared" si="62"/>
        <v>2</v>
      </c>
      <c r="J311" s="25">
        <f t="shared" si="63"/>
        <v>4</v>
      </c>
      <c r="K311" s="25">
        <f t="shared" si="64"/>
        <v>5</v>
      </c>
      <c r="L311" s="25">
        <f t="shared" si="65"/>
        <v>5</v>
      </c>
      <c r="M311" s="25">
        <f t="shared" si="66"/>
        <v>5</v>
      </c>
      <c r="N311" s="25">
        <f t="shared" si="67"/>
        <v>5</v>
      </c>
      <c r="O311" s="32">
        <f t="shared" si="68"/>
        <v>0.84420266961423651</v>
      </c>
      <c r="P311" s="32">
        <f t="shared" si="69"/>
        <v>-1.2927857385104427</v>
      </c>
      <c r="Q311" s="32">
        <f t="shared" si="70"/>
        <v>-9.6984149849158471E-2</v>
      </c>
      <c r="R311" s="32">
        <f t="shared" si="71"/>
        <v>1.0506390162289212</v>
      </c>
      <c r="S311" s="32">
        <f t="shared" si="72"/>
        <v>0.86866731645372819</v>
      </c>
      <c r="T311" s="32">
        <f t="shared" si="73"/>
        <v>0.81206041627470116</v>
      </c>
      <c r="U311" s="32">
        <f t="shared" si="74"/>
        <v>0.80563658408767735</v>
      </c>
      <c r="V311" s="37">
        <f t="shared" si="75"/>
        <v>0.42734801632852332</v>
      </c>
      <c r="W311"/>
      <c r="AK311" s="45" t="s">
        <v>78</v>
      </c>
      <c r="AL311" s="45">
        <v>7</v>
      </c>
      <c r="AM311" s="45">
        <v>33</v>
      </c>
      <c r="AN311" s="45">
        <v>4.7142857139999998</v>
      </c>
      <c r="AO311" s="45">
        <v>0.23809523799999999</v>
      </c>
      <c r="AP311" s="45"/>
      <c r="AQ311" s="45"/>
      <c r="AR311" s="45"/>
    </row>
    <row r="312" spans="1:44" x14ac:dyDescent="0.35">
      <c r="A312">
        <v>1</v>
      </c>
      <c r="B312">
        <v>1</v>
      </c>
      <c r="C312">
        <v>5</v>
      </c>
      <c r="D312">
        <v>1</v>
      </c>
      <c r="E312">
        <v>1</v>
      </c>
      <c r="F312">
        <v>5</v>
      </c>
      <c r="G312">
        <v>5</v>
      </c>
      <c r="H312" s="25">
        <f t="shared" si="61"/>
        <v>1</v>
      </c>
      <c r="I312" s="25">
        <f t="shared" si="62"/>
        <v>5</v>
      </c>
      <c r="J312" s="25">
        <f t="shared" si="63"/>
        <v>5</v>
      </c>
      <c r="K312" s="25">
        <f t="shared" si="64"/>
        <v>5</v>
      </c>
      <c r="L312" s="25">
        <f t="shared" si="65"/>
        <v>5</v>
      </c>
      <c r="M312" s="25">
        <f t="shared" si="66"/>
        <v>5</v>
      </c>
      <c r="N312" s="25">
        <f t="shared" si="67"/>
        <v>5</v>
      </c>
      <c r="O312" s="32">
        <f t="shared" si="68"/>
        <v>-2.758213894687894</v>
      </c>
      <c r="P312" s="32">
        <f t="shared" si="69"/>
        <v>1.0418053570413823</v>
      </c>
      <c r="Q312" s="32">
        <f t="shared" si="70"/>
        <v>0.80698132232978881</v>
      </c>
      <c r="R312" s="32">
        <f t="shared" si="71"/>
        <v>1.0506390162289212</v>
      </c>
      <c r="S312" s="32">
        <f t="shared" si="72"/>
        <v>0.86866731645372819</v>
      </c>
      <c r="T312" s="32">
        <f t="shared" si="73"/>
        <v>0.81206041627470116</v>
      </c>
      <c r="U312" s="32">
        <f t="shared" si="74"/>
        <v>0.80563658408767735</v>
      </c>
      <c r="V312" s="37">
        <f t="shared" si="75"/>
        <v>0.37536801681832926</v>
      </c>
      <c r="W312"/>
      <c r="AK312" s="45" t="s">
        <v>78</v>
      </c>
      <c r="AL312" s="45">
        <v>7</v>
      </c>
      <c r="AM312" s="45">
        <v>33</v>
      </c>
      <c r="AN312" s="45">
        <v>4.7142857139999998</v>
      </c>
      <c r="AO312" s="45">
        <v>0.23809523799999999</v>
      </c>
      <c r="AP312" s="45"/>
      <c r="AQ312" s="45"/>
      <c r="AR312" s="45"/>
    </row>
    <row r="313" spans="1:44" x14ac:dyDescent="0.35">
      <c r="A313">
        <v>1</v>
      </c>
      <c r="B313">
        <v>1</v>
      </c>
      <c r="C313">
        <v>5</v>
      </c>
      <c r="D313">
        <v>1</v>
      </c>
      <c r="E313">
        <v>1</v>
      </c>
      <c r="F313">
        <v>5</v>
      </c>
      <c r="G313">
        <v>5</v>
      </c>
      <c r="H313" s="25">
        <f t="shared" si="61"/>
        <v>1</v>
      </c>
      <c r="I313" s="25">
        <f t="shared" si="62"/>
        <v>5</v>
      </c>
      <c r="J313" s="25">
        <f t="shared" si="63"/>
        <v>5</v>
      </c>
      <c r="K313" s="25">
        <f t="shared" si="64"/>
        <v>5</v>
      </c>
      <c r="L313" s="25">
        <f t="shared" si="65"/>
        <v>5</v>
      </c>
      <c r="M313" s="25">
        <f t="shared" si="66"/>
        <v>5</v>
      </c>
      <c r="N313" s="25">
        <f t="shared" si="67"/>
        <v>5</v>
      </c>
      <c r="O313" s="32">
        <f t="shared" si="68"/>
        <v>-2.758213894687894</v>
      </c>
      <c r="P313" s="32">
        <f t="shared" si="69"/>
        <v>1.0418053570413823</v>
      </c>
      <c r="Q313" s="32">
        <f t="shared" si="70"/>
        <v>0.80698132232978881</v>
      </c>
      <c r="R313" s="32">
        <f t="shared" si="71"/>
        <v>1.0506390162289212</v>
      </c>
      <c r="S313" s="32">
        <f t="shared" si="72"/>
        <v>0.86866731645372819</v>
      </c>
      <c r="T313" s="32">
        <f t="shared" si="73"/>
        <v>0.81206041627470116</v>
      </c>
      <c r="U313" s="32">
        <f t="shared" si="74"/>
        <v>0.80563658408767735</v>
      </c>
      <c r="V313" s="37">
        <f t="shared" si="75"/>
        <v>0.37536801681832926</v>
      </c>
      <c r="W313"/>
      <c r="AK313" s="45" t="s">
        <v>78</v>
      </c>
      <c r="AL313" s="45">
        <v>7</v>
      </c>
      <c r="AM313" s="45">
        <v>32</v>
      </c>
      <c r="AN313" s="45">
        <v>4.5714285710000002</v>
      </c>
      <c r="AO313" s="45">
        <v>0.61904761900000005</v>
      </c>
      <c r="AP313" s="45"/>
      <c r="AQ313" s="45"/>
      <c r="AR313" s="45"/>
    </row>
    <row r="314" spans="1:44" x14ac:dyDescent="0.35">
      <c r="A314">
        <v>3</v>
      </c>
      <c r="B314">
        <v>1</v>
      </c>
      <c r="C314">
        <v>5</v>
      </c>
      <c r="D314">
        <v>1</v>
      </c>
      <c r="E314">
        <v>1</v>
      </c>
      <c r="F314">
        <v>5</v>
      </c>
      <c r="G314">
        <v>5</v>
      </c>
      <c r="H314" s="25">
        <f t="shared" si="61"/>
        <v>3</v>
      </c>
      <c r="I314" s="25">
        <f t="shared" si="62"/>
        <v>5</v>
      </c>
      <c r="J314" s="25">
        <f t="shared" si="63"/>
        <v>5</v>
      </c>
      <c r="K314" s="25">
        <f t="shared" si="64"/>
        <v>5</v>
      </c>
      <c r="L314" s="25">
        <f t="shared" si="65"/>
        <v>5</v>
      </c>
      <c r="M314" s="25">
        <f t="shared" si="66"/>
        <v>5</v>
      </c>
      <c r="N314" s="25">
        <f t="shared" si="67"/>
        <v>5</v>
      </c>
      <c r="O314" s="32">
        <f t="shared" si="68"/>
        <v>-0.95700561253682881</v>
      </c>
      <c r="P314" s="32">
        <f t="shared" si="69"/>
        <v>1.0418053570413823</v>
      </c>
      <c r="Q314" s="32">
        <f t="shared" si="70"/>
        <v>0.80698132232978881</v>
      </c>
      <c r="R314" s="32">
        <f t="shared" si="71"/>
        <v>1.0506390162289212</v>
      </c>
      <c r="S314" s="32">
        <f t="shared" si="72"/>
        <v>0.86866731645372819</v>
      </c>
      <c r="T314" s="32">
        <f t="shared" si="73"/>
        <v>0.81206041627470116</v>
      </c>
      <c r="U314" s="32">
        <f t="shared" si="74"/>
        <v>0.80563658408767735</v>
      </c>
      <c r="V314" s="37">
        <f t="shared" si="75"/>
        <v>0.63268348569705279</v>
      </c>
      <c r="W314"/>
      <c r="AK314" s="45" t="s">
        <v>78</v>
      </c>
      <c r="AL314" s="45">
        <v>7</v>
      </c>
      <c r="AM314" s="45">
        <v>31</v>
      </c>
      <c r="AN314" s="45">
        <v>4.4285714289999998</v>
      </c>
      <c r="AO314" s="45">
        <v>1.2857142859999999</v>
      </c>
      <c r="AP314" s="45"/>
      <c r="AQ314" s="45"/>
      <c r="AR314" s="45"/>
    </row>
    <row r="315" spans="1:44" x14ac:dyDescent="0.35">
      <c r="A315">
        <v>4</v>
      </c>
      <c r="B315">
        <v>1</v>
      </c>
      <c r="C315">
        <v>5</v>
      </c>
      <c r="D315">
        <v>1</v>
      </c>
      <c r="E315">
        <v>1</v>
      </c>
      <c r="F315">
        <v>5</v>
      </c>
      <c r="G315">
        <v>5</v>
      </c>
      <c r="H315" s="25">
        <f t="shared" si="61"/>
        <v>4</v>
      </c>
      <c r="I315" s="25">
        <f t="shared" si="62"/>
        <v>5</v>
      </c>
      <c r="J315" s="25">
        <f t="shared" si="63"/>
        <v>5</v>
      </c>
      <c r="K315" s="25">
        <f t="shared" si="64"/>
        <v>5</v>
      </c>
      <c r="L315" s="25">
        <f t="shared" si="65"/>
        <v>5</v>
      </c>
      <c r="M315" s="25">
        <f t="shared" si="66"/>
        <v>5</v>
      </c>
      <c r="N315" s="25">
        <f t="shared" si="67"/>
        <v>5</v>
      </c>
      <c r="O315" s="32">
        <f t="shared" si="68"/>
        <v>-5.6401471461296142E-2</v>
      </c>
      <c r="P315" s="32">
        <f t="shared" si="69"/>
        <v>1.0418053570413823</v>
      </c>
      <c r="Q315" s="32">
        <f t="shared" si="70"/>
        <v>0.80698132232978881</v>
      </c>
      <c r="R315" s="32">
        <f t="shared" si="71"/>
        <v>1.0506390162289212</v>
      </c>
      <c r="S315" s="32">
        <f t="shared" si="72"/>
        <v>0.86866731645372819</v>
      </c>
      <c r="T315" s="32">
        <f t="shared" si="73"/>
        <v>0.81206041627470116</v>
      </c>
      <c r="U315" s="32">
        <f t="shared" si="74"/>
        <v>0.80563658408767735</v>
      </c>
      <c r="V315" s="37">
        <f t="shared" si="75"/>
        <v>0.76134122013641481</v>
      </c>
      <c r="W315"/>
      <c r="AK315" s="45" t="s">
        <v>78</v>
      </c>
      <c r="AL315" s="45">
        <v>7</v>
      </c>
      <c r="AM315" s="45">
        <v>31</v>
      </c>
      <c r="AN315" s="45">
        <v>4.4285714289999998</v>
      </c>
      <c r="AO315" s="45">
        <v>2.2857142860000002</v>
      </c>
      <c r="AP315" s="45"/>
      <c r="AQ315" s="45"/>
      <c r="AR315" s="45"/>
    </row>
    <row r="316" spans="1:44" x14ac:dyDescent="0.35">
      <c r="A316">
        <v>4</v>
      </c>
      <c r="B316">
        <v>1</v>
      </c>
      <c r="C316">
        <v>5</v>
      </c>
      <c r="D316">
        <v>1</v>
      </c>
      <c r="E316">
        <v>1</v>
      </c>
      <c r="F316">
        <v>5</v>
      </c>
      <c r="G316">
        <v>5</v>
      </c>
      <c r="H316" s="25">
        <f t="shared" si="61"/>
        <v>4</v>
      </c>
      <c r="I316" s="25">
        <f t="shared" si="62"/>
        <v>5</v>
      </c>
      <c r="J316" s="25">
        <f t="shared" si="63"/>
        <v>5</v>
      </c>
      <c r="K316" s="25">
        <f t="shared" si="64"/>
        <v>5</v>
      </c>
      <c r="L316" s="25">
        <f t="shared" si="65"/>
        <v>5</v>
      </c>
      <c r="M316" s="25">
        <f t="shared" si="66"/>
        <v>5</v>
      </c>
      <c r="N316" s="25">
        <f t="shared" si="67"/>
        <v>5</v>
      </c>
      <c r="O316" s="32">
        <f t="shared" si="68"/>
        <v>-5.6401471461296142E-2</v>
      </c>
      <c r="P316" s="32">
        <f t="shared" si="69"/>
        <v>1.0418053570413823</v>
      </c>
      <c r="Q316" s="32">
        <f t="shared" si="70"/>
        <v>0.80698132232978881</v>
      </c>
      <c r="R316" s="32">
        <f t="shared" si="71"/>
        <v>1.0506390162289212</v>
      </c>
      <c r="S316" s="32">
        <f t="shared" si="72"/>
        <v>0.86866731645372819</v>
      </c>
      <c r="T316" s="32">
        <f t="shared" si="73"/>
        <v>0.81206041627470116</v>
      </c>
      <c r="U316" s="32">
        <f t="shared" si="74"/>
        <v>0.80563658408767735</v>
      </c>
      <c r="V316" s="37">
        <f t="shared" si="75"/>
        <v>0.76134122013641481</v>
      </c>
      <c r="W316"/>
      <c r="AK316" s="45" t="s">
        <v>78</v>
      </c>
      <c r="AL316" s="45">
        <v>7</v>
      </c>
      <c r="AM316" s="45">
        <v>31</v>
      </c>
      <c r="AN316" s="45">
        <v>4.4285714289999998</v>
      </c>
      <c r="AO316" s="45">
        <v>2.2857142860000002</v>
      </c>
      <c r="AP316" s="45"/>
      <c r="AQ316" s="45"/>
      <c r="AR316" s="45"/>
    </row>
    <row r="317" spans="1:44" x14ac:dyDescent="0.35">
      <c r="A317">
        <v>5</v>
      </c>
      <c r="B317">
        <v>1</v>
      </c>
      <c r="C317">
        <v>5</v>
      </c>
      <c r="D317">
        <v>1</v>
      </c>
      <c r="E317">
        <v>1</v>
      </c>
      <c r="F317">
        <v>5</v>
      </c>
      <c r="G317">
        <v>5</v>
      </c>
      <c r="H317" s="25">
        <f t="shared" si="61"/>
        <v>5</v>
      </c>
      <c r="I317" s="25">
        <f t="shared" si="62"/>
        <v>5</v>
      </c>
      <c r="J317" s="25">
        <f t="shared" si="63"/>
        <v>5</v>
      </c>
      <c r="K317" s="25">
        <f t="shared" si="64"/>
        <v>5</v>
      </c>
      <c r="L317" s="25">
        <f t="shared" si="65"/>
        <v>5</v>
      </c>
      <c r="M317" s="25">
        <f t="shared" si="66"/>
        <v>5</v>
      </c>
      <c r="N317" s="25">
        <f t="shared" si="67"/>
        <v>5</v>
      </c>
      <c r="O317" s="32">
        <f t="shared" si="68"/>
        <v>0.84420266961423651</v>
      </c>
      <c r="P317" s="32">
        <f t="shared" si="69"/>
        <v>1.0418053570413823</v>
      </c>
      <c r="Q317" s="32">
        <f t="shared" si="70"/>
        <v>0.80698132232978881</v>
      </c>
      <c r="R317" s="32">
        <f t="shared" si="71"/>
        <v>1.0506390162289212</v>
      </c>
      <c r="S317" s="32">
        <f t="shared" si="72"/>
        <v>0.86866731645372819</v>
      </c>
      <c r="T317" s="32">
        <f t="shared" si="73"/>
        <v>0.81206041627470116</v>
      </c>
      <c r="U317" s="32">
        <f t="shared" si="74"/>
        <v>0.80563658408767735</v>
      </c>
      <c r="V317" s="37">
        <f t="shared" si="75"/>
        <v>0.88999895457577638</v>
      </c>
      <c r="W317"/>
      <c r="AK317" s="45" t="s">
        <v>78</v>
      </c>
      <c r="AL317" s="45">
        <v>7</v>
      </c>
      <c r="AM317" s="45">
        <v>33</v>
      </c>
      <c r="AN317" s="45">
        <v>4.7142857139999998</v>
      </c>
      <c r="AO317" s="45">
        <v>0.571428571</v>
      </c>
      <c r="AP317" s="45"/>
      <c r="AQ317" s="45"/>
      <c r="AR317" s="45"/>
    </row>
    <row r="318" spans="1:44" x14ac:dyDescent="0.35">
      <c r="A318">
        <v>5</v>
      </c>
      <c r="B318">
        <v>1</v>
      </c>
      <c r="C318">
        <v>5</v>
      </c>
      <c r="D318">
        <v>1</v>
      </c>
      <c r="E318">
        <v>1</v>
      </c>
      <c r="F318">
        <v>5</v>
      </c>
      <c r="G318">
        <v>5</v>
      </c>
      <c r="H318" s="25">
        <f t="shared" si="61"/>
        <v>5</v>
      </c>
      <c r="I318" s="25">
        <f t="shared" si="62"/>
        <v>5</v>
      </c>
      <c r="J318" s="25">
        <f t="shared" si="63"/>
        <v>5</v>
      </c>
      <c r="K318" s="25">
        <f t="shared" si="64"/>
        <v>5</v>
      </c>
      <c r="L318" s="25">
        <f t="shared" si="65"/>
        <v>5</v>
      </c>
      <c r="M318" s="25">
        <f t="shared" si="66"/>
        <v>5</v>
      </c>
      <c r="N318" s="25">
        <f t="shared" si="67"/>
        <v>5</v>
      </c>
      <c r="O318" s="32">
        <f t="shared" si="68"/>
        <v>0.84420266961423651</v>
      </c>
      <c r="P318" s="32">
        <f t="shared" si="69"/>
        <v>1.0418053570413823</v>
      </c>
      <c r="Q318" s="32">
        <f t="shared" si="70"/>
        <v>0.80698132232978881</v>
      </c>
      <c r="R318" s="32">
        <f t="shared" si="71"/>
        <v>1.0506390162289212</v>
      </c>
      <c r="S318" s="32">
        <f t="shared" si="72"/>
        <v>0.86866731645372819</v>
      </c>
      <c r="T318" s="32">
        <f t="shared" si="73"/>
        <v>0.81206041627470116</v>
      </c>
      <c r="U318" s="32">
        <f t="shared" si="74"/>
        <v>0.80563658408767735</v>
      </c>
      <c r="V318" s="37">
        <f t="shared" si="75"/>
        <v>0.88999895457577638</v>
      </c>
      <c r="W318"/>
      <c r="AK318" s="45" t="s">
        <v>78</v>
      </c>
      <c r="AL318" s="45">
        <v>7</v>
      </c>
      <c r="AM318" s="45">
        <v>34</v>
      </c>
      <c r="AN318" s="45">
        <v>4.8571428570000004</v>
      </c>
      <c r="AO318" s="45">
        <v>0.14285714299999999</v>
      </c>
      <c r="AP318" s="45"/>
      <c r="AQ318" s="45"/>
      <c r="AR318" s="45"/>
    </row>
    <row r="319" spans="1:44" x14ac:dyDescent="0.35">
      <c r="A319">
        <v>5</v>
      </c>
      <c r="B319">
        <v>1</v>
      </c>
      <c r="C319">
        <v>5</v>
      </c>
      <c r="D319">
        <v>1</v>
      </c>
      <c r="E319">
        <v>1</v>
      </c>
      <c r="F319">
        <v>5</v>
      </c>
      <c r="G319">
        <v>5</v>
      </c>
      <c r="H319" s="25">
        <f t="shared" si="61"/>
        <v>5</v>
      </c>
      <c r="I319" s="25">
        <f t="shared" si="62"/>
        <v>5</v>
      </c>
      <c r="J319" s="25">
        <f t="shared" si="63"/>
        <v>5</v>
      </c>
      <c r="K319" s="25">
        <f t="shared" si="64"/>
        <v>5</v>
      </c>
      <c r="L319" s="25">
        <f t="shared" si="65"/>
        <v>5</v>
      </c>
      <c r="M319" s="25">
        <f t="shared" si="66"/>
        <v>5</v>
      </c>
      <c r="N319" s="25">
        <f t="shared" si="67"/>
        <v>5</v>
      </c>
      <c r="O319" s="32">
        <f t="shared" si="68"/>
        <v>0.84420266961423651</v>
      </c>
      <c r="P319" s="32">
        <f t="shared" si="69"/>
        <v>1.0418053570413823</v>
      </c>
      <c r="Q319" s="32">
        <f t="shared" si="70"/>
        <v>0.80698132232978881</v>
      </c>
      <c r="R319" s="32">
        <f t="shared" si="71"/>
        <v>1.0506390162289212</v>
      </c>
      <c r="S319" s="32">
        <f t="shared" si="72"/>
        <v>0.86866731645372819</v>
      </c>
      <c r="T319" s="32">
        <f t="shared" si="73"/>
        <v>0.81206041627470116</v>
      </c>
      <c r="U319" s="32">
        <f t="shared" si="74"/>
        <v>0.80563658408767735</v>
      </c>
      <c r="V319" s="37">
        <f t="shared" si="75"/>
        <v>0.88999895457577638</v>
      </c>
      <c r="W319"/>
      <c r="AK319" s="45" t="s">
        <v>78</v>
      </c>
      <c r="AL319" s="45">
        <v>7</v>
      </c>
      <c r="AM319" s="45">
        <v>34</v>
      </c>
      <c r="AN319" s="45">
        <v>4.8571428570000004</v>
      </c>
      <c r="AO319" s="45">
        <v>0.14285714299999999</v>
      </c>
      <c r="AP319" s="45"/>
      <c r="AQ319" s="45"/>
      <c r="AR319" s="45"/>
    </row>
    <row r="320" spans="1:44" x14ac:dyDescent="0.35">
      <c r="A320">
        <v>5</v>
      </c>
      <c r="B320">
        <v>1</v>
      </c>
      <c r="C320">
        <v>5</v>
      </c>
      <c r="D320">
        <v>1</v>
      </c>
      <c r="E320">
        <v>1</v>
      </c>
      <c r="F320">
        <v>5</v>
      </c>
      <c r="G320">
        <v>5</v>
      </c>
      <c r="H320" s="25">
        <f t="shared" si="61"/>
        <v>5</v>
      </c>
      <c r="I320" s="25">
        <f t="shared" si="62"/>
        <v>5</v>
      </c>
      <c r="J320" s="25">
        <f t="shared" si="63"/>
        <v>5</v>
      </c>
      <c r="K320" s="25">
        <f t="shared" si="64"/>
        <v>5</v>
      </c>
      <c r="L320" s="25">
        <f t="shared" si="65"/>
        <v>5</v>
      </c>
      <c r="M320" s="25">
        <f t="shared" si="66"/>
        <v>5</v>
      </c>
      <c r="N320" s="25">
        <f t="shared" si="67"/>
        <v>5</v>
      </c>
      <c r="O320" s="32">
        <f t="shared" si="68"/>
        <v>0.84420266961423651</v>
      </c>
      <c r="P320" s="32">
        <f t="shared" si="69"/>
        <v>1.0418053570413823</v>
      </c>
      <c r="Q320" s="32">
        <f t="shared" si="70"/>
        <v>0.80698132232978881</v>
      </c>
      <c r="R320" s="32">
        <f t="shared" si="71"/>
        <v>1.0506390162289212</v>
      </c>
      <c r="S320" s="32">
        <f t="shared" si="72"/>
        <v>0.86866731645372819</v>
      </c>
      <c r="T320" s="32">
        <f t="shared" si="73"/>
        <v>0.81206041627470116</v>
      </c>
      <c r="U320" s="32">
        <f t="shared" si="74"/>
        <v>0.80563658408767735</v>
      </c>
      <c r="V320" s="37">
        <f t="shared" si="75"/>
        <v>0.88999895457577638</v>
      </c>
      <c r="W320"/>
      <c r="AK320" s="45" t="s">
        <v>78</v>
      </c>
      <c r="AL320" s="45">
        <v>7</v>
      </c>
      <c r="AM320" s="45">
        <v>35</v>
      </c>
      <c r="AN320" s="45">
        <v>5</v>
      </c>
      <c r="AO320" s="45">
        <v>0</v>
      </c>
      <c r="AP320" s="45"/>
      <c r="AQ320" s="45"/>
      <c r="AR320" s="45"/>
    </row>
    <row r="321" spans="1:44" x14ac:dyDescent="0.35">
      <c r="A321">
        <v>5</v>
      </c>
      <c r="B321">
        <v>1</v>
      </c>
      <c r="C321">
        <v>5</v>
      </c>
      <c r="D321">
        <v>1</v>
      </c>
      <c r="E321">
        <v>1</v>
      </c>
      <c r="F321">
        <v>5</v>
      </c>
      <c r="G321">
        <v>5</v>
      </c>
      <c r="H321" s="25">
        <f t="shared" si="61"/>
        <v>5</v>
      </c>
      <c r="I321" s="25">
        <f t="shared" si="62"/>
        <v>5</v>
      </c>
      <c r="J321" s="25">
        <f t="shared" si="63"/>
        <v>5</v>
      </c>
      <c r="K321" s="25">
        <f t="shared" si="64"/>
        <v>5</v>
      </c>
      <c r="L321" s="25">
        <f t="shared" si="65"/>
        <v>5</v>
      </c>
      <c r="M321" s="25">
        <f t="shared" si="66"/>
        <v>5</v>
      </c>
      <c r="N321" s="25">
        <f t="shared" si="67"/>
        <v>5</v>
      </c>
      <c r="O321" s="32">
        <f t="shared" si="68"/>
        <v>0.84420266961423651</v>
      </c>
      <c r="P321" s="32">
        <f t="shared" si="69"/>
        <v>1.0418053570413823</v>
      </c>
      <c r="Q321" s="32">
        <f t="shared" si="70"/>
        <v>0.80698132232978881</v>
      </c>
      <c r="R321" s="32">
        <f t="shared" si="71"/>
        <v>1.0506390162289212</v>
      </c>
      <c r="S321" s="32">
        <f t="shared" si="72"/>
        <v>0.86866731645372819</v>
      </c>
      <c r="T321" s="32">
        <f t="shared" si="73"/>
        <v>0.81206041627470116</v>
      </c>
      <c r="U321" s="32">
        <f t="shared" si="74"/>
        <v>0.80563658408767735</v>
      </c>
      <c r="V321" s="37">
        <f t="shared" si="75"/>
        <v>0.88999895457577638</v>
      </c>
      <c r="W321"/>
      <c r="AK321" s="45" t="s">
        <v>78</v>
      </c>
      <c r="AL321" s="45">
        <v>7</v>
      </c>
      <c r="AM321" s="45">
        <v>35</v>
      </c>
      <c r="AN321" s="45">
        <v>5</v>
      </c>
      <c r="AO321" s="45">
        <v>0</v>
      </c>
      <c r="AP321" s="45"/>
      <c r="AQ321" s="45"/>
      <c r="AR321" s="45"/>
    </row>
    <row r="322" spans="1:44" x14ac:dyDescent="0.35">
      <c r="A322">
        <v>5</v>
      </c>
      <c r="B322">
        <v>1</v>
      </c>
      <c r="C322">
        <v>5</v>
      </c>
      <c r="D322">
        <v>1</v>
      </c>
      <c r="E322">
        <v>1</v>
      </c>
      <c r="F322">
        <v>5</v>
      </c>
      <c r="G322">
        <v>5</v>
      </c>
      <c r="H322" s="25">
        <f t="shared" ref="H322:H385" si="76">IF(ISBLANK(A322),"",A322)</f>
        <v>5</v>
      </c>
      <c r="I322" s="25">
        <f t="shared" ref="I322:I385" si="77">IF(ISBLANK(B322),"",6-B322)</f>
        <v>5</v>
      </c>
      <c r="J322" s="25">
        <f t="shared" ref="J322:J385" si="78">IF(ISBLANK(C322),"",C322)</f>
        <v>5</v>
      </c>
      <c r="K322" s="25">
        <f t="shared" ref="K322:K385" si="79">IF(ISBLANK(D322),"",6-D322)</f>
        <v>5</v>
      </c>
      <c r="L322" s="25">
        <f t="shared" ref="L322:L385" si="80">IF(ISBLANK(E322),"",6-E322)</f>
        <v>5</v>
      </c>
      <c r="M322" s="25">
        <f t="shared" ref="M322:M385" si="81">IF(ISBLANK(F322),"",F322)</f>
        <v>5</v>
      </c>
      <c r="N322" s="25">
        <f t="shared" ref="N322:N385" si="82">IF(ISBLANK(G322),"",G322)</f>
        <v>5</v>
      </c>
      <c r="O322" s="32">
        <f t="shared" ref="O322:O385" si="83">IF(ISTEXT(H322),"",STANDARDIZE(H322,H$500,H$501))</f>
        <v>0.84420266961423651</v>
      </c>
      <c r="P322" s="32">
        <f t="shared" ref="P322:P385" si="84">IF(ISTEXT(I322),"",STANDARDIZE(I322,I$500,I$501))</f>
        <v>1.0418053570413823</v>
      </c>
      <c r="Q322" s="32">
        <f t="shared" ref="Q322:Q385" si="85">IF(ISTEXT(J322),"",STANDARDIZE(J322,J$500,J$501))</f>
        <v>0.80698132232978881</v>
      </c>
      <c r="R322" s="32">
        <f t="shared" ref="R322:R385" si="86">IF(ISTEXT(K322),"",STANDARDIZE(K322,K$500,K$501))</f>
        <v>1.0506390162289212</v>
      </c>
      <c r="S322" s="32">
        <f t="shared" ref="S322:S385" si="87">IF(ISTEXT(L322),"",STANDARDIZE(L322,L$500,L$501))</f>
        <v>0.86866731645372819</v>
      </c>
      <c r="T322" s="32">
        <f t="shared" ref="T322:T385" si="88">IF(ISTEXT(M322),"",STANDARDIZE(M322,M$500,M$501))</f>
        <v>0.81206041627470116</v>
      </c>
      <c r="U322" s="32">
        <f t="shared" ref="U322:U385" si="89">IF(ISTEXT(N322),"",STANDARDIZE(N322,N$500,N$501))</f>
        <v>0.80563658408767735</v>
      </c>
      <c r="V322" s="37">
        <f t="shared" ref="V322:V385" si="90">AVERAGE(O322:U322)</f>
        <v>0.88999895457577638</v>
      </c>
      <c r="W322"/>
      <c r="AK322" s="45" t="s">
        <v>78</v>
      </c>
      <c r="AL322" s="45">
        <v>7</v>
      </c>
      <c r="AM322" s="45">
        <v>35</v>
      </c>
      <c r="AN322" s="45">
        <v>5</v>
      </c>
      <c r="AO322" s="45">
        <v>0</v>
      </c>
      <c r="AP322" s="45"/>
      <c r="AQ322" s="45"/>
      <c r="AR322" s="45"/>
    </row>
    <row r="323" spans="1:44" x14ac:dyDescent="0.35">
      <c r="A323">
        <v>5</v>
      </c>
      <c r="B323">
        <v>1</v>
      </c>
      <c r="C323">
        <v>5</v>
      </c>
      <c r="D323">
        <v>1</v>
      </c>
      <c r="E323">
        <v>1</v>
      </c>
      <c r="F323">
        <v>5</v>
      </c>
      <c r="G323">
        <v>5</v>
      </c>
      <c r="H323" s="25">
        <f t="shared" si="76"/>
        <v>5</v>
      </c>
      <c r="I323" s="25">
        <f t="shared" si="77"/>
        <v>5</v>
      </c>
      <c r="J323" s="25">
        <f t="shared" si="78"/>
        <v>5</v>
      </c>
      <c r="K323" s="25">
        <f t="shared" si="79"/>
        <v>5</v>
      </c>
      <c r="L323" s="25">
        <f t="shared" si="80"/>
        <v>5</v>
      </c>
      <c r="M323" s="25">
        <f t="shared" si="81"/>
        <v>5</v>
      </c>
      <c r="N323" s="25">
        <f t="shared" si="82"/>
        <v>5</v>
      </c>
      <c r="O323" s="32">
        <f t="shared" si="83"/>
        <v>0.84420266961423651</v>
      </c>
      <c r="P323" s="32">
        <f t="shared" si="84"/>
        <v>1.0418053570413823</v>
      </c>
      <c r="Q323" s="32">
        <f t="shared" si="85"/>
        <v>0.80698132232978881</v>
      </c>
      <c r="R323" s="32">
        <f t="shared" si="86"/>
        <v>1.0506390162289212</v>
      </c>
      <c r="S323" s="32">
        <f t="shared" si="87"/>
        <v>0.86866731645372819</v>
      </c>
      <c r="T323" s="32">
        <f t="shared" si="88"/>
        <v>0.81206041627470116</v>
      </c>
      <c r="U323" s="32">
        <f t="shared" si="89"/>
        <v>0.80563658408767735</v>
      </c>
      <c r="V323" s="37">
        <f t="shared" si="90"/>
        <v>0.88999895457577638</v>
      </c>
      <c r="W323"/>
      <c r="AK323" s="45" t="s">
        <v>78</v>
      </c>
      <c r="AL323" s="45">
        <v>7</v>
      </c>
      <c r="AM323" s="45">
        <v>35</v>
      </c>
      <c r="AN323" s="45">
        <v>5</v>
      </c>
      <c r="AO323" s="45">
        <v>0</v>
      </c>
      <c r="AP323" s="45"/>
      <c r="AQ323" s="45"/>
      <c r="AR323" s="45"/>
    </row>
    <row r="324" spans="1:44" x14ac:dyDescent="0.35">
      <c r="A324">
        <v>5</v>
      </c>
      <c r="B324">
        <v>1</v>
      </c>
      <c r="C324">
        <v>5</v>
      </c>
      <c r="D324">
        <v>1</v>
      </c>
      <c r="E324">
        <v>1</v>
      </c>
      <c r="F324">
        <v>5</v>
      </c>
      <c r="G324">
        <v>5</v>
      </c>
      <c r="H324" s="25">
        <f t="shared" si="76"/>
        <v>5</v>
      </c>
      <c r="I324" s="25">
        <f t="shared" si="77"/>
        <v>5</v>
      </c>
      <c r="J324" s="25">
        <f t="shared" si="78"/>
        <v>5</v>
      </c>
      <c r="K324" s="25">
        <f t="shared" si="79"/>
        <v>5</v>
      </c>
      <c r="L324" s="25">
        <f t="shared" si="80"/>
        <v>5</v>
      </c>
      <c r="M324" s="25">
        <f t="shared" si="81"/>
        <v>5</v>
      </c>
      <c r="N324" s="25">
        <f t="shared" si="82"/>
        <v>5</v>
      </c>
      <c r="O324" s="32">
        <f t="shared" si="83"/>
        <v>0.84420266961423651</v>
      </c>
      <c r="P324" s="32">
        <f t="shared" si="84"/>
        <v>1.0418053570413823</v>
      </c>
      <c r="Q324" s="32">
        <f t="shared" si="85"/>
        <v>0.80698132232978881</v>
      </c>
      <c r="R324" s="32">
        <f t="shared" si="86"/>
        <v>1.0506390162289212</v>
      </c>
      <c r="S324" s="32">
        <f t="shared" si="87"/>
        <v>0.86866731645372819</v>
      </c>
      <c r="T324" s="32">
        <f t="shared" si="88"/>
        <v>0.81206041627470116</v>
      </c>
      <c r="U324" s="32">
        <f t="shared" si="89"/>
        <v>0.80563658408767735</v>
      </c>
      <c r="V324" s="37">
        <f t="shared" si="90"/>
        <v>0.88999895457577638</v>
      </c>
      <c r="W324"/>
      <c r="AK324" s="45" t="s">
        <v>78</v>
      </c>
      <c r="AL324" s="45">
        <v>7</v>
      </c>
      <c r="AM324" s="45">
        <v>35</v>
      </c>
      <c r="AN324" s="45">
        <v>5</v>
      </c>
      <c r="AO324" s="45">
        <v>0</v>
      </c>
      <c r="AP324" s="45"/>
      <c r="AQ324" s="45"/>
      <c r="AR324" s="45"/>
    </row>
    <row r="325" spans="1:44" x14ac:dyDescent="0.35">
      <c r="A325">
        <v>5</v>
      </c>
      <c r="B325">
        <v>1</v>
      </c>
      <c r="C325">
        <v>5</v>
      </c>
      <c r="D325">
        <v>1</v>
      </c>
      <c r="E325">
        <v>1</v>
      </c>
      <c r="F325">
        <v>5</v>
      </c>
      <c r="G325">
        <v>5</v>
      </c>
      <c r="H325" s="25">
        <f t="shared" si="76"/>
        <v>5</v>
      </c>
      <c r="I325" s="25">
        <f t="shared" si="77"/>
        <v>5</v>
      </c>
      <c r="J325" s="25">
        <f t="shared" si="78"/>
        <v>5</v>
      </c>
      <c r="K325" s="25">
        <f t="shared" si="79"/>
        <v>5</v>
      </c>
      <c r="L325" s="25">
        <f t="shared" si="80"/>
        <v>5</v>
      </c>
      <c r="M325" s="25">
        <f t="shared" si="81"/>
        <v>5</v>
      </c>
      <c r="N325" s="25">
        <f t="shared" si="82"/>
        <v>5</v>
      </c>
      <c r="O325" s="32">
        <f t="shared" si="83"/>
        <v>0.84420266961423651</v>
      </c>
      <c r="P325" s="32">
        <f t="shared" si="84"/>
        <v>1.0418053570413823</v>
      </c>
      <c r="Q325" s="32">
        <f t="shared" si="85"/>
        <v>0.80698132232978881</v>
      </c>
      <c r="R325" s="32">
        <f t="shared" si="86"/>
        <v>1.0506390162289212</v>
      </c>
      <c r="S325" s="32">
        <f t="shared" si="87"/>
        <v>0.86866731645372819</v>
      </c>
      <c r="T325" s="32">
        <f t="shared" si="88"/>
        <v>0.81206041627470116</v>
      </c>
      <c r="U325" s="32">
        <f t="shared" si="89"/>
        <v>0.80563658408767735</v>
      </c>
      <c r="V325" s="37">
        <f t="shared" si="90"/>
        <v>0.88999895457577638</v>
      </c>
      <c r="W325"/>
      <c r="AK325" s="45" t="s">
        <v>78</v>
      </c>
      <c r="AL325" s="45">
        <v>7</v>
      </c>
      <c r="AM325" s="45">
        <v>35</v>
      </c>
      <c r="AN325" s="45">
        <v>5</v>
      </c>
      <c r="AO325" s="45">
        <v>0</v>
      </c>
      <c r="AP325" s="45"/>
      <c r="AQ325" s="45"/>
      <c r="AR325" s="45"/>
    </row>
    <row r="326" spans="1:44" x14ac:dyDescent="0.35">
      <c r="A326">
        <v>5</v>
      </c>
      <c r="B326">
        <v>1</v>
      </c>
      <c r="C326">
        <v>5</v>
      </c>
      <c r="D326">
        <v>1</v>
      </c>
      <c r="E326">
        <v>1</v>
      </c>
      <c r="F326">
        <v>5</v>
      </c>
      <c r="G326">
        <v>5</v>
      </c>
      <c r="H326" s="25">
        <f t="shared" si="76"/>
        <v>5</v>
      </c>
      <c r="I326" s="25">
        <f t="shared" si="77"/>
        <v>5</v>
      </c>
      <c r="J326" s="25">
        <f t="shared" si="78"/>
        <v>5</v>
      </c>
      <c r="K326" s="25">
        <f t="shared" si="79"/>
        <v>5</v>
      </c>
      <c r="L326" s="25">
        <f t="shared" si="80"/>
        <v>5</v>
      </c>
      <c r="M326" s="25">
        <f t="shared" si="81"/>
        <v>5</v>
      </c>
      <c r="N326" s="25">
        <f t="shared" si="82"/>
        <v>5</v>
      </c>
      <c r="O326" s="32">
        <f t="shared" si="83"/>
        <v>0.84420266961423651</v>
      </c>
      <c r="P326" s="32">
        <f t="shared" si="84"/>
        <v>1.0418053570413823</v>
      </c>
      <c r="Q326" s="32">
        <f t="shared" si="85"/>
        <v>0.80698132232978881</v>
      </c>
      <c r="R326" s="32">
        <f t="shared" si="86"/>
        <v>1.0506390162289212</v>
      </c>
      <c r="S326" s="32">
        <f t="shared" si="87"/>
        <v>0.86866731645372819</v>
      </c>
      <c r="T326" s="32">
        <f t="shared" si="88"/>
        <v>0.81206041627470116</v>
      </c>
      <c r="U326" s="32">
        <f t="shared" si="89"/>
        <v>0.80563658408767735</v>
      </c>
      <c r="V326" s="37">
        <f t="shared" si="90"/>
        <v>0.88999895457577638</v>
      </c>
      <c r="W326"/>
      <c r="AK326" s="45" t="s">
        <v>78</v>
      </c>
      <c r="AL326" s="45">
        <v>7</v>
      </c>
      <c r="AM326" s="45">
        <v>35</v>
      </c>
      <c r="AN326" s="45">
        <v>5</v>
      </c>
      <c r="AO326" s="45">
        <v>0</v>
      </c>
      <c r="AP326" s="45"/>
      <c r="AQ326" s="45"/>
      <c r="AR326" s="45"/>
    </row>
    <row r="327" spans="1:44" x14ac:dyDescent="0.35">
      <c r="A327">
        <v>5</v>
      </c>
      <c r="B327">
        <v>1</v>
      </c>
      <c r="C327">
        <v>5</v>
      </c>
      <c r="D327">
        <v>1</v>
      </c>
      <c r="E327">
        <v>1</v>
      </c>
      <c r="F327">
        <v>5</v>
      </c>
      <c r="G327">
        <v>5</v>
      </c>
      <c r="H327" s="25">
        <f t="shared" si="76"/>
        <v>5</v>
      </c>
      <c r="I327" s="25">
        <f t="shared" si="77"/>
        <v>5</v>
      </c>
      <c r="J327" s="25">
        <f t="shared" si="78"/>
        <v>5</v>
      </c>
      <c r="K327" s="25">
        <f t="shared" si="79"/>
        <v>5</v>
      </c>
      <c r="L327" s="25">
        <f t="shared" si="80"/>
        <v>5</v>
      </c>
      <c r="M327" s="25">
        <f t="shared" si="81"/>
        <v>5</v>
      </c>
      <c r="N327" s="25">
        <f t="shared" si="82"/>
        <v>5</v>
      </c>
      <c r="O327" s="32">
        <f t="shared" si="83"/>
        <v>0.84420266961423651</v>
      </c>
      <c r="P327" s="32">
        <f t="shared" si="84"/>
        <v>1.0418053570413823</v>
      </c>
      <c r="Q327" s="32">
        <f t="shared" si="85"/>
        <v>0.80698132232978881</v>
      </c>
      <c r="R327" s="32">
        <f t="shared" si="86"/>
        <v>1.0506390162289212</v>
      </c>
      <c r="S327" s="32">
        <f t="shared" si="87"/>
        <v>0.86866731645372819</v>
      </c>
      <c r="T327" s="32">
        <f t="shared" si="88"/>
        <v>0.81206041627470116</v>
      </c>
      <c r="U327" s="32">
        <f t="shared" si="89"/>
        <v>0.80563658408767735</v>
      </c>
      <c r="V327" s="37">
        <f t="shared" si="90"/>
        <v>0.88999895457577638</v>
      </c>
      <c r="W327"/>
      <c r="AK327" s="45" t="s">
        <v>78</v>
      </c>
      <c r="AL327" s="45">
        <v>7</v>
      </c>
      <c r="AM327" s="45">
        <v>35</v>
      </c>
      <c r="AN327" s="45">
        <v>5</v>
      </c>
      <c r="AO327" s="45">
        <v>0</v>
      </c>
      <c r="AP327" s="45"/>
      <c r="AQ327" s="45"/>
      <c r="AR327" s="45"/>
    </row>
    <row r="328" spans="1:44" x14ac:dyDescent="0.35">
      <c r="A328">
        <v>5</v>
      </c>
      <c r="B328">
        <v>1</v>
      </c>
      <c r="C328">
        <v>5</v>
      </c>
      <c r="D328">
        <v>1</v>
      </c>
      <c r="E328">
        <v>1</v>
      </c>
      <c r="F328">
        <v>5</v>
      </c>
      <c r="G328">
        <v>5</v>
      </c>
      <c r="H328" s="25">
        <f t="shared" si="76"/>
        <v>5</v>
      </c>
      <c r="I328" s="25">
        <f t="shared" si="77"/>
        <v>5</v>
      </c>
      <c r="J328" s="25">
        <f t="shared" si="78"/>
        <v>5</v>
      </c>
      <c r="K328" s="25">
        <f t="shared" si="79"/>
        <v>5</v>
      </c>
      <c r="L328" s="25">
        <f t="shared" si="80"/>
        <v>5</v>
      </c>
      <c r="M328" s="25">
        <f t="shared" si="81"/>
        <v>5</v>
      </c>
      <c r="N328" s="25">
        <f t="shared" si="82"/>
        <v>5</v>
      </c>
      <c r="O328" s="32">
        <f t="shared" si="83"/>
        <v>0.84420266961423651</v>
      </c>
      <c r="P328" s="32">
        <f t="shared" si="84"/>
        <v>1.0418053570413823</v>
      </c>
      <c r="Q328" s="32">
        <f t="shared" si="85"/>
        <v>0.80698132232978881</v>
      </c>
      <c r="R328" s="32">
        <f t="shared" si="86"/>
        <v>1.0506390162289212</v>
      </c>
      <c r="S328" s="32">
        <f t="shared" si="87"/>
        <v>0.86866731645372819</v>
      </c>
      <c r="T328" s="32">
        <f t="shared" si="88"/>
        <v>0.81206041627470116</v>
      </c>
      <c r="U328" s="32">
        <f t="shared" si="89"/>
        <v>0.80563658408767735</v>
      </c>
      <c r="V328" s="37">
        <f t="shared" si="90"/>
        <v>0.88999895457577638</v>
      </c>
      <c r="W328"/>
      <c r="AK328" s="45" t="s">
        <v>78</v>
      </c>
      <c r="AL328" s="45">
        <v>7</v>
      </c>
      <c r="AM328" s="45">
        <v>35</v>
      </c>
      <c r="AN328" s="45">
        <v>5</v>
      </c>
      <c r="AO328" s="45">
        <v>0</v>
      </c>
      <c r="AP328" s="45"/>
      <c r="AQ328" s="45"/>
      <c r="AR328" s="45"/>
    </row>
    <row r="329" spans="1:44" x14ac:dyDescent="0.35">
      <c r="A329">
        <v>5</v>
      </c>
      <c r="B329">
        <v>1</v>
      </c>
      <c r="C329">
        <v>5</v>
      </c>
      <c r="D329">
        <v>1</v>
      </c>
      <c r="E329">
        <v>1</v>
      </c>
      <c r="F329">
        <v>5</v>
      </c>
      <c r="G329">
        <v>5</v>
      </c>
      <c r="H329" s="25">
        <f t="shared" si="76"/>
        <v>5</v>
      </c>
      <c r="I329" s="25">
        <f t="shared" si="77"/>
        <v>5</v>
      </c>
      <c r="J329" s="25">
        <f t="shared" si="78"/>
        <v>5</v>
      </c>
      <c r="K329" s="25">
        <f t="shared" si="79"/>
        <v>5</v>
      </c>
      <c r="L329" s="25">
        <f t="shared" si="80"/>
        <v>5</v>
      </c>
      <c r="M329" s="25">
        <f t="shared" si="81"/>
        <v>5</v>
      </c>
      <c r="N329" s="25">
        <f t="shared" si="82"/>
        <v>5</v>
      </c>
      <c r="O329" s="32">
        <f t="shared" si="83"/>
        <v>0.84420266961423651</v>
      </c>
      <c r="P329" s="32">
        <f t="shared" si="84"/>
        <v>1.0418053570413823</v>
      </c>
      <c r="Q329" s="32">
        <f t="shared" si="85"/>
        <v>0.80698132232978881</v>
      </c>
      <c r="R329" s="32">
        <f t="shared" si="86"/>
        <v>1.0506390162289212</v>
      </c>
      <c r="S329" s="32">
        <f t="shared" si="87"/>
        <v>0.86866731645372819</v>
      </c>
      <c r="T329" s="32">
        <f t="shared" si="88"/>
        <v>0.81206041627470116</v>
      </c>
      <c r="U329" s="32">
        <f t="shared" si="89"/>
        <v>0.80563658408767735</v>
      </c>
      <c r="V329" s="37">
        <f t="shared" si="90"/>
        <v>0.88999895457577638</v>
      </c>
      <c r="W329"/>
      <c r="AK329" s="45" t="s">
        <v>78</v>
      </c>
      <c r="AL329" s="45">
        <v>7</v>
      </c>
      <c r="AM329" s="45">
        <v>35</v>
      </c>
      <c r="AN329" s="45">
        <v>5</v>
      </c>
      <c r="AO329" s="45">
        <v>0</v>
      </c>
      <c r="AP329" s="45"/>
      <c r="AQ329" s="45"/>
      <c r="AR329" s="45"/>
    </row>
    <row r="330" spans="1:44" x14ac:dyDescent="0.35">
      <c r="A330">
        <v>5</v>
      </c>
      <c r="B330">
        <v>1</v>
      </c>
      <c r="C330">
        <v>5</v>
      </c>
      <c r="D330">
        <v>1</v>
      </c>
      <c r="E330">
        <v>1</v>
      </c>
      <c r="F330">
        <v>5</v>
      </c>
      <c r="G330">
        <v>5</v>
      </c>
      <c r="H330" s="25">
        <f t="shared" si="76"/>
        <v>5</v>
      </c>
      <c r="I330" s="25">
        <f t="shared" si="77"/>
        <v>5</v>
      </c>
      <c r="J330" s="25">
        <f t="shared" si="78"/>
        <v>5</v>
      </c>
      <c r="K330" s="25">
        <f t="shared" si="79"/>
        <v>5</v>
      </c>
      <c r="L330" s="25">
        <f t="shared" si="80"/>
        <v>5</v>
      </c>
      <c r="M330" s="25">
        <f t="shared" si="81"/>
        <v>5</v>
      </c>
      <c r="N330" s="25">
        <f t="shared" si="82"/>
        <v>5</v>
      </c>
      <c r="O330" s="32">
        <f t="shared" si="83"/>
        <v>0.84420266961423651</v>
      </c>
      <c r="P330" s="32">
        <f t="shared" si="84"/>
        <v>1.0418053570413823</v>
      </c>
      <c r="Q330" s="32">
        <f t="shared" si="85"/>
        <v>0.80698132232978881</v>
      </c>
      <c r="R330" s="32">
        <f t="shared" si="86"/>
        <v>1.0506390162289212</v>
      </c>
      <c r="S330" s="32">
        <f t="shared" si="87"/>
        <v>0.86866731645372819</v>
      </c>
      <c r="T330" s="32">
        <f t="shared" si="88"/>
        <v>0.81206041627470116</v>
      </c>
      <c r="U330" s="32">
        <f t="shared" si="89"/>
        <v>0.80563658408767735</v>
      </c>
      <c r="V330" s="37">
        <f t="shared" si="90"/>
        <v>0.88999895457577638</v>
      </c>
      <c r="W330"/>
      <c r="AK330" s="45" t="s">
        <v>78</v>
      </c>
      <c r="AL330" s="45">
        <v>7</v>
      </c>
      <c r="AM330" s="45">
        <v>35</v>
      </c>
      <c r="AN330" s="45">
        <v>5</v>
      </c>
      <c r="AO330" s="45">
        <v>0</v>
      </c>
      <c r="AP330" s="45"/>
      <c r="AQ330" s="45"/>
      <c r="AR330" s="45"/>
    </row>
    <row r="331" spans="1:44" x14ac:dyDescent="0.35">
      <c r="A331">
        <v>5</v>
      </c>
      <c r="B331">
        <v>1</v>
      </c>
      <c r="C331">
        <v>5</v>
      </c>
      <c r="D331">
        <v>1</v>
      </c>
      <c r="E331">
        <v>1</v>
      </c>
      <c r="F331">
        <v>5</v>
      </c>
      <c r="G331">
        <v>5</v>
      </c>
      <c r="H331" s="25">
        <f t="shared" si="76"/>
        <v>5</v>
      </c>
      <c r="I331" s="25">
        <f t="shared" si="77"/>
        <v>5</v>
      </c>
      <c r="J331" s="25">
        <f t="shared" si="78"/>
        <v>5</v>
      </c>
      <c r="K331" s="25">
        <f t="shared" si="79"/>
        <v>5</v>
      </c>
      <c r="L331" s="25">
        <f t="shared" si="80"/>
        <v>5</v>
      </c>
      <c r="M331" s="25">
        <f t="shared" si="81"/>
        <v>5</v>
      </c>
      <c r="N331" s="25">
        <f t="shared" si="82"/>
        <v>5</v>
      </c>
      <c r="O331" s="32">
        <f t="shared" si="83"/>
        <v>0.84420266961423651</v>
      </c>
      <c r="P331" s="32">
        <f t="shared" si="84"/>
        <v>1.0418053570413823</v>
      </c>
      <c r="Q331" s="32">
        <f t="shared" si="85"/>
        <v>0.80698132232978881</v>
      </c>
      <c r="R331" s="32">
        <f t="shared" si="86"/>
        <v>1.0506390162289212</v>
      </c>
      <c r="S331" s="32">
        <f t="shared" si="87"/>
        <v>0.86866731645372819</v>
      </c>
      <c r="T331" s="32">
        <f t="shared" si="88"/>
        <v>0.81206041627470116</v>
      </c>
      <c r="U331" s="32">
        <f t="shared" si="89"/>
        <v>0.80563658408767735</v>
      </c>
      <c r="V331" s="37">
        <f t="shared" si="90"/>
        <v>0.88999895457577638</v>
      </c>
      <c r="W331"/>
      <c r="AK331" s="45" t="s">
        <v>78</v>
      </c>
      <c r="AL331" s="45">
        <v>7</v>
      </c>
      <c r="AM331" s="45">
        <v>35</v>
      </c>
      <c r="AN331" s="45">
        <v>5</v>
      </c>
      <c r="AO331" s="45">
        <v>0</v>
      </c>
      <c r="AP331" s="45"/>
      <c r="AQ331" s="45"/>
      <c r="AR331" s="45"/>
    </row>
    <row r="332" spans="1:44" x14ac:dyDescent="0.35">
      <c r="A332">
        <v>5</v>
      </c>
      <c r="B332">
        <v>1</v>
      </c>
      <c r="C332">
        <v>5</v>
      </c>
      <c r="D332">
        <v>1</v>
      </c>
      <c r="E332">
        <v>1</v>
      </c>
      <c r="F332">
        <v>5</v>
      </c>
      <c r="G332">
        <v>5</v>
      </c>
      <c r="H332" s="25">
        <f t="shared" si="76"/>
        <v>5</v>
      </c>
      <c r="I332" s="25">
        <f t="shared" si="77"/>
        <v>5</v>
      </c>
      <c r="J332" s="25">
        <f t="shared" si="78"/>
        <v>5</v>
      </c>
      <c r="K332" s="25">
        <f t="shared" si="79"/>
        <v>5</v>
      </c>
      <c r="L332" s="25">
        <f t="shared" si="80"/>
        <v>5</v>
      </c>
      <c r="M332" s="25">
        <f t="shared" si="81"/>
        <v>5</v>
      </c>
      <c r="N332" s="25">
        <f t="shared" si="82"/>
        <v>5</v>
      </c>
      <c r="O332" s="32">
        <f t="shared" si="83"/>
        <v>0.84420266961423651</v>
      </c>
      <c r="P332" s="32">
        <f t="shared" si="84"/>
        <v>1.0418053570413823</v>
      </c>
      <c r="Q332" s="32">
        <f t="shared" si="85"/>
        <v>0.80698132232978881</v>
      </c>
      <c r="R332" s="32">
        <f t="shared" si="86"/>
        <v>1.0506390162289212</v>
      </c>
      <c r="S332" s="32">
        <f t="shared" si="87"/>
        <v>0.86866731645372819</v>
      </c>
      <c r="T332" s="32">
        <f t="shared" si="88"/>
        <v>0.81206041627470116</v>
      </c>
      <c r="U332" s="32">
        <f t="shared" si="89"/>
        <v>0.80563658408767735</v>
      </c>
      <c r="V332" s="37">
        <f t="shared" si="90"/>
        <v>0.88999895457577638</v>
      </c>
      <c r="W332"/>
      <c r="AK332" s="45" t="s">
        <v>78</v>
      </c>
      <c r="AL332" s="45">
        <v>7</v>
      </c>
      <c r="AM332" s="45">
        <v>35</v>
      </c>
      <c r="AN332" s="45">
        <v>5</v>
      </c>
      <c r="AO332" s="45">
        <v>0</v>
      </c>
      <c r="AP332" s="45"/>
      <c r="AQ332" s="45"/>
      <c r="AR332" s="45"/>
    </row>
    <row r="333" spans="1:44" x14ac:dyDescent="0.35">
      <c r="A333">
        <v>5</v>
      </c>
      <c r="B333">
        <v>1</v>
      </c>
      <c r="C333">
        <v>5</v>
      </c>
      <c r="D333">
        <v>1</v>
      </c>
      <c r="E333">
        <v>1</v>
      </c>
      <c r="F333">
        <v>5</v>
      </c>
      <c r="G333">
        <v>5</v>
      </c>
      <c r="H333" s="25">
        <f t="shared" si="76"/>
        <v>5</v>
      </c>
      <c r="I333" s="25">
        <f t="shared" si="77"/>
        <v>5</v>
      </c>
      <c r="J333" s="25">
        <f t="shared" si="78"/>
        <v>5</v>
      </c>
      <c r="K333" s="25">
        <f t="shared" si="79"/>
        <v>5</v>
      </c>
      <c r="L333" s="25">
        <f t="shared" si="80"/>
        <v>5</v>
      </c>
      <c r="M333" s="25">
        <f t="shared" si="81"/>
        <v>5</v>
      </c>
      <c r="N333" s="25">
        <f t="shared" si="82"/>
        <v>5</v>
      </c>
      <c r="O333" s="32">
        <f t="shared" si="83"/>
        <v>0.84420266961423651</v>
      </c>
      <c r="P333" s="32">
        <f t="shared" si="84"/>
        <v>1.0418053570413823</v>
      </c>
      <c r="Q333" s="32">
        <f t="shared" si="85"/>
        <v>0.80698132232978881</v>
      </c>
      <c r="R333" s="32">
        <f t="shared" si="86"/>
        <v>1.0506390162289212</v>
      </c>
      <c r="S333" s="32">
        <f t="shared" si="87"/>
        <v>0.86866731645372819</v>
      </c>
      <c r="T333" s="32">
        <f t="shared" si="88"/>
        <v>0.81206041627470116</v>
      </c>
      <c r="U333" s="32">
        <f t="shared" si="89"/>
        <v>0.80563658408767735</v>
      </c>
      <c r="V333" s="37">
        <f t="shared" si="90"/>
        <v>0.88999895457577638</v>
      </c>
      <c r="W333"/>
      <c r="AK333" s="45" t="s">
        <v>78</v>
      </c>
      <c r="AL333" s="45">
        <v>7</v>
      </c>
      <c r="AM333" s="45">
        <v>35</v>
      </c>
      <c r="AN333" s="45">
        <v>5</v>
      </c>
      <c r="AO333" s="45">
        <v>0</v>
      </c>
      <c r="AP333" s="45"/>
      <c r="AQ333" s="45"/>
      <c r="AR333" s="45"/>
    </row>
    <row r="334" spans="1:44" x14ac:dyDescent="0.35">
      <c r="A334">
        <v>5</v>
      </c>
      <c r="B334">
        <v>1</v>
      </c>
      <c r="C334">
        <v>5</v>
      </c>
      <c r="D334">
        <v>1</v>
      </c>
      <c r="E334">
        <v>1</v>
      </c>
      <c r="F334">
        <v>5</v>
      </c>
      <c r="G334">
        <v>5</v>
      </c>
      <c r="H334" s="25">
        <f t="shared" si="76"/>
        <v>5</v>
      </c>
      <c r="I334" s="25">
        <f t="shared" si="77"/>
        <v>5</v>
      </c>
      <c r="J334" s="25">
        <f t="shared" si="78"/>
        <v>5</v>
      </c>
      <c r="K334" s="25">
        <f t="shared" si="79"/>
        <v>5</v>
      </c>
      <c r="L334" s="25">
        <f t="shared" si="80"/>
        <v>5</v>
      </c>
      <c r="M334" s="25">
        <f t="shared" si="81"/>
        <v>5</v>
      </c>
      <c r="N334" s="25">
        <f t="shared" si="82"/>
        <v>5</v>
      </c>
      <c r="O334" s="32">
        <f t="shared" si="83"/>
        <v>0.84420266961423651</v>
      </c>
      <c r="P334" s="32">
        <f t="shared" si="84"/>
        <v>1.0418053570413823</v>
      </c>
      <c r="Q334" s="32">
        <f t="shared" si="85"/>
        <v>0.80698132232978881</v>
      </c>
      <c r="R334" s="32">
        <f t="shared" si="86"/>
        <v>1.0506390162289212</v>
      </c>
      <c r="S334" s="32">
        <f t="shared" si="87"/>
        <v>0.86866731645372819</v>
      </c>
      <c r="T334" s="32">
        <f t="shared" si="88"/>
        <v>0.81206041627470116</v>
      </c>
      <c r="U334" s="32">
        <f t="shared" si="89"/>
        <v>0.80563658408767735</v>
      </c>
      <c r="V334" s="37">
        <f t="shared" si="90"/>
        <v>0.88999895457577638</v>
      </c>
      <c r="W334"/>
      <c r="AK334" s="45" t="s">
        <v>78</v>
      </c>
      <c r="AL334" s="45">
        <v>7</v>
      </c>
      <c r="AM334" s="45">
        <v>35</v>
      </c>
      <c r="AN334" s="45">
        <v>5</v>
      </c>
      <c r="AO334" s="45">
        <v>0</v>
      </c>
      <c r="AP334" s="45"/>
      <c r="AQ334" s="45"/>
      <c r="AR334" s="45"/>
    </row>
    <row r="335" spans="1:44" x14ac:dyDescent="0.35">
      <c r="A335">
        <v>5</v>
      </c>
      <c r="B335">
        <v>1</v>
      </c>
      <c r="C335">
        <v>5</v>
      </c>
      <c r="D335">
        <v>1</v>
      </c>
      <c r="E335">
        <v>1</v>
      </c>
      <c r="F335">
        <v>5</v>
      </c>
      <c r="G335">
        <v>5</v>
      </c>
      <c r="H335" s="25">
        <f t="shared" si="76"/>
        <v>5</v>
      </c>
      <c r="I335" s="25">
        <f t="shared" si="77"/>
        <v>5</v>
      </c>
      <c r="J335" s="25">
        <f t="shared" si="78"/>
        <v>5</v>
      </c>
      <c r="K335" s="25">
        <f t="shared" si="79"/>
        <v>5</v>
      </c>
      <c r="L335" s="25">
        <f t="shared" si="80"/>
        <v>5</v>
      </c>
      <c r="M335" s="25">
        <f t="shared" si="81"/>
        <v>5</v>
      </c>
      <c r="N335" s="25">
        <f t="shared" si="82"/>
        <v>5</v>
      </c>
      <c r="O335" s="32">
        <f t="shared" si="83"/>
        <v>0.84420266961423651</v>
      </c>
      <c r="P335" s="32">
        <f t="shared" si="84"/>
        <v>1.0418053570413823</v>
      </c>
      <c r="Q335" s="32">
        <f t="shared" si="85"/>
        <v>0.80698132232978881</v>
      </c>
      <c r="R335" s="32">
        <f t="shared" si="86"/>
        <v>1.0506390162289212</v>
      </c>
      <c r="S335" s="32">
        <f t="shared" si="87"/>
        <v>0.86866731645372819</v>
      </c>
      <c r="T335" s="32">
        <f t="shared" si="88"/>
        <v>0.81206041627470116</v>
      </c>
      <c r="U335" s="32">
        <f t="shared" si="89"/>
        <v>0.80563658408767735</v>
      </c>
      <c r="V335" s="37">
        <f t="shared" si="90"/>
        <v>0.88999895457577638</v>
      </c>
      <c r="W335"/>
      <c r="AK335" s="45" t="s">
        <v>78</v>
      </c>
      <c r="AL335" s="45">
        <v>7</v>
      </c>
      <c r="AM335" s="45">
        <v>35</v>
      </c>
      <c r="AN335" s="45">
        <v>5</v>
      </c>
      <c r="AO335" s="45">
        <v>0</v>
      </c>
      <c r="AP335" s="45"/>
      <c r="AQ335" s="45"/>
      <c r="AR335" s="45"/>
    </row>
    <row r="336" spans="1:44" x14ac:dyDescent="0.35">
      <c r="A336">
        <v>5</v>
      </c>
      <c r="B336">
        <v>1</v>
      </c>
      <c r="C336">
        <v>5</v>
      </c>
      <c r="D336">
        <v>1</v>
      </c>
      <c r="E336">
        <v>1</v>
      </c>
      <c r="F336">
        <v>5</v>
      </c>
      <c r="G336">
        <v>5</v>
      </c>
      <c r="H336" s="25">
        <f t="shared" si="76"/>
        <v>5</v>
      </c>
      <c r="I336" s="25">
        <f t="shared" si="77"/>
        <v>5</v>
      </c>
      <c r="J336" s="25">
        <f t="shared" si="78"/>
        <v>5</v>
      </c>
      <c r="K336" s="25">
        <f t="shared" si="79"/>
        <v>5</v>
      </c>
      <c r="L336" s="25">
        <f t="shared" si="80"/>
        <v>5</v>
      </c>
      <c r="M336" s="25">
        <f t="shared" si="81"/>
        <v>5</v>
      </c>
      <c r="N336" s="25">
        <f t="shared" si="82"/>
        <v>5</v>
      </c>
      <c r="O336" s="32">
        <f t="shared" si="83"/>
        <v>0.84420266961423651</v>
      </c>
      <c r="P336" s="32">
        <f t="shared" si="84"/>
        <v>1.0418053570413823</v>
      </c>
      <c r="Q336" s="32">
        <f t="shared" si="85"/>
        <v>0.80698132232978881</v>
      </c>
      <c r="R336" s="32">
        <f t="shared" si="86"/>
        <v>1.0506390162289212</v>
      </c>
      <c r="S336" s="32">
        <f t="shared" si="87"/>
        <v>0.86866731645372819</v>
      </c>
      <c r="T336" s="32">
        <f t="shared" si="88"/>
        <v>0.81206041627470116</v>
      </c>
      <c r="U336" s="32">
        <f t="shared" si="89"/>
        <v>0.80563658408767735</v>
      </c>
      <c r="V336" s="37">
        <f t="shared" si="90"/>
        <v>0.88999895457577638</v>
      </c>
      <c r="W336"/>
      <c r="AK336" s="45" t="s">
        <v>78</v>
      </c>
      <c r="AL336" s="45">
        <v>7</v>
      </c>
      <c r="AM336" s="45">
        <v>35</v>
      </c>
      <c r="AN336" s="45">
        <v>5</v>
      </c>
      <c r="AO336" s="45">
        <v>0</v>
      </c>
      <c r="AP336" s="45"/>
      <c r="AQ336" s="45"/>
      <c r="AR336" s="45"/>
    </row>
    <row r="337" spans="1:44" x14ac:dyDescent="0.35">
      <c r="A337">
        <v>5</v>
      </c>
      <c r="B337">
        <v>1</v>
      </c>
      <c r="C337">
        <v>5</v>
      </c>
      <c r="D337">
        <v>1</v>
      </c>
      <c r="E337">
        <v>1</v>
      </c>
      <c r="F337">
        <v>5</v>
      </c>
      <c r="G337">
        <v>5</v>
      </c>
      <c r="H337" s="25">
        <f t="shared" si="76"/>
        <v>5</v>
      </c>
      <c r="I337" s="25">
        <f t="shared" si="77"/>
        <v>5</v>
      </c>
      <c r="J337" s="25">
        <f t="shared" si="78"/>
        <v>5</v>
      </c>
      <c r="K337" s="25">
        <f t="shared" si="79"/>
        <v>5</v>
      </c>
      <c r="L337" s="25">
        <f t="shared" si="80"/>
        <v>5</v>
      </c>
      <c r="M337" s="25">
        <f t="shared" si="81"/>
        <v>5</v>
      </c>
      <c r="N337" s="25">
        <f t="shared" si="82"/>
        <v>5</v>
      </c>
      <c r="O337" s="32">
        <f t="shared" si="83"/>
        <v>0.84420266961423651</v>
      </c>
      <c r="P337" s="32">
        <f t="shared" si="84"/>
        <v>1.0418053570413823</v>
      </c>
      <c r="Q337" s="32">
        <f t="shared" si="85"/>
        <v>0.80698132232978881</v>
      </c>
      <c r="R337" s="32">
        <f t="shared" si="86"/>
        <v>1.0506390162289212</v>
      </c>
      <c r="S337" s="32">
        <f t="shared" si="87"/>
        <v>0.86866731645372819</v>
      </c>
      <c r="T337" s="32">
        <f t="shared" si="88"/>
        <v>0.81206041627470116</v>
      </c>
      <c r="U337" s="32">
        <f t="shared" si="89"/>
        <v>0.80563658408767735</v>
      </c>
      <c r="V337" s="37">
        <f t="shared" si="90"/>
        <v>0.88999895457577638</v>
      </c>
      <c r="W337"/>
      <c r="AK337" s="45" t="s">
        <v>78</v>
      </c>
      <c r="AL337" s="45">
        <v>7</v>
      </c>
      <c r="AM337" s="45">
        <v>35</v>
      </c>
      <c r="AN337" s="45">
        <v>5</v>
      </c>
      <c r="AO337" s="45">
        <v>0</v>
      </c>
      <c r="AP337" s="45"/>
      <c r="AQ337" s="45"/>
      <c r="AR337" s="45"/>
    </row>
    <row r="338" spans="1:44" x14ac:dyDescent="0.35">
      <c r="A338">
        <v>5</v>
      </c>
      <c r="B338">
        <v>1</v>
      </c>
      <c r="C338">
        <v>5</v>
      </c>
      <c r="D338">
        <v>1</v>
      </c>
      <c r="E338">
        <v>1</v>
      </c>
      <c r="F338">
        <v>5</v>
      </c>
      <c r="G338">
        <v>5</v>
      </c>
      <c r="H338" s="25">
        <f t="shared" si="76"/>
        <v>5</v>
      </c>
      <c r="I338" s="25">
        <f t="shared" si="77"/>
        <v>5</v>
      </c>
      <c r="J338" s="25">
        <f t="shared" si="78"/>
        <v>5</v>
      </c>
      <c r="K338" s="25">
        <f t="shared" si="79"/>
        <v>5</v>
      </c>
      <c r="L338" s="25">
        <f t="shared" si="80"/>
        <v>5</v>
      </c>
      <c r="M338" s="25">
        <f t="shared" si="81"/>
        <v>5</v>
      </c>
      <c r="N338" s="25">
        <f t="shared" si="82"/>
        <v>5</v>
      </c>
      <c r="O338" s="32">
        <f t="shared" si="83"/>
        <v>0.84420266961423651</v>
      </c>
      <c r="P338" s="32">
        <f t="shared" si="84"/>
        <v>1.0418053570413823</v>
      </c>
      <c r="Q338" s="32">
        <f t="shared" si="85"/>
        <v>0.80698132232978881</v>
      </c>
      <c r="R338" s="32">
        <f t="shared" si="86"/>
        <v>1.0506390162289212</v>
      </c>
      <c r="S338" s="32">
        <f t="shared" si="87"/>
        <v>0.86866731645372819</v>
      </c>
      <c r="T338" s="32">
        <f t="shared" si="88"/>
        <v>0.81206041627470116</v>
      </c>
      <c r="U338" s="32">
        <f t="shared" si="89"/>
        <v>0.80563658408767735</v>
      </c>
      <c r="V338" s="37">
        <f t="shared" si="90"/>
        <v>0.88999895457577638</v>
      </c>
      <c r="W338"/>
      <c r="AK338" s="45" t="s">
        <v>78</v>
      </c>
      <c r="AL338" s="45">
        <v>7</v>
      </c>
      <c r="AM338" s="45">
        <v>35</v>
      </c>
      <c r="AN338" s="45">
        <v>5</v>
      </c>
      <c r="AO338" s="45">
        <v>0</v>
      </c>
      <c r="AP338" s="45"/>
      <c r="AQ338" s="45"/>
      <c r="AR338" s="45"/>
    </row>
    <row r="339" spans="1:44" x14ac:dyDescent="0.35">
      <c r="A339">
        <v>5</v>
      </c>
      <c r="B339">
        <v>1</v>
      </c>
      <c r="C339">
        <v>5</v>
      </c>
      <c r="D339">
        <v>1</v>
      </c>
      <c r="E339">
        <v>1</v>
      </c>
      <c r="F339">
        <v>5</v>
      </c>
      <c r="G339">
        <v>5</v>
      </c>
      <c r="H339" s="25">
        <f t="shared" si="76"/>
        <v>5</v>
      </c>
      <c r="I339" s="25">
        <f t="shared" si="77"/>
        <v>5</v>
      </c>
      <c r="J339" s="25">
        <f t="shared" si="78"/>
        <v>5</v>
      </c>
      <c r="K339" s="25">
        <f t="shared" si="79"/>
        <v>5</v>
      </c>
      <c r="L339" s="25">
        <f t="shared" si="80"/>
        <v>5</v>
      </c>
      <c r="M339" s="25">
        <f t="shared" si="81"/>
        <v>5</v>
      </c>
      <c r="N339" s="25">
        <f t="shared" si="82"/>
        <v>5</v>
      </c>
      <c r="O339" s="32">
        <f t="shared" si="83"/>
        <v>0.84420266961423651</v>
      </c>
      <c r="P339" s="32">
        <f t="shared" si="84"/>
        <v>1.0418053570413823</v>
      </c>
      <c r="Q339" s="32">
        <f t="shared" si="85"/>
        <v>0.80698132232978881</v>
      </c>
      <c r="R339" s="32">
        <f t="shared" si="86"/>
        <v>1.0506390162289212</v>
      </c>
      <c r="S339" s="32">
        <f t="shared" si="87"/>
        <v>0.86866731645372819</v>
      </c>
      <c r="T339" s="32">
        <f t="shared" si="88"/>
        <v>0.81206041627470116</v>
      </c>
      <c r="U339" s="32">
        <f t="shared" si="89"/>
        <v>0.80563658408767735</v>
      </c>
      <c r="V339" s="37">
        <f t="shared" si="90"/>
        <v>0.88999895457577638</v>
      </c>
      <c r="W339"/>
      <c r="AK339" s="45" t="s">
        <v>78</v>
      </c>
      <c r="AL339" s="45">
        <v>7</v>
      </c>
      <c r="AM339" s="45">
        <v>35</v>
      </c>
      <c r="AN339" s="45">
        <v>5</v>
      </c>
      <c r="AO339" s="45">
        <v>0</v>
      </c>
      <c r="AP339" s="45"/>
      <c r="AQ339" s="45"/>
      <c r="AR339" s="45"/>
    </row>
    <row r="340" spans="1:44" x14ac:dyDescent="0.35">
      <c r="A340">
        <v>5</v>
      </c>
      <c r="B340">
        <v>1</v>
      </c>
      <c r="C340">
        <v>5</v>
      </c>
      <c r="D340">
        <v>1</v>
      </c>
      <c r="E340">
        <v>1</v>
      </c>
      <c r="F340">
        <v>5</v>
      </c>
      <c r="G340">
        <v>5</v>
      </c>
      <c r="H340" s="25">
        <f t="shared" si="76"/>
        <v>5</v>
      </c>
      <c r="I340" s="25">
        <f t="shared" si="77"/>
        <v>5</v>
      </c>
      <c r="J340" s="25">
        <f t="shared" si="78"/>
        <v>5</v>
      </c>
      <c r="K340" s="25">
        <f t="shared" si="79"/>
        <v>5</v>
      </c>
      <c r="L340" s="25">
        <f t="shared" si="80"/>
        <v>5</v>
      </c>
      <c r="M340" s="25">
        <f t="shared" si="81"/>
        <v>5</v>
      </c>
      <c r="N340" s="25">
        <f t="shared" si="82"/>
        <v>5</v>
      </c>
      <c r="O340" s="32">
        <f t="shared" si="83"/>
        <v>0.84420266961423651</v>
      </c>
      <c r="P340" s="32">
        <f t="shared" si="84"/>
        <v>1.0418053570413823</v>
      </c>
      <c r="Q340" s="32">
        <f t="shared" si="85"/>
        <v>0.80698132232978881</v>
      </c>
      <c r="R340" s="32">
        <f t="shared" si="86"/>
        <v>1.0506390162289212</v>
      </c>
      <c r="S340" s="32">
        <f t="shared" si="87"/>
        <v>0.86866731645372819</v>
      </c>
      <c r="T340" s="32">
        <f t="shared" si="88"/>
        <v>0.81206041627470116</v>
      </c>
      <c r="U340" s="32">
        <f t="shared" si="89"/>
        <v>0.80563658408767735</v>
      </c>
      <c r="V340" s="37">
        <f t="shared" si="90"/>
        <v>0.88999895457577638</v>
      </c>
      <c r="W340"/>
      <c r="AK340" s="45" t="s">
        <v>78</v>
      </c>
      <c r="AL340" s="45">
        <v>7</v>
      </c>
      <c r="AM340" s="45">
        <v>35</v>
      </c>
      <c r="AN340" s="45">
        <v>5</v>
      </c>
      <c r="AO340" s="45">
        <v>0</v>
      </c>
      <c r="AP340" s="45"/>
      <c r="AQ340" s="45"/>
      <c r="AR340" s="45"/>
    </row>
    <row r="341" spans="1:44" x14ac:dyDescent="0.35">
      <c r="A341">
        <v>5</v>
      </c>
      <c r="B341">
        <v>1</v>
      </c>
      <c r="C341">
        <v>5</v>
      </c>
      <c r="D341">
        <v>1</v>
      </c>
      <c r="E341">
        <v>1</v>
      </c>
      <c r="F341">
        <v>5</v>
      </c>
      <c r="G341">
        <v>5</v>
      </c>
      <c r="H341" s="25">
        <f t="shared" si="76"/>
        <v>5</v>
      </c>
      <c r="I341" s="25">
        <f t="shared" si="77"/>
        <v>5</v>
      </c>
      <c r="J341" s="25">
        <f t="shared" si="78"/>
        <v>5</v>
      </c>
      <c r="K341" s="25">
        <f t="shared" si="79"/>
        <v>5</v>
      </c>
      <c r="L341" s="25">
        <f t="shared" si="80"/>
        <v>5</v>
      </c>
      <c r="M341" s="25">
        <f t="shared" si="81"/>
        <v>5</v>
      </c>
      <c r="N341" s="25">
        <f t="shared" si="82"/>
        <v>5</v>
      </c>
      <c r="O341" s="32">
        <f t="shared" si="83"/>
        <v>0.84420266961423651</v>
      </c>
      <c r="P341" s="32">
        <f t="shared" si="84"/>
        <v>1.0418053570413823</v>
      </c>
      <c r="Q341" s="32">
        <f t="shared" si="85"/>
        <v>0.80698132232978881</v>
      </c>
      <c r="R341" s="32">
        <f t="shared" si="86"/>
        <v>1.0506390162289212</v>
      </c>
      <c r="S341" s="32">
        <f t="shared" si="87"/>
        <v>0.86866731645372819</v>
      </c>
      <c r="T341" s="32">
        <f t="shared" si="88"/>
        <v>0.81206041627470116</v>
      </c>
      <c r="U341" s="32">
        <f t="shared" si="89"/>
        <v>0.80563658408767735</v>
      </c>
      <c r="V341" s="37">
        <f t="shared" si="90"/>
        <v>0.88999895457577638</v>
      </c>
      <c r="W341"/>
      <c r="AK341" s="45" t="s">
        <v>78</v>
      </c>
      <c r="AL341" s="45">
        <v>7</v>
      </c>
      <c r="AM341" s="45">
        <v>35</v>
      </c>
      <c r="AN341" s="45">
        <v>5</v>
      </c>
      <c r="AO341" s="45">
        <v>0</v>
      </c>
      <c r="AP341" s="45"/>
      <c r="AQ341" s="45"/>
      <c r="AR341" s="45"/>
    </row>
    <row r="342" spans="1:44" x14ac:dyDescent="0.35">
      <c r="A342">
        <v>5</v>
      </c>
      <c r="B342">
        <v>1</v>
      </c>
      <c r="C342">
        <v>5</v>
      </c>
      <c r="D342">
        <v>1</v>
      </c>
      <c r="E342">
        <v>1</v>
      </c>
      <c r="F342">
        <v>5</v>
      </c>
      <c r="G342">
        <v>5</v>
      </c>
      <c r="H342" s="25">
        <f t="shared" si="76"/>
        <v>5</v>
      </c>
      <c r="I342" s="25">
        <f t="shared" si="77"/>
        <v>5</v>
      </c>
      <c r="J342" s="25">
        <f t="shared" si="78"/>
        <v>5</v>
      </c>
      <c r="K342" s="25">
        <f t="shared" si="79"/>
        <v>5</v>
      </c>
      <c r="L342" s="25">
        <f t="shared" si="80"/>
        <v>5</v>
      </c>
      <c r="M342" s="25">
        <f t="shared" si="81"/>
        <v>5</v>
      </c>
      <c r="N342" s="25">
        <f t="shared" si="82"/>
        <v>5</v>
      </c>
      <c r="O342" s="32">
        <f t="shared" si="83"/>
        <v>0.84420266961423651</v>
      </c>
      <c r="P342" s="32">
        <f t="shared" si="84"/>
        <v>1.0418053570413823</v>
      </c>
      <c r="Q342" s="32">
        <f t="shared" si="85"/>
        <v>0.80698132232978881</v>
      </c>
      <c r="R342" s="32">
        <f t="shared" si="86"/>
        <v>1.0506390162289212</v>
      </c>
      <c r="S342" s="32">
        <f t="shared" si="87"/>
        <v>0.86866731645372819</v>
      </c>
      <c r="T342" s="32">
        <f t="shared" si="88"/>
        <v>0.81206041627470116</v>
      </c>
      <c r="U342" s="32">
        <f t="shared" si="89"/>
        <v>0.80563658408767735</v>
      </c>
      <c r="V342" s="37">
        <f t="shared" si="90"/>
        <v>0.88999895457577638</v>
      </c>
      <c r="W342"/>
      <c r="AK342" s="45" t="s">
        <v>78</v>
      </c>
      <c r="AL342" s="45">
        <v>7</v>
      </c>
      <c r="AM342" s="45">
        <v>35</v>
      </c>
      <c r="AN342" s="45">
        <v>5</v>
      </c>
      <c r="AO342" s="45">
        <v>0</v>
      </c>
      <c r="AP342" s="45"/>
      <c r="AQ342" s="45"/>
      <c r="AR342" s="45"/>
    </row>
    <row r="343" spans="1:44" x14ac:dyDescent="0.35">
      <c r="A343">
        <v>5</v>
      </c>
      <c r="B343">
        <v>1</v>
      </c>
      <c r="C343">
        <v>5</v>
      </c>
      <c r="D343">
        <v>1</v>
      </c>
      <c r="E343">
        <v>1</v>
      </c>
      <c r="F343">
        <v>5</v>
      </c>
      <c r="G343">
        <v>5</v>
      </c>
      <c r="H343" s="25">
        <f t="shared" si="76"/>
        <v>5</v>
      </c>
      <c r="I343" s="25">
        <f t="shared" si="77"/>
        <v>5</v>
      </c>
      <c r="J343" s="25">
        <f t="shared" si="78"/>
        <v>5</v>
      </c>
      <c r="K343" s="25">
        <f t="shared" si="79"/>
        <v>5</v>
      </c>
      <c r="L343" s="25">
        <f t="shared" si="80"/>
        <v>5</v>
      </c>
      <c r="M343" s="25">
        <f t="shared" si="81"/>
        <v>5</v>
      </c>
      <c r="N343" s="25">
        <f t="shared" si="82"/>
        <v>5</v>
      </c>
      <c r="O343" s="32">
        <f t="shared" si="83"/>
        <v>0.84420266961423651</v>
      </c>
      <c r="P343" s="32">
        <f t="shared" si="84"/>
        <v>1.0418053570413823</v>
      </c>
      <c r="Q343" s="32">
        <f t="shared" si="85"/>
        <v>0.80698132232978881</v>
      </c>
      <c r="R343" s="32">
        <f t="shared" si="86"/>
        <v>1.0506390162289212</v>
      </c>
      <c r="S343" s="32">
        <f t="shared" si="87"/>
        <v>0.86866731645372819</v>
      </c>
      <c r="T343" s="32">
        <f t="shared" si="88"/>
        <v>0.81206041627470116</v>
      </c>
      <c r="U343" s="32">
        <f t="shared" si="89"/>
        <v>0.80563658408767735</v>
      </c>
      <c r="V343" s="37">
        <f t="shared" si="90"/>
        <v>0.88999895457577638</v>
      </c>
      <c r="W343"/>
      <c r="AK343" s="45" t="s">
        <v>78</v>
      </c>
      <c r="AL343" s="45">
        <v>7</v>
      </c>
      <c r="AM343" s="45">
        <v>35</v>
      </c>
      <c r="AN343" s="45">
        <v>5</v>
      </c>
      <c r="AO343" s="45">
        <v>0</v>
      </c>
      <c r="AP343" s="45"/>
      <c r="AQ343" s="45"/>
      <c r="AR343" s="45"/>
    </row>
    <row r="344" spans="1:44" x14ac:dyDescent="0.35">
      <c r="A344">
        <v>5</v>
      </c>
      <c r="B344">
        <v>1</v>
      </c>
      <c r="C344">
        <v>5</v>
      </c>
      <c r="D344">
        <v>1</v>
      </c>
      <c r="E344">
        <v>1</v>
      </c>
      <c r="F344">
        <v>5</v>
      </c>
      <c r="G344">
        <v>5</v>
      </c>
      <c r="H344" s="25">
        <f t="shared" si="76"/>
        <v>5</v>
      </c>
      <c r="I344" s="25">
        <f t="shared" si="77"/>
        <v>5</v>
      </c>
      <c r="J344" s="25">
        <f t="shared" si="78"/>
        <v>5</v>
      </c>
      <c r="K344" s="25">
        <f t="shared" si="79"/>
        <v>5</v>
      </c>
      <c r="L344" s="25">
        <f t="shared" si="80"/>
        <v>5</v>
      </c>
      <c r="M344" s="25">
        <f t="shared" si="81"/>
        <v>5</v>
      </c>
      <c r="N344" s="25">
        <f t="shared" si="82"/>
        <v>5</v>
      </c>
      <c r="O344" s="32">
        <f t="shared" si="83"/>
        <v>0.84420266961423651</v>
      </c>
      <c r="P344" s="32">
        <f t="shared" si="84"/>
        <v>1.0418053570413823</v>
      </c>
      <c r="Q344" s="32">
        <f t="shared" si="85"/>
        <v>0.80698132232978881</v>
      </c>
      <c r="R344" s="32">
        <f t="shared" si="86"/>
        <v>1.0506390162289212</v>
      </c>
      <c r="S344" s="32">
        <f t="shared" si="87"/>
        <v>0.86866731645372819</v>
      </c>
      <c r="T344" s="32">
        <f t="shared" si="88"/>
        <v>0.81206041627470116</v>
      </c>
      <c r="U344" s="32">
        <f t="shared" si="89"/>
        <v>0.80563658408767735</v>
      </c>
      <c r="V344" s="37">
        <f t="shared" si="90"/>
        <v>0.88999895457577638</v>
      </c>
      <c r="W344"/>
      <c r="AK344" s="45" t="s">
        <v>78</v>
      </c>
      <c r="AL344" s="45">
        <v>7</v>
      </c>
      <c r="AM344" s="45">
        <v>35</v>
      </c>
      <c r="AN344" s="45">
        <v>5</v>
      </c>
      <c r="AO344" s="45">
        <v>0</v>
      </c>
      <c r="AP344" s="45"/>
      <c r="AQ344" s="45"/>
      <c r="AR344" s="45"/>
    </row>
    <row r="345" spans="1:44" x14ac:dyDescent="0.35">
      <c r="A345">
        <v>5</v>
      </c>
      <c r="B345">
        <v>1</v>
      </c>
      <c r="C345">
        <v>5</v>
      </c>
      <c r="D345">
        <v>1</v>
      </c>
      <c r="E345">
        <v>1</v>
      </c>
      <c r="F345">
        <v>5</v>
      </c>
      <c r="G345">
        <v>5</v>
      </c>
      <c r="H345" s="25">
        <f t="shared" si="76"/>
        <v>5</v>
      </c>
      <c r="I345" s="25">
        <f t="shared" si="77"/>
        <v>5</v>
      </c>
      <c r="J345" s="25">
        <f t="shared" si="78"/>
        <v>5</v>
      </c>
      <c r="K345" s="25">
        <f t="shared" si="79"/>
        <v>5</v>
      </c>
      <c r="L345" s="25">
        <f t="shared" si="80"/>
        <v>5</v>
      </c>
      <c r="M345" s="25">
        <f t="shared" si="81"/>
        <v>5</v>
      </c>
      <c r="N345" s="25">
        <f t="shared" si="82"/>
        <v>5</v>
      </c>
      <c r="O345" s="32">
        <f t="shared" si="83"/>
        <v>0.84420266961423651</v>
      </c>
      <c r="P345" s="32">
        <f t="shared" si="84"/>
        <v>1.0418053570413823</v>
      </c>
      <c r="Q345" s="32">
        <f t="shared" si="85"/>
        <v>0.80698132232978881</v>
      </c>
      <c r="R345" s="32">
        <f t="shared" si="86"/>
        <v>1.0506390162289212</v>
      </c>
      <c r="S345" s="32">
        <f t="shared" si="87"/>
        <v>0.86866731645372819</v>
      </c>
      <c r="T345" s="32">
        <f t="shared" si="88"/>
        <v>0.81206041627470116</v>
      </c>
      <c r="U345" s="32">
        <f t="shared" si="89"/>
        <v>0.80563658408767735</v>
      </c>
      <c r="V345" s="37">
        <f t="shared" si="90"/>
        <v>0.88999895457577638</v>
      </c>
      <c r="W345"/>
      <c r="AK345" s="45" t="s">
        <v>78</v>
      </c>
      <c r="AL345" s="45">
        <v>7</v>
      </c>
      <c r="AM345" s="45">
        <v>35</v>
      </c>
      <c r="AN345" s="45">
        <v>5</v>
      </c>
      <c r="AO345" s="45">
        <v>0</v>
      </c>
      <c r="AP345" s="45"/>
      <c r="AQ345" s="45"/>
      <c r="AR345" s="45"/>
    </row>
    <row r="346" spans="1:44" x14ac:dyDescent="0.35">
      <c r="A346">
        <v>5</v>
      </c>
      <c r="B346">
        <v>1</v>
      </c>
      <c r="C346">
        <v>5</v>
      </c>
      <c r="D346">
        <v>1</v>
      </c>
      <c r="E346">
        <v>1</v>
      </c>
      <c r="F346">
        <v>5</v>
      </c>
      <c r="G346">
        <v>5</v>
      </c>
      <c r="H346" s="25">
        <f t="shared" si="76"/>
        <v>5</v>
      </c>
      <c r="I346" s="25">
        <f t="shared" si="77"/>
        <v>5</v>
      </c>
      <c r="J346" s="25">
        <f t="shared" si="78"/>
        <v>5</v>
      </c>
      <c r="K346" s="25">
        <f t="shared" si="79"/>
        <v>5</v>
      </c>
      <c r="L346" s="25">
        <f t="shared" si="80"/>
        <v>5</v>
      </c>
      <c r="M346" s="25">
        <f t="shared" si="81"/>
        <v>5</v>
      </c>
      <c r="N346" s="25">
        <f t="shared" si="82"/>
        <v>5</v>
      </c>
      <c r="O346" s="32">
        <f t="shared" si="83"/>
        <v>0.84420266961423651</v>
      </c>
      <c r="P346" s="32">
        <f t="shared" si="84"/>
        <v>1.0418053570413823</v>
      </c>
      <c r="Q346" s="32">
        <f t="shared" si="85"/>
        <v>0.80698132232978881</v>
      </c>
      <c r="R346" s="32">
        <f t="shared" si="86"/>
        <v>1.0506390162289212</v>
      </c>
      <c r="S346" s="32">
        <f t="shared" si="87"/>
        <v>0.86866731645372819</v>
      </c>
      <c r="T346" s="32">
        <f t="shared" si="88"/>
        <v>0.81206041627470116</v>
      </c>
      <c r="U346" s="32">
        <f t="shared" si="89"/>
        <v>0.80563658408767735</v>
      </c>
      <c r="V346" s="37">
        <f t="shared" si="90"/>
        <v>0.88999895457577638</v>
      </c>
      <c r="W346"/>
      <c r="AK346" s="45" t="s">
        <v>78</v>
      </c>
      <c r="AL346" s="45">
        <v>7</v>
      </c>
      <c r="AM346" s="45">
        <v>35</v>
      </c>
      <c r="AN346" s="45">
        <v>5</v>
      </c>
      <c r="AO346" s="45">
        <v>0</v>
      </c>
      <c r="AP346" s="45"/>
      <c r="AQ346" s="45"/>
      <c r="AR346" s="45"/>
    </row>
    <row r="347" spans="1:44" x14ac:dyDescent="0.35">
      <c r="A347">
        <v>5</v>
      </c>
      <c r="B347">
        <v>1</v>
      </c>
      <c r="C347">
        <v>5</v>
      </c>
      <c r="D347">
        <v>1</v>
      </c>
      <c r="E347">
        <v>1</v>
      </c>
      <c r="F347">
        <v>5</v>
      </c>
      <c r="G347">
        <v>5</v>
      </c>
      <c r="H347" s="25">
        <f t="shared" si="76"/>
        <v>5</v>
      </c>
      <c r="I347" s="25">
        <f t="shared" si="77"/>
        <v>5</v>
      </c>
      <c r="J347" s="25">
        <f t="shared" si="78"/>
        <v>5</v>
      </c>
      <c r="K347" s="25">
        <f t="shared" si="79"/>
        <v>5</v>
      </c>
      <c r="L347" s="25">
        <f t="shared" si="80"/>
        <v>5</v>
      </c>
      <c r="M347" s="25">
        <f t="shared" si="81"/>
        <v>5</v>
      </c>
      <c r="N347" s="25">
        <f t="shared" si="82"/>
        <v>5</v>
      </c>
      <c r="O347" s="32">
        <f t="shared" si="83"/>
        <v>0.84420266961423651</v>
      </c>
      <c r="P347" s="32">
        <f t="shared" si="84"/>
        <v>1.0418053570413823</v>
      </c>
      <c r="Q347" s="32">
        <f t="shared" si="85"/>
        <v>0.80698132232978881</v>
      </c>
      <c r="R347" s="32">
        <f t="shared" si="86"/>
        <v>1.0506390162289212</v>
      </c>
      <c r="S347" s="32">
        <f t="shared" si="87"/>
        <v>0.86866731645372819</v>
      </c>
      <c r="T347" s="32">
        <f t="shared" si="88"/>
        <v>0.81206041627470116</v>
      </c>
      <c r="U347" s="32">
        <f t="shared" si="89"/>
        <v>0.80563658408767735</v>
      </c>
      <c r="V347" s="37">
        <f t="shared" si="90"/>
        <v>0.88999895457577638</v>
      </c>
      <c r="W347"/>
      <c r="AK347" s="45" t="s">
        <v>78</v>
      </c>
      <c r="AL347" s="45">
        <v>7</v>
      </c>
      <c r="AM347" s="45">
        <v>35</v>
      </c>
      <c r="AN347" s="45">
        <v>5</v>
      </c>
      <c r="AO347" s="45">
        <v>0</v>
      </c>
      <c r="AP347" s="45"/>
      <c r="AQ347" s="45"/>
      <c r="AR347" s="45"/>
    </row>
    <row r="348" spans="1:44" x14ac:dyDescent="0.35">
      <c r="A348">
        <v>5</v>
      </c>
      <c r="B348">
        <v>1</v>
      </c>
      <c r="C348">
        <v>5</v>
      </c>
      <c r="D348">
        <v>1</v>
      </c>
      <c r="E348">
        <v>1</v>
      </c>
      <c r="F348">
        <v>5</v>
      </c>
      <c r="G348">
        <v>5</v>
      </c>
      <c r="H348" s="25">
        <f t="shared" si="76"/>
        <v>5</v>
      </c>
      <c r="I348" s="25">
        <f t="shared" si="77"/>
        <v>5</v>
      </c>
      <c r="J348" s="25">
        <f t="shared" si="78"/>
        <v>5</v>
      </c>
      <c r="K348" s="31">
        <f t="shared" si="79"/>
        <v>5</v>
      </c>
      <c r="L348" s="31">
        <f t="shared" si="80"/>
        <v>5</v>
      </c>
      <c r="M348" s="25">
        <f t="shared" si="81"/>
        <v>5</v>
      </c>
      <c r="N348" s="25">
        <f t="shared" si="82"/>
        <v>5</v>
      </c>
      <c r="O348" s="32">
        <f t="shared" si="83"/>
        <v>0.84420266961423651</v>
      </c>
      <c r="P348" s="32">
        <f t="shared" si="84"/>
        <v>1.0418053570413823</v>
      </c>
      <c r="Q348" s="32">
        <f t="shared" si="85"/>
        <v>0.80698132232978881</v>
      </c>
      <c r="R348" s="32">
        <f t="shared" si="86"/>
        <v>1.0506390162289212</v>
      </c>
      <c r="S348" s="32">
        <f t="shared" si="87"/>
        <v>0.86866731645372819</v>
      </c>
      <c r="T348" s="32">
        <f t="shared" si="88"/>
        <v>0.81206041627470116</v>
      </c>
      <c r="U348" s="32">
        <f t="shared" si="89"/>
        <v>0.80563658408767735</v>
      </c>
      <c r="V348" s="37">
        <f t="shared" si="90"/>
        <v>0.88999895457577638</v>
      </c>
      <c r="W348"/>
      <c r="AK348" s="45" t="s">
        <v>78</v>
      </c>
      <c r="AL348" s="45">
        <v>7</v>
      </c>
      <c r="AM348" s="45">
        <v>35</v>
      </c>
      <c r="AN348" s="45">
        <v>5</v>
      </c>
      <c r="AO348" s="45">
        <v>0</v>
      </c>
      <c r="AP348" s="45"/>
      <c r="AQ348" s="45"/>
      <c r="AR348" s="45"/>
    </row>
    <row r="349" spans="1:44" x14ac:dyDescent="0.35">
      <c r="A349">
        <v>5</v>
      </c>
      <c r="B349">
        <v>1</v>
      </c>
      <c r="C349">
        <v>5</v>
      </c>
      <c r="D349">
        <v>1</v>
      </c>
      <c r="E349">
        <v>1</v>
      </c>
      <c r="F349">
        <v>5</v>
      </c>
      <c r="G349">
        <v>5</v>
      </c>
      <c r="H349" s="25">
        <f t="shared" si="76"/>
        <v>5</v>
      </c>
      <c r="I349" s="25">
        <f t="shared" si="77"/>
        <v>5</v>
      </c>
      <c r="J349" s="25">
        <f t="shared" si="78"/>
        <v>5</v>
      </c>
      <c r="K349" s="25">
        <f t="shared" si="79"/>
        <v>5</v>
      </c>
      <c r="L349" s="25">
        <f t="shared" si="80"/>
        <v>5</v>
      </c>
      <c r="M349" s="25">
        <f t="shared" si="81"/>
        <v>5</v>
      </c>
      <c r="N349" s="25">
        <f t="shared" si="82"/>
        <v>5</v>
      </c>
      <c r="O349" s="32">
        <f t="shared" si="83"/>
        <v>0.84420266961423651</v>
      </c>
      <c r="P349" s="32">
        <f t="shared" si="84"/>
        <v>1.0418053570413823</v>
      </c>
      <c r="Q349" s="32">
        <f t="shared" si="85"/>
        <v>0.80698132232978881</v>
      </c>
      <c r="R349" s="32">
        <f t="shared" si="86"/>
        <v>1.0506390162289212</v>
      </c>
      <c r="S349" s="32">
        <f t="shared" si="87"/>
        <v>0.86866731645372819</v>
      </c>
      <c r="T349" s="32">
        <f t="shared" si="88"/>
        <v>0.81206041627470116</v>
      </c>
      <c r="U349" s="32">
        <f t="shared" si="89"/>
        <v>0.80563658408767735</v>
      </c>
      <c r="V349" s="37">
        <f t="shared" si="90"/>
        <v>0.88999895457577638</v>
      </c>
      <c r="W349"/>
      <c r="AK349" s="45" t="s">
        <v>78</v>
      </c>
      <c r="AL349" s="45">
        <v>7</v>
      </c>
      <c r="AM349" s="45">
        <v>35</v>
      </c>
      <c r="AN349" s="45">
        <v>5</v>
      </c>
      <c r="AO349" s="45">
        <v>0</v>
      </c>
      <c r="AP349" s="45"/>
      <c r="AQ349" s="45"/>
      <c r="AR349" s="45"/>
    </row>
    <row r="350" spans="1:44" x14ac:dyDescent="0.35">
      <c r="A350">
        <v>5</v>
      </c>
      <c r="B350">
        <v>1</v>
      </c>
      <c r="C350">
        <v>5</v>
      </c>
      <c r="D350">
        <v>1</v>
      </c>
      <c r="E350">
        <v>1</v>
      </c>
      <c r="F350">
        <v>5</v>
      </c>
      <c r="G350">
        <v>5</v>
      </c>
      <c r="H350" s="25">
        <f t="shared" si="76"/>
        <v>5</v>
      </c>
      <c r="I350" s="25">
        <f t="shared" si="77"/>
        <v>5</v>
      </c>
      <c r="J350" s="25">
        <f t="shared" si="78"/>
        <v>5</v>
      </c>
      <c r="K350" s="25">
        <f t="shared" si="79"/>
        <v>5</v>
      </c>
      <c r="L350" s="25">
        <f t="shared" si="80"/>
        <v>5</v>
      </c>
      <c r="M350" s="25">
        <f t="shared" si="81"/>
        <v>5</v>
      </c>
      <c r="N350" s="25">
        <f t="shared" si="82"/>
        <v>5</v>
      </c>
      <c r="O350" s="32">
        <f t="shared" si="83"/>
        <v>0.84420266961423651</v>
      </c>
      <c r="P350" s="32">
        <f t="shared" si="84"/>
        <v>1.0418053570413823</v>
      </c>
      <c r="Q350" s="32">
        <f t="shared" si="85"/>
        <v>0.80698132232978881</v>
      </c>
      <c r="R350" s="32">
        <f t="shared" si="86"/>
        <v>1.0506390162289212</v>
      </c>
      <c r="S350" s="32">
        <f t="shared" si="87"/>
        <v>0.86866731645372819</v>
      </c>
      <c r="T350" s="32">
        <f t="shared" si="88"/>
        <v>0.81206041627470116</v>
      </c>
      <c r="U350" s="32">
        <f t="shared" si="89"/>
        <v>0.80563658408767735</v>
      </c>
      <c r="V350" s="37">
        <f t="shared" si="90"/>
        <v>0.88999895457577638</v>
      </c>
      <c r="W350"/>
      <c r="AK350" s="45" t="s">
        <v>78</v>
      </c>
      <c r="AL350" s="45">
        <v>7</v>
      </c>
      <c r="AM350" s="45">
        <v>35</v>
      </c>
      <c r="AN350" s="45">
        <v>5</v>
      </c>
      <c r="AO350" s="45">
        <v>0</v>
      </c>
      <c r="AP350" s="45"/>
      <c r="AQ350" s="45"/>
      <c r="AR350" s="45"/>
    </row>
    <row r="351" spans="1:44" x14ac:dyDescent="0.35">
      <c r="A351">
        <v>5</v>
      </c>
      <c r="B351">
        <v>1</v>
      </c>
      <c r="C351">
        <v>5</v>
      </c>
      <c r="D351">
        <v>1</v>
      </c>
      <c r="E351">
        <v>1</v>
      </c>
      <c r="F351">
        <v>5</v>
      </c>
      <c r="G351">
        <v>5</v>
      </c>
      <c r="H351" s="25">
        <f t="shared" si="76"/>
        <v>5</v>
      </c>
      <c r="I351" s="25">
        <f t="shared" si="77"/>
        <v>5</v>
      </c>
      <c r="J351" s="25">
        <f t="shared" si="78"/>
        <v>5</v>
      </c>
      <c r="K351" s="25">
        <f t="shared" si="79"/>
        <v>5</v>
      </c>
      <c r="L351" s="25">
        <f t="shared" si="80"/>
        <v>5</v>
      </c>
      <c r="M351" s="25">
        <f t="shared" si="81"/>
        <v>5</v>
      </c>
      <c r="N351" s="25">
        <f t="shared" si="82"/>
        <v>5</v>
      </c>
      <c r="O351" s="32">
        <f t="shared" si="83"/>
        <v>0.84420266961423651</v>
      </c>
      <c r="P351" s="32">
        <f t="shared" si="84"/>
        <v>1.0418053570413823</v>
      </c>
      <c r="Q351" s="32">
        <f t="shared" si="85"/>
        <v>0.80698132232978881</v>
      </c>
      <c r="R351" s="32">
        <f t="shared" si="86"/>
        <v>1.0506390162289212</v>
      </c>
      <c r="S351" s="32">
        <f t="shared" si="87"/>
        <v>0.86866731645372819</v>
      </c>
      <c r="T351" s="32">
        <f t="shared" si="88"/>
        <v>0.81206041627470116</v>
      </c>
      <c r="U351" s="32">
        <f t="shared" si="89"/>
        <v>0.80563658408767735</v>
      </c>
      <c r="V351" s="37">
        <f t="shared" si="90"/>
        <v>0.88999895457577638</v>
      </c>
      <c r="W351"/>
      <c r="AK351" s="45" t="s">
        <v>78</v>
      </c>
      <c r="AL351" s="45">
        <v>7</v>
      </c>
      <c r="AM351" s="45">
        <v>35</v>
      </c>
      <c r="AN351" s="45">
        <v>5</v>
      </c>
      <c r="AO351" s="45">
        <v>0</v>
      </c>
      <c r="AP351" s="45"/>
      <c r="AQ351" s="45"/>
      <c r="AR351" s="45"/>
    </row>
    <row r="352" spans="1:44" x14ac:dyDescent="0.35">
      <c r="A352">
        <v>5</v>
      </c>
      <c r="B352">
        <v>1</v>
      </c>
      <c r="C352">
        <v>5</v>
      </c>
      <c r="D352">
        <v>1</v>
      </c>
      <c r="E352">
        <v>1</v>
      </c>
      <c r="F352">
        <v>5</v>
      </c>
      <c r="G352">
        <v>5</v>
      </c>
      <c r="H352" s="25">
        <f t="shared" si="76"/>
        <v>5</v>
      </c>
      <c r="I352" s="25">
        <f t="shared" si="77"/>
        <v>5</v>
      </c>
      <c r="J352" s="25">
        <f t="shared" si="78"/>
        <v>5</v>
      </c>
      <c r="K352" s="25">
        <f t="shared" si="79"/>
        <v>5</v>
      </c>
      <c r="L352" s="25">
        <f t="shared" si="80"/>
        <v>5</v>
      </c>
      <c r="M352" s="25">
        <f t="shared" si="81"/>
        <v>5</v>
      </c>
      <c r="N352" s="25">
        <f t="shared" si="82"/>
        <v>5</v>
      </c>
      <c r="O352" s="32">
        <f t="shared" si="83"/>
        <v>0.84420266961423651</v>
      </c>
      <c r="P352" s="32">
        <f t="shared" si="84"/>
        <v>1.0418053570413823</v>
      </c>
      <c r="Q352" s="32">
        <f t="shared" si="85"/>
        <v>0.80698132232978881</v>
      </c>
      <c r="R352" s="32">
        <f t="shared" si="86"/>
        <v>1.0506390162289212</v>
      </c>
      <c r="S352" s="32">
        <f t="shared" si="87"/>
        <v>0.86866731645372819</v>
      </c>
      <c r="T352" s="32">
        <f t="shared" si="88"/>
        <v>0.81206041627470116</v>
      </c>
      <c r="U352" s="32">
        <f t="shared" si="89"/>
        <v>0.80563658408767735</v>
      </c>
      <c r="V352" s="37">
        <f t="shared" si="90"/>
        <v>0.88999895457577638</v>
      </c>
      <c r="W352"/>
      <c r="AK352" s="45" t="s">
        <v>78</v>
      </c>
      <c r="AL352" s="45">
        <v>7</v>
      </c>
      <c r="AM352" s="45">
        <v>35</v>
      </c>
      <c r="AN352" s="45">
        <v>5</v>
      </c>
      <c r="AO352" s="45">
        <v>0</v>
      </c>
      <c r="AP352" s="45"/>
      <c r="AQ352" s="45"/>
      <c r="AR352" s="45"/>
    </row>
    <row r="353" spans="1:44" x14ac:dyDescent="0.35">
      <c r="A353">
        <v>5</v>
      </c>
      <c r="B353">
        <v>1</v>
      </c>
      <c r="C353">
        <v>5</v>
      </c>
      <c r="D353">
        <v>1</v>
      </c>
      <c r="E353">
        <v>1</v>
      </c>
      <c r="F353">
        <v>5</v>
      </c>
      <c r="G353">
        <v>5</v>
      </c>
      <c r="H353" s="25">
        <f t="shared" si="76"/>
        <v>5</v>
      </c>
      <c r="I353" s="25">
        <f t="shared" si="77"/>
        <v>5</v>
      </c>
      <c r="J353" s="25">
        <f t="shared" si="78"/>
        <v>5</v>
      </c>
      <c r="K353" s="25">
        <f t="shared" si="79"/>
        <v>5</v>
      </c>
      <c r="L353" s="25">
        <f t="shared" si="80"/>
        <v>5</v>
      </c>
      <c r="M353" s="25">
        <f t="shared" si="81"/>
        <v>5</v>
      </c>
      <c r="N353" s="25">
        <f t="shared" si="82"/>
        <v>5</v>
      </c>
      <c r="O353" s="32">
        <f t="shared" si="83"/>
        <v>0.84420266961423651</v>
      </c>
      <c r="P353" s="32">
        <f t="shared" si="84"/>
        <v>1.0418053570413823</v>
      </c>
      <c r="Q353" s="32">
        <f t="shared" si="85"/>
        <v>0.80698132232978881</v>
      </c>
      <c r="R353" s="32">
        <f t="shared" si="86"/>
        <v>1.0506390162289212</v>
      </c>
      <c r="S353" s="32">
        <f t="shared" si="87"/>
        <v>0.86866731645372819</v>
      </c>
      <c r="T353" s="32">
        <f t="shared" si="88"/>
        <v>0.81206041627470116</v>
      </c>
      <c r="U353" s="32">
        <f t="shared" si="89"/>
        <v>0.80563658408767735</v>
      </c>
      <c r="V353" s="37">
        <f t="shared" si="90"/>
        <v>0.88999895457577638</v>
      </c>
      <c r="W353"/>
      <c r="AK353" s="45" t="s">
        <v>78</v>
      </c>
      <c r="AL353" s="45">
        <v>7</v>
      </c>
      <c r="AM353" s="45">
        <v>35</v>
      </c>
      <c r="AN353" s="45">
        <v>5</v>
      </c>
      <c r="AO353" s="45">
        <v>0</v>
      </c>
      <c r="AP353" s="45"/>
      <c r="AQ353" s="45"/>
      <c r="AR353" s="45"/>
    </row>
    <row r="354" spans="1:44" x14ac:dyDescent="0.35">
      <c r="A354">
        <v>5</v>
      </c>
      <c r="B354">
        <v>1</v>
      </c>
      <c r="C354">
        <v>5</v>
      </c>
      <c r="D354">
        <v>1</v>
      </c>
      <c r="E354">
        <v>1</v>
      </c>
      <c r="F354">
        <v>5</v>
      </c>
      <c r="G354">
        <v>5</v>
      </c>
      <c r="H354" s="25">
        <f t="shared" si="76"/>
        <v>5</v>
      </c>
      <c r="I354" s="25">
        <f t="shared" si="77"/>
        <v>5</v>
      </c>
      <c r="J354" s="25">
        <f t="shared" si="78"/>
        <v>5</v>
      </c>
      <c r="K354" s="25">
        <f t="shared" si="79"/>
        <v>5</v>
      </c>
      <c r="L354" s="25">
        <f t="shared" si="80"/>
        <v>5</v>
      </c>
      <c r="M354" s="25">
        <f t="shared" si="81"/>
        <v>5</v>
      </c>
      <c r="N354" s="25">
        <f t="shared" si="82"/>
        <v>5</v>
      </c>
      <c r="O354" s="32">
        <f t="shared" si="83"/>
        <v>0.84420266961423651</v>
      </c>
      <c r="P354" s="32">
        <f t="shared" si="84"/>
        <v>1.0418053570413823</v>
      </c>
      <c r="Q354" s="32">
        <f t="shared" si="85"/>
        <v>0.80698132232978881</v>
      </c>
      <c r="R354" s="32">
        <f t="shared" si="86"/>
        <v>1.0506390162289212</v>
      </c>
      <c r="S354" s="32">
        <f t="shared" si="87"/>
        <v>0.86866731645372819</v>
      </c>
      <c r="T354" s="32">
        <f t="shared" si="88"/>
        <v>0.81206041627470116</v>
      </c>
      <c r="U354" s="32">
        <f t="shared" si="89"/>
        <v>0.80563658408767735</v>
      </c>
      <c r="V354" s="37">
        <f t="shared" si="90"/>
        <v>0.88999895457577638</v>
      </c>
      <c r="W354"/>
      <c r="AK354" s="45" t="s">
        <v>78</v>
      </c>
      <c r="AL354" s="45">
        <v>7</v>
      </c>
      <c r="AM354" s="45">
        <v>35</v>
      </c>
      <c r="AN354" s="45">
        <v>5</v>
      </c>
      <c r="AO354" s="45">
        <v>0</v>
      </c>
      <c r="AP354" s="45"/>
      <c r="AQ354" s="45"/>
      <c r="AR354" s="45"/>
    </row>
    <row r="355" spans="1:44" x14ac:dyDescent="0.35">
      <c r="A355">
        <v>5</v>
      </c>
      <c r="B355">
        <v>1</v>
      </c>
      <c r="C355">
        <v>5</v>
      </c>
      <c r="D355">
        <v>1</v>
      </c>
      <c r="E355">
        <v>1</v>
      </c>
      <c r="F355">
        <v>5</v>
      </c>
      <c r="G355">
        <v>5</v>
      </c>
      <c r="H355" s="25">
        <f t="shared" si="76"/>
        <v>5</v>
      </c>
      <c r="I355" s="25">
        <f t="shared" si="77"/>
        <v>5</v>
      </c>
      <c r="J355" s="25">
        <f t="shared" si="78"/>
        <v>5</v>
      </c>
      <c r="K355" s="25">
        <f t="shared" si="79"/>
        <v>5</v>
      </c>
      <c r="L355" s="25">
        <f t="shared" si="80"/>
        <v>5</v>
      </c>
      <c r="M355" s="25">
        <f t="shared" si="81"/>
        <v>5</v>
      </c>
      <c r="N355" s="25">
        <f t="shared" si="82"/>
        <v>5</v>
      </c>
      <c r="O355" s="32">
        <f t="shared" si="83"/>
        <v>0.84420266961423651</v>
      </c>
      <c r="P355" s="32">
        <f t="shared" si="84"/>
        <v>1.0418053570413823</v>
      </c>
      <c r="Q355" s="32">
        <f t="shared" si="85"/>
        <v>0.80698132232978881</v>
      </c>
      <c r="R355" s="32">
        <f t="shared" si="86"/>
        <v>1.0506390162289212</v>
      </c>
      <c r="S355" s="32">
        <f t="shared" si="87"/>
        <v>0.86866731645372819</v>
      </c>
      <c r="T355" s="32">
        <f t="shared" si="88"/>
        <v>0.81206041627470116</v>
      </c>
      <c r="U355" s="32">
        <f t="shared" si="89"/>
        <v>0.80563658408767735</v>
      </c>
      <c r="V355" s="37">
        <f t="shared" si="90"/>
        <v>0.88999895457577638</v>
      </c>
      <c r="W355"/>
      <c r="AK355" s="45" t="s">
        <v>78</v>
      </c>
      <c r="AL355" s="45">
        <v>7</v>
      </c>
      <c r="AM355" s="45">
        <v>35</v>
      </c>
      <c r="AN355" s="45">
        <v>5</v>
      </c>
      <c r="AO355" s="45">
        <v>0</v>
      </c>
      <c r="AP355" s="45"/>
      <c r="AQ355" s="45"/>
      <c r="AR355" s="45"/>
    </row>
    <row r="356" spans="1:44" x14ac:dyDescent="0.35">
      <c r="A356">
        <v>5</v>
      </c>
      <c r="B356">
        <v>1</v>
      </c>
      <c r="C356">
        <v>5</v>
      </c>
      <c r="D356">
        <v>1</v>
      </c>
      <c r="E356">
        <v>1</v>
      </c>
      <c r="F356">
        <v>5</v>
      </c>
      <c r="G356">
        <v>5</v>
      </c>
      <c r="H356" s="25">
        <f t="shared" si="76"/>
        <v>5</v>
      </c>
      <c r="I356" s="25">
        <f t="shared" si="77"/>
        <v>5</v>
      </c>
      <c r="J356" s="25">
        <f t="shared" si="78"/>
        <v>5</v>
      </c>
      <c r="K356" s="25">
        <f t="shared" si="79"/>
        <v>5</v>
      </c>
      <c r="L356" s="25">
        <f t="shared" si="80"/>
        <v>5</v>
      </c>
      <c r="M356" s="25">
        <f t="shared" si="81"/>
        <v>5</v>
      </c>
      <c r="N356" s="25">
        <f t="shared" si="82"/>
        <v>5</v>
      </c>
      <c r="O356" s="32">
        <f t="shared" si="83"/>
        <v>0.84420266961423651</v>
      </c>
      <c r="P356" s="32">
        <f t="shared" si="84"/>
        <v>1.0418053570413823</v>
      </c>
      <c r="Q356" s="32">
        <f t="shared" si="85"/>
        <v>0.80698132232978881</v>
      </c>
      <c r="R356" s="32">
        <f t="shared" si="86"/>
        <v>1.0506390162289212</v>
      </c>
      <c r="S356" s="32">
        <f t="shared" si="87"/>
        <v>0.86866731645372819</v>
      </c>
      <c r="T356" s="32">
        <f t="shared" si="88"/>
        <v>0.81206041627470116</v>
      </c>
      <c r="U356" s="32">
        <f t="shared" si="89"/>
        <v>0.80563658408767735</v>
      </c>
      <c r="V356" s="37">
        <f t="shared" si="90"/>
        <v>0.88999895457577638</v>
      </c>
      <c r="W356"/>
      <c r="AK356" s="45" t="s">
        <v>78</v>
      </c>
      <c r="AL356" s="45">
        <v>7</v>
      </c>
      <c r="AM356" s="45">
        <v>35</v>
      </c>
      <c r="AN356" s="45">
        <v>5</v>
      </c>
      <c r="AO356" s="45">
        <v>0</v>
      </c>
      <c r="AP356" s="45"/>
      <c r="AQ356" s="45"/>
      <c r="AR356" s="45"/>
    </row>
    <row r="357" spans="1:44" x14ac:dyDescent="0.35">
      <c r="A357">
        <v>5</v>
      </c>
      <c r="B357">
        <v>1</v>
      </c>
      <c r="C357">
        <v>5</v>
      </c>
      <c r="D357">
        <v>1</v>
      </c>
      <c r="E357">
        <v>1</v>
      </c>
      <c r="F357">
        <v>5</v>
      </c>
      <c r="G357">
        <v>5</v>
      </c>
      <c r="H357" s="25">
        <f t="shared" si="76"/>
        <v>5</v>
      </c>
      <c r="I357" s="25">
        <f t="shared" si="77"/>
        <v>5</v>
      </c>
      <c r="J357" s="25">
        <f t="shared" si="78"/>
        <v>5</v>
      </c>
      <c r="K357" s="25">
        <f t="shared" si="79"/>
        <v>5</v>
      </c>
      <c r="L357" s="25">
        <f t="shared" si="80"/>
        <v>5</v>
      </c>
      <c r="M357" s="25">
        <f t="shared" si="81"/>
        <v>5</v>
      </c>
      <c r="N357" s="25">
        <f t="shared" si="82"/>
        <v>5</v>
      </c>
      <c r="O357" s="32">
        <f t="shared" si="83"/>
        <v>0.84420266961423651</v>
      </c>
      <c r="P357" s="32">
        <f t="shared" si="84"/>
        <v>1.0418053570413823</v>
      </c>
      <c r="Q357" s="32">
        <f t="shared" si="85"/>
        <v>0.80698132232978881</v>
      </c>
      <c r="R357" s="32">
        <f t="shared" si="86"/>
        <v>1.0506390162289212</v>
      </c>
      <c r="S357" s="32">
        <f t="shared" si="87"/>
        <v>0.86866731645372819</v>
      </c>
      <c r="T357" s="32">
        <f t="shared" si="88"/>
        <v>0.81206041627470116</v>
      </c>
      <c r="U357" s="32">
        <f t="shared" si="89"/>
        <v>0.80563658408767735</v>
      </c>
      <c r="V357" s="37">
        <f t="shared" si="90"/>
        <v>0.88999895457577638</v>
      </c>
      <c r="W357"/>
      <c r="AK357" s="45" t="s">
        <v>78</v>
      </c>
      <c r="AL357" s="45">
        <v>7</v>
      </c>
      <c r="AM357" s="45">
        <v>35</v>
      </c>
      <c r="AN357" s="45">
        <v>5</v>
      </c>
      <c r="AO357" s="45">
        <v>0</v>
      </c>
      <c r="AP357" s="45"/>
      <c r="AQ357" s="45"/>
      <c r="AR357" s="45"/>
    </row>
    <row r="358" spans="1:44" x14ac:dyDescent="0.35">
      <c r="A358">
        <v>5</v>
      </c>
      <c r="B358">
        <v>1</v>
      </c>
      <c r="C358">
        <v>5</v>
      </c>
      <c r="D358">
        <v>1</v>
      </c>
      <c r="E358">
        <v>1</v>
      </c>
      <c r="F358">
        <v>5</v>
      </c>
      <c r="G358">
        <v>5</v>
      </c>
      <c r="H358" s="25">
        <f t="shared" si="76"/>
        <v>5</v>
      </c>
      <c r="I358" s="25">
        <f t="shared" si="77"/>
        <v>5</v>
      </c>
      <c r="J358" s="25">
        <f t="shared" si="78"/>
        <v>5</v>
      </c>
      <c r="K358" s="25">
        <f t="shared" si="79"/>
        <v>5</v>
      </c>
      <c r="L358" s="25">
        <f t="shared" si="80"/>
        <v>5</v>
      </c>
      <c r="M358" s="25">
        <f t="shared" si="81"/>
        <v>5</v>
      </c>
      <c r="N358" s="25">
        <f t="shared" si="82"/>
        <v>5</v>
      </c>
      <c r="O358" s="32">
        <f t="shared" si="83"/>
        <v>0.84420266961423651</v>
      </c>
      <c r="P358" s="32">
        <f t="shared" si="84"/>
        <v>1.0418053570413823</v>
      </c>
      <c r="Q358" s="32">
        <f t="shared" si="85"/>
        <v>0.80698132232978881</v>
      </c>
      <c r="R358" s="32">
        <f t="shared" si="86"/>
        <v>1.0506390162289212</v>
      </c>
      <c r="S358" s="32">
        <f t="shared" si="87"/>
        <v>0.86866731645372819</v>
      </c>
      <c r="T358" s="32">
        <f t="shared" si="88"/>
        <v>0.81206041627470116</v>
      </c>
      <c r="U358" s="32">
        <f t="shared" si="89"/>
        <v>0.80563658408767735</v>
      </c>
      <c r="V358" s="37">
        <f t="shared" si="90"/>
        <v>0.88999895457577638</v>
      </c>
      <c r="W358"/>
      <c r="AK358" s="45" t="s">
        <v>78</v>
      </c>
      <c r="AL358" s="45">
        <v>7</v>
      </c>
      <c r="AM358" s="45">
        <v>35</v>
      </c>
      <c r="AN358" s="45">
        <v>5</v>
      </c>
      <c r="AO358" s="45">
        <v>0</v>
      </c>
      <c r="AP358" s="45"/>
      <c r="AQ358" s="45"/>
      <c r="AR358" s="45"/>
    </row>
    <row r="359" spans="1:44" x14ac:dyDescent="0.35">
      <c r="A359">
        <v>5</v>
      </c>
      <c r="B359">
        <v>1</v>
      </c>
      <c r="C359">
        <v>5</v>
      </c>
      <c r="D359">
        <v>1</v>
      </c>
      <c r="E359">
        <v>1</v>
      </c>
      <c r="F359">
        <v>5</v>
      </c>
      <c r="G359">
        <v>5</v>
      </c>
      <c r="H359" s="25">
        <f t="shared" si="76"/>
        <v>5</v>
      </c>
      <c r="I359" s="25">
        <f t="shared" si="77"/>
        <v>5</v>
      </c>
      <c r="J359" s="25">
        <f t="shared" si="78"/>
        <v>5</v>
      </c>
      <c r="K359" s="25">
        <f t="shared" si="79"/>
        <v>5</v>
      </c>
      <c r="L359" s="25">
        <f t="shared" si="80"/>
        <v>5</v>
      </c>
      <c r="M359" s="25">
        <f t="shared" si="81"/>
        <v>5</v>
      </c>
      <c r="N359" s="25">
        <f t="shared" si="82"/>
        <v>5</v>
      </c>
      <c r="O359" s="32">
        <f t="shared" si="83"/>
        <v>0.84420266961423651</v>
      </c>
      <c r="P359" s="32">
        <f t="shared" si="84"/>
        <v>1.0418053570413823</v>
      </c>
      <c r="Q359" s="32">
        <f t="shared" si="85"/>
        <v>0.80698132232978881</v>
      </c>
      <c r="R359" s="32">
        <f t="shared" si="86"/>
        <v>1.0506390162289212</v>
      </c>
      <c r="S359" s="32">
        <f t="shared" si="87"/>
        <v>0.86866731645372819</v>
      </c>
      <c r="T359" s="32">
        <f t="shared" si="88"/>
        <v>0.81206041627470116</v>
      </c>
      <c r="U359" s="32">
        <f t="shared" si="89"/>
        <v>0.80563658408767735</v>
      </c>
      <c r="V359" s="37">
        <f t="shared" si="90"/>
        <v>0.88999895457577638</v>
      </c>
      <c r="W359"/>
      <c r="AK359" s="45" t="s">
        <v>78</v>
      </c>
      <c r="AL359" s="45">
        <v>7</v>
      </c>
      <c r="AM359" s="45">
        <v>35</v>
      </c>
      <c r="AN359" s="45">
        <v>5</v>
      </c>
      <c r="AO359" s="45">
        <v>0</v>
      </c>
      <c r="AP359" s="45"/>
      <c r="AQ359" s="45"/>
      <c r="AR359" s="45"/>
    </row>
    <row r="360" spans="1:44" x14ac:dyDescent="0.35">
      <c r="A360">
        <v>5</v>
      </c>
      <c r="B360">
        <v>1</v>
      </c>
      <c r="C360">
        <v>5</v>
      </c>
      <c r="D360">
        <v>1</v>
      </c>
      <c r="E360">
        <v>1</v>
      </c>
      <c r="F360">
        <v>5</v>
      </c>
      <c r="G360">
        <v>5</v>
      </c>
      <c r="H360" s="25">
        <f t="shared" si="76"/>
        <v>5</v>
      </c>
      <c r="I360" s="25">
        <f t="shared" si="77"/>
        <v>5</v>
      </c>
      <c r="J360" s="25">
        <f t="shared" si="78"/>
        <v>5</v>
      </c>
      <c r="K360" s="25">
        <f t="shared" si="79"/>
        <v>5</v>
      </c>
      <c r="L360" s="25">
        <f t="shared" si="80"/>
        <v>5</v>
      </c>
      <c r="M360" s="25">
        <f t="shared" si="81"/>
        <v>5</v>
      </c>
      <c r="N360" s="25">
        <f t="shared" si="82"/>
        <v>5</v>
      </c>
      <c r="O360" s="32">
        <f t="shared" si="83"/>
        <v>0.84420266961423651</v>
      </c>
      <c r="P360" s="32">
        <f t="shared" si="84"/>
        <v>1.0418053570413823</v>
      </c>
      <c r="Q360" s="32">
        <f t="shared" si="85"/>
        <v>0.80698132232978881</v>
      </c>
      <c r="R360" s="32">
        <f t="shared" si="86"/>
        <v>1.0506390162289212</v>
      </c>
      <c r="S360" s="32">
        <f t="shared" si="87"/>
        <v>0.86866731645372819</v>
      </c>
      <c r="T360" s="32">
        <f t="shared" si="88"/>
        <v>0.81206041627470116</v>
      </c>
      <c r="U360" s="32">
        <f t="shared" si="89"/>
        <v>0.80563658408767735</v>
      </c>
      <c r="V360" s="37">
        <f t="shared" si="90"/>
        <v>0.88999895457577638</v>
      </c>
      <c r="W360"/>
      <c r="AK360" s="45" t="s">
        <v>78</v>
      </c>
      <c r="AL360" s="45">
        <v>7</v>
      </c>
      <c r="AM360" s="45">
        <v>35</v>
      </c>
      <c r="AN360" s="45">
        <v>5</v>
      </c>
      <c r="AO360" s="45">
        <v>0</v>
      </c>
      <c r="AP360" s="45"/>
      <c r="AQ360" s="45"/>
      <c r="AR360" s="45"/>
    </row>
    <row r="361" spans="1:44" x14ac:dyDescent="0.35">
      <c r="A361">
        <v>5</v>
      </c>
      <c r="B361">
        <v>1</v>
      </c>
      <c r="C361">
        <v>5</v>
      </c>
      <c r="D361">
        <v>1</v>
      </c>
      <c r="E361">
        <v>1</v>
      </c>
      <c r="F361">
        <v>5</v>
      </c>
      <c r="G361">
        <v>5</v>
      </c>
      <c r="H361" s="25">
        <f t="shared" si="76"/>
        <v>5</v>
      </c>
      <c r="I361" s="25">
        <f t="shared" si="77"/>
        <v>5</v>
      </c>
      <c r="J361" s="25">
        <f t="shared" si="78"/>
        <v>5</v>
      </c>
      <c r="K361" s="25">
        <f t="shared" si="79"/>
        <v>5</v>
      </c>
      <c r="L361" s="25">
        <f t="shared" si="80"/>
        <v>5</v>
      </c>
      <c r="M361" s="25">
        <f t="shared" si="81"/>
        <v>5</v>
      </c>
      <c r="N361" s="25">
        <f t="shared" si="82"/>
        <v>5</v>
      </c>
      <c r="O361" s="32">
        <f t="shared" si="83"/>
        <v>0.84420266961423651</v>
      </c>
      <c r="P361" s="32">
        <f t="shared" si="84"/>
        <v>1.0418053570413823</v>
      </c>
      <c r="Q361" s="32">
        <f t="shared" si="85"/>
        <v>0.80698132232978881</v>
      </c>
      <c r="R361" s="32">
        <f t="shared" si="86"/>
        <v>1.0506390162289212</v>
      </c>
      <c r="S361" s="32">
        <f t="shared" si="87"/>
        <v>0.86866731645372819</v>
      </c>
      <c r="T361" s="32">
        <f t="shared" si="88"/>
        <v>0.81206041627470116</v>
      </c>
      <c r="U361" s="32">
        <f t="shared" si="89"/>
        <v>0.80563658408767735</v>
      </c>
      <c r="V361" s="37">
        <f t="shared" si="90"/>
        <v>0.88999895457577638</v>
      </c>
      <c r="W361"/>
      <c r="AK361" s="45" t="s">
        <v>78</v>
      </c>
      <c r="AL361" s="45">
        <v>7</v>
      </c>
      <c r="AM361" s="45">
        <v>35</v>
      </c>
      <c r="AN361" s="45">
        <v>5</v>
      </c>
      <c r="AO361" s="45">
        <v>0</v>
      </c>
      <c r="AP361" s="45"/>
      <c r="AQ361" s="45"/>
      <c r="AR361" s="45"/>
    </row>
    <row r="362" spans="1:44" x14ac:dyDescent="0.35">
      <c r="A362">
        <v>5</v>
      </c>
      <c r="B362">
        <v>1</v>
      </c>
      <c r="C362">
        <v>5</v>
      </c>
      <c r="D362">
        <v>1</v>
      </c>
      <c r="E362">
        <v>1</v>
      </c>
      <c r="F362">
        <v>5</v>
      </c>
      <c r="G362">
        <v>5</v>
      </c>
      <c r="H362" s="25">
        <f t="shared" si="76"/>
        <v>5</v>
      </c>
      <c r="I362" s="25">
        <f t="shared" si="77"/>
        <v>5</v>
      </c>
      <c r="J362" s="25">
        <f t="shared" si="78"/>
        <v>5</v>
      </c>
      <c r="K362" s="25">
        <f t="shared" si="79"/>
        <v>5</v>
      </c>
      <c r="L362" s="25">
        <f t="shared" si="80"/>
        <v>5</v>
      </c>
      <c r="M362" s="25">
        <f t="shared" si="81"/>
        <v>5</v>
      </c>
      <c r="N362" s="25">
        <f t="shared" si="82"/>
        <v>5</v>
      </c>
      <c r="O362" s="32">
        <f t="shared" si="83"/>
        <v>0.84420266961423651</v>
      </c>
      <c r="P362" s="32">
        <f t="shared" si="84"/>
        <v>1.0418053570413823</v>
      </c>
      <c r="Q362" s="32">
        <f t="shared" si="85"/>
        <v>0.80698132232978881</v>
      </c>
      <c r="R362" s="32">
        <f t="shared" si="86"/>
        <v>1.0506390162289212</v>
      </c>
      <c r="S362" s="32">
        <f t="shared" si="87"/>
        <v>0.86866731645372819</v>
      </c>
      <c r="T362" s="32">
        <f t="shared" si="88"/>
        <v>0.81206041627470116</v>
      </c>
      <c r="U362" s="32">
        <f t="shared" si="89"/>
        <v>0.80563658408767735</v>
      </c>
      <c r="V362" s="37">
        <f t="shared" si="90"/>
        <v>0.88999895457577638</v>
      </c>
      <c r="W362"/>
      <c r="AK362" s="45" t="s">
        <v>78</v>
      </c>
      <c r="AL362" s="45">
        <v>7</v>
      </c>
      <c r="AM362" s="45">
        <v>35</v>
      </c>
      <c r="AN362" s="45">
        <v>5</v>
      </c>
      <c r="AO362" s="45">
        <v>0</v>
      </c>
      <c r="AP362" s="45"/>
      <c r="AQ362" s="45"/>
      <c r="AR362" s="45"/>
    </row>
    <row r="363" spans="1:44" x14ac:dyDescent="0.35">
      <c r="A363">
        <v>5</v>
      </c>
      <c r="B363">
        <v>1</v>
      </c>
      <c r="C363">
        <v>5</v>
      </c>
      <c r="D363">
        <v>1</v>
      </c>
      <c r="E363">
        <v>1</v>
      </c>
      <c r="F363">
        <v>5</v>
      </c>
      <c r="G363">
        <v>5</v>
      </c>
      <c r="H363" s="25">
        <f t="shared" si="76"/>
        <v>5</v>
      </c>
      <c r="I363" s="25">
        <f t="shared" si="77"/>
        <v>5</v>
      </c>
      <c r="J363" s="25">
        <f t="shared" si="78"/>
        <v>5</v>
      </c>
      <c r="K363" s="25">
        <f t="shared" si="79"/>
        <v>5</v>
      </c>
      <c r="L363" s="25">
        <f t="shared" si="80"/>
        <v>5</v>
      </c>
      <c r="M363" s="25">
        <f t="shared" si="81"/>
        <v>5</v>
      </c>
      <c r="N363" s="25">
        <f t="shared" si="82"/>
        <v>5</v>
      </c>
      <c r="O363" s="32">
        <f t="shared" si="83"/>
        <v>0.84420266961423651</v>
      </c>
      <c r="P363" s="32">
        <f t="shared" si="84"/>
        <v>1.0418053570413823</v>
      </c>
      <c r="Q363" s="32">
        <f t="shared" si="85"/>
        <v>0.80698132232978881</v>
      </c>
      <c r="R363" s="32">
        <f t="shared" si="86"/>
        <v>1.0506390162289212</v>
      </c>
      <c r="S363" s="32">
        <f t="shared" si="87"/>
        <v>0.86866731645372819</v>
      </c>
      <c r="T363" s="32">
        <f t="shared" si="88"/>
        <v>0.81206041627470116</v>
      </c>
      <c r="U363" s="32">
        <f t="shared" si="89"/>
        <v>0.80563658408767735</v>
      </c>
      <c r="V363" s="37">
        <f t="shared" si="90"/>
        <v>0.88999895457577638</v>
      </c>
      <c r="W363"/>
      <c r="AK363" s="45" t="s">
        <v>78</v>
      </c>
      <c r="AL363" s="45">
        <v>7</v>
      </c>
      <c r="AM363" s="45">
        <v>35</v>
      </c>
      <c r="AN363" s="45">
        <v>5</v>
      </c>
      <c r="AO363" s="45">
        <v>0</v>
      </c>
      <c r="AP363" s="45"/>
      <c r="AQ363" s="45"/>
      <c r="AR363" s="45"/>
    </row>
    <row r="364" spans="1:44" x14ac:dyDescent="0.35">
      <c r="A364">
        <v>5</v>
      </c>
      <c r="B364">
        <v>1</v>
      </c>
      <c r="C364">
        <v>5</v>
      </c>
      <c r="D364">
        <v>1</v>
      </c>
      <c r="E364">
        <v>1</v>
      </c>
      <c r="F364">
        <v>5</v>
      </c>
      <c r="G364">
        <v>5</v>
      </c>
      <c r="H364" s="25">
        <f t="shared" si="76"/>
        <v>5</v>
      </c>
      <c r="I364" s="25">
        <f t="shared" si="77"/>
        <v>5</v>
      </c>
      <c r="J364" s="25">
        <f t="shared" si="78"/>
        <v>5</v>
      </c>
      <c r="K364" s="25">
        <f t="shared" si="79"/>
        <v>5</v>
      </c>
      <c r="L364" s="25">
        <f t="shared" si="80"/>
        <v>5</v>
      </c>
      <c r="M364" s="25">
        <f t="shared" si="81"/>
        <v>5</v>
      </c>
      <c r="N364" s="25">
        <f t="shared" si="82"/>
        <v>5</v>
      </c>
      <c r="O364" s="32">
        <f t="shared" si="83"/>
        <v>0.84420266961423651</v>
      </c>
      <c r="P364" s="32">
        <f t="shared" si="84"/>
        <v>1.0418053570413823</v>
      </c>
      <c r="Q364" s="32">
        <f t="shared" si="85"/>
        <v>0.80698132232978881</v>
      </c>
      <c r="R364" s="32">
        <f t="shared" si="86"/>
        <v>1.0506390162289212</v>
      </c>
      <c r="S364" s="32">
        <f t="shared" si="87"/>
        <v>0.86866731645372819</v>
      </c>
      <c r="T364" s="32">
        <f t="shared" si="88"/>
        <v>0.81206041627470116</v>
      </c>
      <c r="U364" s="32">
        <f t="shared" si="89"/>
        <v>0.80563658408767735</v>
      </c>
      <c r="V364" s="37">
        <f t="shared" si="90"/>
        <v>0.88999895457577638</v>
      </c>
      <c r="W364"/>
      <c r="AK364" s="45" t="s">
        <v>78</v>
      </c>
      <c r="AL364" s="45">
        <v>7</v>
      </c>
      <c r="AM364" s="45">
        <v>35</v>
      </c>
      <c r="AN364" s="45">
        <v>5</v>
      </c>
      <c r="AO364" s="45">
        <v>0</v>
      </c>
      <c r="AP364" s="45"/>
      <c r="AQ364" s="45"/>
      <c r="AR364" s="45"/>
    </row>
    <row r="365" spans="1:44" x14ac:dyDescent="0.35">
      <c r="A365">
        <v>5</v>
      </c>
      <c r="B365">
        <v>1</v>
      </c>
      <c r="C365">
        <v>5</v>
      </c>
      <c r="D365">
        <v>1</v>
      </c>
      <c r="E365">
        <v>1</v>
      </c>
      <c r="F365">
        <v>5</v>
      </c>
      <c r="G365">
        <v>5</v>
      </c>
      <c r="H365" s="25">
        <f t="shared" si="76"/>
        <v>5</v>
      </c>
      <c r="I365" s="25">
        <f t="shared" si="77"/>
        <v>5</v>
      </c>
      <c r="J365" s="25">
        <f t="shared" si="78"/>
        <v>5</v>
      </c>
      <c r="K365" s="25">
        <f t="shared" si="79"/>
        <v>5</v>
      </c>
      <c r="L365" s="25">
        <f t="shared" si="80"/>
        <v>5</v>
      </c>
      <c r="M365" s="25">
        <f t="shared" si="81"/>
        <v>5</v>
      </c>
      <c r="N365" s="25">
        <f t="shared" si="82"/>
        <v>5</v>
      </c>
      <c r="O365" s="32">
        <f t="shared" si="83"/>
        <v>0.84420266961423651</v>
      </c>
      <c r="P365" s="32">
        <f t="shared" si="84"/>
        <v>1.0418053570413823</v>
      </c>
      <c r="Q365" s="32">
        <f t="shared" si="85"/>
        <v>0.80698132232978881</v>
      </c>
      <c r="R365" s="32">
        <f t="shared" si="86"/>
        <v>1.0506390162289212</v>
      </c>
      <c r="S365" s="32">
        <f t="shared" si="87"/>
        <v>0.86866731645372819</v>
      </c>
      <c r="T365" s="32">
        <f t="shared" si="88"/>
        <v>0.81206041627470116</v>
      </c>
      <c r="U365" s="32">
        <f t="shared" si="89"/>
        <v>0.80563658408767735</v>
      </c>
      <c r="V365" s="37">
        <f t="shared" si="90"/>
        <v>0.88999895457577638</v>
      </c>
      <c r="W365"/>
      <c r="AK365" s="45" t="s">
        <v>78</v>
      </c>
      <c r="AL365" s="45">
        <v>7</v>
      </c>
      <c r="AM365" s="45">
        <v>35</v>
      </c>
      <c r="AN365" s="45">
        <v>5</v>
      </c>
      <c r="AO365" s="45">
        <v>0</v>
      </c>
      <c r="AP365" s="45"/>
      <c r="AQ365" s="45"/>
      <c r="AR365" s="45"/>
    </row>
    <row r="366" spans="1:44" x14ac:dyDescent="0.35">
      <c r="A366">
        <v>5</v>
      </c>
      <c r="B366">
        <v>1</v>
      </c>
      <c r="C366">
        <v>5</v>
      </c>
      <c r="D366">
        <v>1</v>
      </c>
      <c r="E366">
        <v>1</v>
      </c>
      <c r="F366">
        <v>5</v>
      </c>
      <c r="G366">
        <v>5</v>
      </c>
      <c r="H366" s="25">
        <f t="shared" si="76"/>
        <v>5</v>
      </c>
      <c r="I366" s="25">
        <f t="shared" si="77"/>
        <v>5</v>
      </c>
      <c r="J366" s="25">
        <f t="shared" si="78"/>
        <v>5</v>
      </c>
      <c r="K366" s="25">
        <f t="shared" si="79"/>
        <v>5</v>
      </c>
      <c r="L366" s="25">
        <f t="shared" si="80"/>
        <v>5</v>
      </c>
      <c r="M366" s="25">
        <f t="shared" si="81"/>
        <v>5</v>
      </c>
      <c r="N366" s="25">
        <f t="shared" si="82"/>
        <v>5</v>
      </c>
      <c r="O366" s="32">
        <f t="shared" si="83"/>
        <v>0.84420266961423651</v>
      </c>
      <c r="P366" s="32">
        <f t="shared" si="84"/>
        <v>1.0418053570413823</v>
      </c>
      <c r="Q366" s="32">
        <f t="shared" si="85"/>
        <v>0.80698132232978881</v>
      </c>
      <c r="R366" s="32">
        <f t="shared" si="86"/>
        <v>1.0506390162289212</v>
      </c>
      <c r="S366" s="32">
        <f t="shared" si="87"/>
        <v>0.86866731645372819</v>
      </c>
      <c r="T366" s="32">
        <f t="shared" si="88"/>
        <v>0.81206041627470116</v>
      </c>
      <c r="U366" s="32">
        <f t="shared" si="89"/>
        <v>0.80563658408767735</v>
      </c>
      <c r="V366" s="37">
        <f t="shared" si="90"/>
        <v>0.88999895457577638</v>
      </c>
      <c r="W366"/>
      <c r="AK366" s="45" t="s">
        <v>78</v>
      </c>
      <c r="AL366" s="45">
        <v>7</v>
      </c>
      <c r="AM366" s="45">
        <v>35</v>
      </c>
      <c r="AN366" s="45">
        <v>5</v>
      </c>
      <c r="AO366" s="45">
        <v>0</v>
      </c>
      <c r="AP366" s="45"/>
      <c r="AQ366" s="45"/>
      <c r="AR366" s="45"/>
    </row>
    <row r="367" spans="1:44" x14ac:dyDescent="0.35">
      <c r="A367">
        <v>5</v>
      </c>
      <c r="B367">
        <v>1</v>
      </c>
      <c r="C367">
        <v>5</v>
      </c>
      <c r="D367">
        <v>1</v>
      </c>
      <c r="E367">
        <v>1</v>
      </c>
      <c r="F367">
        <v>5</v>
      </c>
      <c r="G367">
        <v>5</v>
      </c>
      <c r="H367" s="25">
        <f t="shared" si="76"/>
        <v>5</v>
      </c>
      <c r="I367" s="25">
        <f t="shared" si="77"/>
        <v>5</v>
      </c>
      <c r="J367" s="25">
        <f t="shared" si="78"/>
        <v>5</v>
      </c>
      <c r="K367" s="25">
        <f t="shared" si="79"/>
        <v>5</v>
      </c>
      <c r="L367" s="25">
        <f t="shared" si="80"/>
        <v>5</v>
      </c>
      <c r="M367" s="25">
        <f t="shared" si="81"/>
        <v>5</v>
      </c>
      <c r="N367" s="25">
        <f t="shared" si="82"/>
        <v>5</v>
      </c>
      <c r="O367" s="32">
        <f t="shared" si="83"/>
        <v>0.84420266961423651</v>
      </c>
      <c r="P367" s="32">
        <f t="shared" si="84"/>
        <v>1.0418053570413823</v>
      </c>
      <c r="Q367" s="32">
        <f t="shared" si="85"/>
        <v>0.80698132232978881</v>
      </c>
      <c r="R367" s="32">
        <f t="shared" si="86"/>
        <v>1.0506390162289212</v>
      </c>
      <c r="S367" s="32">
        <f t="shared" si="87"/>
        <v>0.86866731645372819</v>
      </c>
      <c r="T367" s="32">
        <f t="shared" si="88"/>
        <v>0.81206041627470116</v>
      </c>
      <c r="U367" s="32">
        <f t="shared" si="89"/>
        <v>0.80563658408767735</v>
      </c>
      <c r="V367" s="37">
        <f t="shared" si="90"/>
        <v>0.88999895457577638</v>
      </c>
      <c r="W367"/>
      <c r="AK367" s="45" t="s">
        <v>78</v>
      </c>
      <c r="AL367" s="45">
        <v>7</v>
      </c>
      <c r="AM367" s="45">
        <v>35</v>
      </c>
      <c r="AN367" s="45">
        <v>5</v>
      </c>
      <c r="AO367" s="45">
        <v>0</v>
      </c>
      <c r="AP367" s="45"/>
      <c r="AQ367" s="45"/>
      <c r="AR367" s="45"/>
    </row>
    <row r="368" spans="1:44" x14ac:dyDescent="0.35">
      <c r="A368">
        <v>5</v>
      </c>
      <c r="B368">
        <v>1</v>
      </c>
      <c r="C368">
        <v>5</v>
      </c>
      <c r="D368">
        <v>1</v>
      </c>
      <c r="E368">
        <v>1</v>
      </c>
      <c r="F368">
        <v>5</v>
      </c>
      <c r="G368">
        <v>5</v>
      </c>
      <c r="H368" s="25">
        <f t="shared" si="76"/>
        <v>5</v>
      </c>
      <c r="I368" s="25">
        <f t="shared" si="77"/>
        <v>5</v>
      </c>
      <c r="J368" s="25">
        <f t="shared" si="78"/>
        <v>5</v>
      </c>
      <c r="K368" s="25">
        <f t="shared" si="79"/>
        <v>5</v>
      </c>
      <c r="L368" s="25">
        <f t="shared" si="80"/>
        <v>5</v>
      </c>
      <c r="M368" s="25">
        <f t="shared" si="81"/>
        <v>5</v>
      </c>
      <c r="N368" s="25">
        <f t="shared" si="82"/>
        <v>5</v>
      </c>
      <c r="O368" s="32">
        <f t="shared" si="83"/>
        <v>0.84420266961423651</v>
      </c>
      <c r="P368" s="32">
        <f t="shared" si="84"/>
        <v>1.0418053570413823</v>
      </c>
      <c r="Q368" s="32">
        <f t="shared" si="85"/>
        <v>0.80698132232978881</v>
      </c>
      <c r="R368" s="32">
        <f t="shared" si="86"/>
        <v>1.0506390162289212</v>
      </c>
      <c r="S368" s="32">
        <f t="shared" si="87"/>
        <v>0.86866731645372819</v>
      </c>
      <c r="T368" s="32">
        <f t="shared" si="88"/>
        <v>0.81206041627470116</v>
      </c>
      <c r="U368" s="32">
        <f t="shared" si="89"/>
        <v>0.80563658408767735</v>
      </c>
      <c r="V368" s="37">
        <f t="shared" si="90"/>
        <v>0.88999895457577638</v>
      </c>
      <c r="W368"/>
      <c r="AK368" s="45" t="s">
        <v>78</v>
      </c>
      <c r="AL368" s="45">
        <v>7</v>
      </c>
      <c r="AM368" s="45">
        <v>35</v>
      </c>
      <c r="AN368" s="45">
        <v>5</v>
      </c>
      <c r="AO368" s="45">
        <v>0</v>
      </c>
      <c r="AP368" s="45"/>
      <c r="AQ368" s="45"/>
      <c r="AR368" s="45"/>
    </row>
    <row r="369" spans="1:44" x14ac:dyDescent="0.35">
      <c r="A369">
        <v>5</v>
      </c>
      <c r="B369">
        <v>1</v>
      </c>
      <c r="C369">
        <v>5</v>
      </c>
      <c r="D369">
        <v>1</v>
      </c>
      <c r="E369">
        <v>1</v>
      </c>
      <c r="F369">
        <v>5</v>
      </c>
      <c r="G369">
        <v>5</v>
      </c>
      <c r="H369" s="25">
        <f t="shared" si="76"/>
        <v>5</v>
      </c>
      <c r="I369" s="25">
        <f t="shared" si="77"/>
        <v>5</v>
      </c>
      <c r="J369" s="25">
        <f t="shared" si="78"/>
        <v>5</v>
      </c>
      <c r="K369" s="25">
        <f t="shared" si="79"/>
        <v>5</v>
      </c>
      <c r="L369" s="25">
        <f t="shared" si="80"/>
        <v>5</v>
      </c>
      <c r="M369" s="25">
        <f t="shared" si="81"/>
        <v>5</v>
      </c>
      <c r="N369" s="25">
        <f t="shared" si="82"/>
        <v>5</v>
      </c>
      <c r="O369" s="32">
        <f t="shared" si="83"/>
        <v>0.84420266961423651</v>
      </c>
      <c r="P369" s="32">
        <f t="shared" si="84"/>
        <v>1.0418053570413823</v>
      </c>
      <c r="Q369" s="32">
        <f t="shared" si="85"/>
        <v>0.80698132232978881</v>
      </c>
      <c r="R369" s="32">
        <f t="shared" si="86"/>
        <v>1.0506390162289212</v>
      </c>
      <c r="S369" s="32">
        <f t="shared" si="87"/>
        <v>0.86866731645372819</v>
      </c>
      <c r="T369" s="32">
        <f t="shared" si="88"/>
        <v>0.81206041627470116</v>
      </c>
      <c r="U369" s="32">
        <f t="shared" si="89"/>
        <v>0.80563658408767735</v>
      </c>
      <c r="V369" s="37">
        <f t="shared" si="90"/>
        <v>0.88999895457577638</v>
      </c>
      <c r="W369"/>
      <c r="AK369" s="45" t="s">
        <v>78</v>
      </c>
      <c r="AL369" s="45">
        <v>7</v>
      </c>
      <c r="AM369" s="45">
        <v>35</v>
      </c>
      <c r="AN369" s="45">
        <v>5</v>
      </c>
      <c r="AO369" s="45">
        <v>0</v>
      </c>
      <c r="AP369" s="45"/>
      <c r="AQ369" s="45"/>
      <c r="AR369" s="45"/>
    </row>
    <row r="370" spans="1:44" x14ac:dyDescent="0.35">
      <c r="A370">
        <v>5</v>
      </c>
      <c r="B370">
        <v>1</v>
      </c>
      <c r="C370">
        <v>5</v>
      </c>
      <c r="D370">
        <v>1</v>
      </c>
      <c r="E370">
        <v>1</v>
      </c>
      <c r="F370">
        <v>5</v>
      </c>
      <c r="G370">
        <v>5</v>
      </c>
      <c r="H370" s="25">
        <f t="shared" si="76"/>
        <v>5</v>
      </c>
      <c r="I370" s="25">
        <f t="shared" si="77"/>
        <v>5</v>
      </c>
      <c r="J370" s="25">
        <f t="shared" si="78"/>
        <v>5</v>
      </c>
      <c r="K370" s="25">
        <f t="shared" si="79"/>
        <v>5</v>
      </c>
      <c r="L370" s="25">
        <f t="shared" si="80"/>
        <v>5</v>
      </c>
      <c r="M370" s="25">
        <f t="shared" si="81"/>
        <v>5</v>
      </c>
      <c r="N370" s="25">
        <f t="shared" si="82"/>
        <v>5</v>
      </c>
      <c r="O370" s="32">
        <f t="shared" si="83"/>
        <v>0.84420266961423651</v>
      </c>
      <c r="P370" s="32">
        <f t="shared" si="84"/>
        <v>1.0418053570413823</v>
      </c>
      <c r="Q370" s="32">
        <f t="shared" si="85"/>
        <v>0.80698132232978881</v>
      </c>
      <c r="R370" s="32">
        <f t="shared" si="86"/>
        <v>1.0506390162289212</v>
      </c>
      <c r="S370" s="32">
        <f t="shared" si="87"/>
        <v>0.86866731645372819</v>
      </c>
      <c r="T370" s="32">
        <f t="shared" si="88"/>
        <v>0.81206041627470116</v>
      </c>
      <c r="U370" s="32">
        <f t="shared" si="89"/>
        <v>0.80563658408767735</v>
      </c>
      <c r="V370" s="37">
        <f t="shared" si="90"/>
        <v>0.88999895457577638</v>
      </c>
      <c r="W370"/>
      <c r="AK370" s="45" t="s">
        <v>78</v>
      </c>
      <c r="AL370" s="45">
        <v>7</v>
      </c>
      <c r="AM370" s="45">
        <v>35</v>
      </c>
      <c r="AN370" s="45">
        <v>5</v>
      </c>
      <c r="AO370" s="45">
        <v>0</v>
      </c>
      <c r="AP370" s="45"/>
      <c r="AQ370" s="45"/>
      <c r="AR370" s="45"/>
    </row>
    <row r="371" spans="1:44" x14ac:dyDescent="0.35">
      <c r="A371">
        <v>5</v>
      </c>
      <c r="B371">
        <v>1</v>
      </c>
      <c r="C371">
        <v>5</v>
      </c>
      <c r="D371">
        <v>1</v>
      </c>
      <c r="E371">
        <v>1</v>
      </c>
      <c r="F371">
        <v>5</v>
      </c>
      <c r="G371">
        <v>5</v>
      </c>
      <c r="H371" s="25">
        <f t="shared" si="76"/>
        <v>5</v>
      </c>
      <c r="I371" s="25">
        <f t="shared" si="77"/>
        <v>5</v>
      </c>
      <c r="J371" s="25">
        <f t="shared" si="78"/>
        <v>5</v>
      </c>
      <c r="K371" s="25">
        <f t="shared" si="79"/>
        <v>5</v>
      </c>
      <c r="L371" s="25">
        <f t="shared" si="80"/>
        <v>5</v>
      </c>
      <c r="M371" s="25">
        <f t="shared" si="81"/>
        <v>5</v>
      </c>
      <c r="N371" s="25">
        <f t="shared" si="82"/>
        <v>5</v>
      </c>
      <c r="O371" s="32">
        <f t="shared" si="83"/>
        <v>0.84420266961423651</v>
      </c>
      <c r="P371" s="32">
        <f t="shared" si="84"/>
        <v>1.0418053570413823</v>
      </c>
      <c r="Q371" s="32">
        <f t="shared" si="85"/>
        <v>0.80698132232978881</v>
      </c>
      <c r="R371" s="32">
        <f t="shared" si="86"/>
        <v>1.0506390162289212</v>
      </c>
      <c r="S371" s="32">
        <f t="shared" si="87"/>
        <v>0.86866731645372819</v>
      </c>
      <c r="T371" s="32">
        <f t="shared" si="88"/>
        <v>0.81206041627470116</v>
      </c>
      <c r="U371" s="32">
        <f t="shared" si="89"/>
        <v>0.80563658408767735</v>
      </c>
      <c r="V371" s="37">
        <f t="shared" si="90"/>
        <v>0.88999895457577638</v>
      </c>
      <c r="W371"/>
      <c r="AK371" s="45" t="s">
        <v>78</v>
      </c>
      <c r="AL371" s="45">
        <v>7</v>
      </c>
      <c r="AM371" s="45">
        <v>35</v>
      </c>
      <c r="AN371" s="45">
        <v>5</v>
      </c>
      <c r="AO371" s="45">
        <v>0</v>
      </c>
      <c r="AP371" s="45"/>
      <c r="AQ371" s="45"/>
      <c r="AR371" s="45"/>
    </row>
    <row r="372" spans="1:44" x14ac:dyDescent="0.35">
      <c r="A372">
        <v>5</v>
      </c>
      <c r="B372">
        <v>1</v>
      </c>
      <c r="C372">
        <v>5</v>
      </c>
      <c r="D372">
        <v>1</v>
      </c>
      <c r="E372">
        <v>1</v>
      </c>
      <c r="F372">
        <v>5</v>
      </c>
      <c r="G372">
        <v>5</v>
      </c>
      <c r="H372" s="25">
        <f t="shared" si="76"/>
        <v>5</v>
      </c>
      <c r="I372" s="25">
        <f t="shared" si="77"/>
        <v>5</v>
      </c>
      <c r="J372" s="25">
        <f t="shared" si="78"/>
        <v>5</v>
      </c>
      <c r="K372" s="25">
        <f t="shared" si="79"/>
        <v>5</v>
      </c>
      <c r="L372" s="25">
        <f t="shared" si="80"/>
        <v>5</v>
      </c>
      <c r="M372" s="25">
        <f t="shared" si="81"/>
        <v>5</v>
      </c>
      <c r="N372" s="25">
        <f t="shared" si="82"/>
        <v>5</v>
      </c>
      <c r="O372" s="32">
        <f t="shared" si="83"/>
        <v>0.84420266961423651</v>
      </c>
      <c r="P372" s="32">
        <f t="shared" si="84"/>
        <v>1.0418053570413823</v>
      </c>
      <c r="Q372" s="32">
        <f t="shared" si="85"/>
        <v>0.80698132232978881</v>
      </c>
      <c r="R372" s="32">
        <f t="shared" si="86"/>
        <v>1.0506390162289212</v>
      </c>
      <c r="S372" s="32">
        <f t="shared" si="87"/>
        <v>0.86866731645372819</v>
      </c>
      <c r="T372" s="32">
        <f t="shared" si="88"/>
        <v>0.81206041627470116</v>
      </c>
      <c r="U372" s="32">
        <f t="shared" si="89"/>
        <v>0.80563658408767735</v>
      </c>
      <c r="V372" s="37">
        <f t="shared" si="90"/>
        <v>0.88999895457577638</v>
      </c>
      <c r="W372"/>
      <c r="AK372" s="45" t="s">
        <v>78</v>
      </c>
      <c r="AL372" s="45">
        <v>7</v>
      </c>
      <c r="AM372" s="45">
        <v>35</v>
      </c>
      <c r="AN372" s="45">
        <v>5</v>
      </c>
      <c r="AO372" s="45">
        <v>0</v>
      </c>
      <c r="AP372" s="45"/>
      <c r="AQ372" s="45"/>
      <c r="AR372" s="45"/>
    </row>
    <row r="373" spans="1:44" x14ac:dyDescent="0.35">
      <c r="A373">
        <v>5</v>
      </c>
      <c r="B373">
        <v>1</v>
      </c>
      <c r="C373">
        <v>5</v>
      </c>
      <c r="D373">
        <v>1</v>
      </c>
      <c r="E373">
        <v>1</v>
      </c>
      <c r="F373">
        <v>5</v>
      </c>
      <c r="G373">
        <v>5</v>
      </c>
      <c r="H373" s="25">
        <f t="shared" si="76"/>
        <v>5</v>
      </c>
      <c r="I373" s="25">
        <f t="shared" si="77"/>
        <v>5</v>
      </c>
      <c r="J373" s="25">
        <f t="shared" si="78"/>
        <v>5</v>
      </c>
      <c r="K373" s="25">
        <f t="shared" si="79"/>
        <v>5</v>
      </c>
      <c r="L373" s="25">
        <f t="shared" si="80"/>
        <v>5</v>
      </c>
      <c r="M373" s="25">
        <f t="shared" si="81"/>
        <v>5</v>
      </c>
      <c r="N373" s="25">
        <f t="shared" si="82"/>
        <v>5</v>
      </c>
      <c r="O373" s="32">
        <f t="shared" si="83"/>
        <v>0.84420266961423651</v>
      </c>
      <c r="P373" s="32">
        <f t="shared" si="84"/>
        <v>1.0418053570413823</v>
      </c>
      <c r="Q373" s="32">
        <f t="shared" si="85"/>
        <v>0.80698132232978881</v>
      </c>
      <c r="R373" s="32">
        <f t="shared" si="86"/>
        <v>1.0506390162289212</v>
      </c>
      <c r="S373" s="32">
        <f t="shared" si="87"/>
        <v>0.86866731645372819</v>
      </c>
      <c r="T373" s="32">
        <f t="shared" si="88"/>
        <v>0.81206041627470116</v>
      </c>
      <c r="U373" s="32">
        <f t="shared" si="89"/>
        <v>0.80563658408767735</v>
      </c>
      <c r="V373" s="37">
        <f t="shared" si="90"/>
        <v>0.88999895457577638</v>
      </c>
      <c r="W373"/>
      <c r="AK373" s="45" t="s">
        <v>78</v>
      </c>
      <c r="AL373" s="45">
        <v>7</v>
      </c>
      <c r="AM373" s="45">
        <v>35</v>
      </c>
      <c r="AN373" s="45">
        <v>5</v>
      </c>
      <c r="AO373" s="45">
        <v>0</v>
      </c>
      <c r="AP373" s="45"/>
      <c r="AQ373" s="45"/>
      <c r="AR373" s="45"/>
    </row>
    <row r="374" spans="1:44" x14ac:dyDescent="0.35">
      <c r="A374">
        <v>5</v>
      </c>
      <c r="B374">
        <v>1</v>
      </c>
      <c r="C374">
        <v>5</v>
      </c>
      <c r="D374">
        <v>1</v>
      </c>
      <c r="E374">
        <v>1</v>
      </c>
      <c r="F374">
        <v>5</v>
      </c>
      <c r="G374">
        <v>5</v>
      </c>
      <c r="H374" s="25">
        <f t="shared" si="76"/>
        <v>5</v>
      </c>
      <c r="I374" s="25">
        <f t="shared" si="77"/>
        <v>5</v>
      </c>
      <c r="J374" s="25">
        <f t="shared" si="78"/>
        <v>5</v>
      </c>
      <c r="K374" s="25">
        <f t="shared" si="79"/>
        <v>5</v>
      </c>
      <c r="L374" s="25">
        <f t="shared" si="80"/>
        <v>5</v>
      </c>
      <c r="M374" s="25">
        <f t="shared" si="81"/>
        <v>5</v>
      </c>
      <c r="N374" s="25">
        <f t="shared" si="82"/>
        <v>5</v>
      </c>
      <c r="O374" s="32">
        <f t="shared" si="83"/>
        <v>0.84420266961423651</v>
      </c>
      <c r="P374" s="32">
        <f t="shared" si="84"/>
        <v>1.0418053570413823</v>
      </c>
      <c r="Q374" s="32">
        <f t="shared" si="85"/>
        <v>0.80698132232978881</v>
      </c>
      <c r="R374" s="32">
        <f t="shared" si="86"/>
        <v>1.0506390162289212</v>
      </c>
      <c r="S374" s="32">
        <f t="shared" si="87"/>
        <v>0.86866731645372819</v>
      </c>
      <c r="T374" s="32">
        <f t="shared" si="88"/>
        <v>0.81206041627470116</v>
      </c>
      <c r="U374" s="32">
        <f t="shared" si="89"/>
        <v>0.80563658408767735</v>
      </c>
      <c r="V374" s="37">
        <f t="shared" si="90"/>
        <v>0.88999895457577638</v>
      </c>
      <c r="W374"/>
      <c r="AK374" s="45" t="s">
        <v>78</v>
      </c>
      <c r="AL374" s="45">
        <v>7</v>
      </c>
      <c r="AM374" s="45">
        <v>35</v>
      </c>
      <c r="AN374" s="45">
        <v>5</v>
      </c>
      <c r="AO374" s="45">
        <v>0</v>
      </c>
      <c r="AP374" s="45"/>
      <c r="AQ374" s="45"/>
      <c r="AR374" s="45"/>
    </row>
    <row r="375" spans="1:44" x14ac:dyDescent="0.35">
      <c r="A375">
        <v>5</v>
      </c>
      <c r="B375">
        <v>1</v>
      </c>
      <c r="C375">
        <v>5</v>
      </c>
      <c r="D375">
        <v>1</v>
      </c>
      <c r="E375">
        <v>1</v>
      </c>
      <c r="F375">
        <v>5</v>
      </c>
      <c r="G375">
        <v>5</v>
      </c>
      <c r="H375" s="25">
        <f t="shared" si="76"/>
        <v>5</v>
      </c>
      <c r="I375" s="25">
        <f t="shared" si="77"/>
        <v>5</v>
      </c>
      <c r="J375" s="25">
        <f t="shared" si="78"/>
        <v>5</v>
      </c>
      <c r="K375" s="25">
        <f t="shared" si="79"/>
        <v>5</v>
      </c>
      <c r="L375" s="25">
        <f t="shared" si="80"/>
        <v>5</v>
      </c>
      <c r="M375" s="25">
        <f t="shared" si="81"/>
        <v>5</v>
      </c>
      <c r="N375" s="25">
        <f t="shared" si="82"/>
        <v>5</v>
      </c>
      <c r="O375" s="32">
        <f t="shared" si="83"/>
        <v>0.84420266961423651</v>
      </c>
      <c r="P375" s="32">
        <f t="shared" si="84"/>
        <v>1.0418053570413823</v>
      </c>
      <c r="Q375" s="32">
        <f t="shared" si="85"/>
        <v>0.80698132232978881</v>
      </c>
      <c r="R375" s="32">
        <f t="shared" si="86"/>
        <v>1.0506390162289212</v>
      </c>
      <c r="S375" s="32">
        <f t="shared" si="87"/>
        <v>0.86866731645372819</v>
      </c>
      <c r="T375" s="32">
        <f t="shared" si="88"/>
        <v>0.81206041627470116</v>
      </c>
      <c r="U375" s="32">
        <f t="shared" si="89"/>
        <v>0.80563658408767735</v>
      </c>
      <c r="V375" s="37">
        <f t="shared" si="90"/>
        <v>0.88999895457577638</v>
      </c>
      <c r="W375"/>
      <c r="AK375" s="45" t="s">
        <v>78</v>
      </c>
      <c r="AL375" s="45">
        <v>7</v>
      </c>
      <c r="AM375" s="45">
        <v>35</v>
      </c>
      <c r="AN375" s="45">
        <v>5</v>
      </c>
      <c r="AO375" s="45">
        <v>0</v>
      </c>
      <c r="AP375" s="45"/>
      <c r="AQ375" s="45"/>
      <c r="AR375" s="45"/>
    </row>
    <row r="376" spans="1:44" x14ac:dyDescent="0.35">
      <c r="A376">
        <v>5</v>
      </c>
      <c r="B376">
        <v>1</v>
      </c>
      <c r="C376">
        <v>5</v>
      </c>
      <c r="D376">
        <v>1</v>
      </c>
      <c r="E376">
        <v>1</v>
      </c>
      <c r="F376">
        <v>5</v>
      </c>
      <c r="G376">
        <v>5</v>
      </c>
      <c r="H376" s="25">
        <f t="shared" si="76"/>
        <v>5</v>
      </c>
      <c r="I376" s="25">
        <f t="shared" si="77"/>
        <v>5</v>
      </c>
      <c r="J376" s="25">
        <f t="shared" si="78"/>
        <v>5</v>
      </c>
      <c r="K376" s="31">
        <f t="shared" si="79"/>
        <v>5</v>
      </c>
      <c r="L376" s="31">
        <f t="shared" si="80"/>
        <v>5</v>
      </c>
      <c r="M376" s="25">
        <f t="shared" si="81"/>
        <v>5</v>
      </c>
      <c r="N376" s="25">
        <f t="shared" si="82"/>
        <v>5</v>
      </c>
      <c r="O376" s="32">
        <f t="shared" si="83"/>
        <v>0.84420266961423651</v>
      </c>
      <c r="P376" s="32">
        <f t="shared" si="84"/>
        <v>1.0418053570413823</v>
      </c>
      <c r="Q376" s="32">
        <f t="shared" si="85"/>
        <v>0.80698132232978881</v>
      </c>
      <c r="R376" s="32">
        <f t="shared" si="86"/>
        <v>1.0506390162289212</v>
      </c>
      <c r="S376" s="32">
        <f t="shared" si="87"/>
        <v>0.86866731645372819</v>
      </c>
      <c r="T376" s="32">
        <f t="shared" si="88"/>
        <v>0.81206041627470116</v>
      </c>
      <c r="U376" s="32">
        <f t="shared" si="89"/>
        <v>0.80563658408767735</v>
      </c>
      <c r="V376" s="37">
        <f t="shared" si="90"/>
        <v>0.88999895457577638</v>
      </c>
      <c r="W376"/>
      <c r="AK376" s="45" t="s">
        <v>78</v>
      </c>
      <c r="AL376" s="45">
        <v>7</v>
      </c>
      <c r="AM376" s="45">
        <v>35</v>
      </c>
      <c r="AN376" s="45">
        <v>5</v>
      </c>
      <c r="AO376" s="45">
        <v>0</v>
      </c>
      <c r="AP376" s="45"/>
      <c r="AQ376" s="45"/>
      <c r="AR376" s="45"/>
    </row>
    <row r="377" spans="1:44" x14ac:dyDescent="0.35">
      <c r="A377">
        <v>5</v>
      </c>
      <c r="B377">
        <v>1</v>
      </c>
      <c r="C377">
        <v>5</v>
      </c>
      <c r="D377">
        <v>1</v>
      </c>
      <c r="E377">
        <v>1</v>
      </c>
      <c r="F377">
        <v>5</v>
      </c>
      <c r="G377">
        <v>5</v>
      </c>
      <c r="H377" s="25">
        <f t="shared" si="76"/>
        <v>5</v>
      </c>
      <c r="I377" s="25">
        <f t="shared" si="77"/>
        <v>5</v>
      </c>
      <c r="J377" s="25">
        <f t="shared" si="78"/>
        <v>5</v>
      </c>
      <c r="K377" s="25">
        <f t="shared" si="79"/>
        <v>5</v>
      </c>
      <c r="L377" s="25">
        <f t="shared" si="80"/>
        <v>5</v>
      </c>
      <c r="M377" s="25">
        <f t="shared" si="81"/>
        <v>5</v>
      </c>
      <c r="N377" s="25">
        <f t="shared" si="82"/>
        <v>5</v>
      </c>
      <c r="O377" s="32">
        <f t="shared" si="83"/>
        <v>0.84420266961423651</v>
      </c>
      <c r="P377" s="32">
        <f t="shared" si="84"/>
        <v>1.0418053570413823</v>
      </c>
      <c r="Q377" s="32">
        <f t="shared" si="85"/>
        <v>0.80698132232978881</v>
      </c>
      <c r="R377" s="32">
        <f t="shared" si="86"/>
        <v>1.0506390162289212</v>
      </c>
      <c r="S377" s="32">
        <f t="shared" si="87"/>
        <v>0.86866731645372819</v>
      </c>
      <c r="T377" s="32">
        <f t="shared" si="88"/>
        <v>0.81206041627470116</v>
      </c>
      <c r="U377" s="32">
        <f t="shared" si="89"/>
        <v>0.80563658408767735</v>
      </c>
      <c r="V377" s="37">
        <f t="shared" si="90"/>
        <v>0.88999895457577638</v>
      </c>
      <c r="W377"/>
      <c r="AK377" s="45" t="s">
        <v>78</v>
      </c>
      <c r="AL377" s="45">
        <v>7</v>
      </c>
      <c r="AM377" s="45">
        <v>35</v>
      </c>
      <c r="AN377" s="45">
        <v>5</v>
      </c>
      <c r="AO377" s="45">
        <v>0</v>
      </c>
      <c r="AP377" s="45"/>
      <c r="AQ377" s="45"/>
      <c r="AR377" s="45"/>
    </row>
    <row r="378" spans="1:44" x14ac:dyDescent="0.35">
      <c r="A378">
        <v>2</v>
      </c>
      <c r="B378">
        <v>2</v>
      </c>
      <c r="C378">
        <v>5</v>
      </c>
      <c r="D378">
        <v>1</v>
      </c>
      <c r="E378">
        <v>1</v>
      </c>
      <c r="F378">
        <v>5</v>
      </c>
      <c r="G378">
        <v>5</v>
      </c>
      <c r="H378" s="25">
        <f t="shared" si="76"/>
        <v>2</v>
      </c>
      <c r="I378" s="25">
        <f t="shared" si="77"/>
        <v>4</v>
      </c>
      <c r="J378" s="25">
        <f t="shared" si="78"/>
        <v>5</v>
      </c>
      <c r="K378" s="25">
        <f t="shared" si="79"/>
        <v>5</v>
      </c>
      <c r="L378" s="25">
        <f t="shared" si="80"/>
        <v>5</v>
      </c>
      <c r="M378" s="25">
        <f t="shared" si="81"/>
        <v>5</v>
      </c>
      <c r="N378" s="25">
        <f t="shared" si="82"/>
        <v>5</v>
      </c>
      <c r="O378" s="32">
        <f t="shared" si="83"/>
        <v>-1.8576097536123615</v>
      </c>
      <c r="P378" s="32">
        <f t="shared" si="84"/>
        <v>0.26360832519077404</v>
      </c>
      <c r="Q378" s="32">
        <f t="shared" si="85"/>
        <v>0.80698132232978881</v>
      </c>
      <c r="R378" s="32">
        <f t="shared" si="86"/>
        <v>1.0506390162289212</v>
      </c>
      <c r="S378" s="32">
        <f t="shared" si="87"/>
        <v>0.86866731645372819</v>
      </c>
      <c r="T378" s="32">
        <f t="shared" si="88"/>
        <v>0.81206041627470116</v>
      </c>
      <c r="U378" s="32">
        <f t="shared" si="89"/>
        <v>0.80563658408767735</v>
      </c>
      <c r="V378" s="37">
        <f t="shared" si="90"/>
        <v>0.39285474670760412</v>
      </c>
      <c r="W378"/>
      <c r="AK378" s="45" t="s">
        <v>78</v>
      </c>
      <c r="AL378" s="45">
        <v>7</v>
      </c>
      <c r="AM378" s="45">
        <v>35</v>
      </c>
      <c r="AN378" s="45">
        <v>5</v>
      </c>
      <c r="AO378" s="45">
        <v>0</v>
      </c>
      <c r="AP378" s="45"/>
      <c r="AQ378" s="45"/>
      <c r="AR378" s="45"/>
    </row>
    <row r="379" spans="1:44" x14ac:dyDescent="0.35">
      <c r="A379">
        <v>4</v>
      </c>
      <c r="B379">
        <v>2</v>
      </c>
      <c r="C379">
        <v>5</v>
      </c>
      <c r="D379">
        <v>1</v>
      </c>
      <c r="E379">
        <v>1</v>
      </c>
      <c r="F379">
        <v>5</v>
      </c>
      <c r="G379">
        <v>5</v>
      </c>
      <c r="H379" s="25">
        <f t="shared" si="76"/>
        <v>4</v>
      </c>
      <c r="I379" s="25">
        <f t="shared" si="77"/>
        <v>4</v>
      </c>
      <c r="J379" s="25">
        <f t="shared" si="78"/>
        <v>5</v>
      </c>
      <c r="K379" s="25">
        <f t="shared" si="79"/>
        <v>5</v>
      </c>
      <c r="L379" s="25">
        <f t="shared" si="80"/>
        <v>5</v>
      </c>
      <c r="M379" s="25">
        <f t="shared" si="81"/>
        <v>5</v>
      </c>
      <c r="N379" s="25">
        <f t="shared" si="82"/>
        <v>5</v>
      </c>
      <c r="O379" s="32">
        <f t="shared" si="83"/>
        <v>-5.6401471461296142E-2</v>
      </c>
      <c r="P379" s="32">
        <f t="shared" si="84"/>
        <v>0.26360832519077404</v>
      </c>
      <c r="Q379" s="32">
        <f t="shared" si="85"/>
        <v>0.80698132232978881</v>
      </c>
      <c r="R379" s="32">
        <f t="shared" si="86"/>
        <v>1.0506390162289212</v>
      </c>
      <c r="S379" s="32">
        <f t="shared" si="87"/>
        <v>0.86866731645372819</v>
      </c>
      <c r="T379" s="32">
        <f t="shared" si="88"/>
        <v>0.81206041627470116</v>
      </c>
      <c r="U379" s="32">
        <f t="shared" si="89"/>
        <v>0.80563658408767735</v>
      </c>
      <c r="V379" s="37">
        <f t="shared" si="90"/>
        <v>0.6501702155863277</v>
      </c>
      <c r="W379"/>
      <c r="AK379" s="45" t="s">
        <v>78</v>
      </c>
      <c r="AL379" s="45">
        <v>7</v>
      </c>
      <c r="AM379" s="45">
        <v>35</v>
      </c>
      <c r="AN379" s="45">
        <v>5</v>
      </c>
      <c r="AO379" s="45">
        <v>0</v>
      </c>
      <c r="AP379" s="45"/>
      <c r="AQ379" s="45"/>
      <c r="AR379" s="45"/>
    </row>
    <row r="380" spans="1:44" x14ac:dyDescent="0.35">
      <c r="A380">
        <v>5</v>
      </c>
      <c r="B380">
        <v>2</v>
      </c>
      <c r="C380">
        <v>5</v>
      </c>
      <c r="D380">
        <v>1</v>
      </c>
      <c r="E380">
        <v>1</v>
      </c>
      <c r="F380">
        <v>5</v>
      </c>
      <c r="G380">
        <v>5</v>
      </c>
      <c r="H380" s="25">
        <f t="shared" si="76"/>
        <v>5</v>
      </c>
      <c r="I380" s="25">
        <f t="shared" si="77"/>
        <v>4</v>
      </c>
      <c r="J380" s="25">
        <f t="shared" si="78"/>
        <v>5</v>
      </c>
      <c r="K380" s="25">
        <f t="shared" si="79"/>
        <v>5</v>
      </c>
      <c r="L380" s="25">
        <f t="shared" si="80"/>
        <v>5</v>
      </c>
      <c r="M380" s="25">
        <f t="shared" si="81"/>
        <v>5</v>
      </c>
      <c r="N380" s="25">
        <f t="shared" si="82"/>
        <v>5</v>
      </c>
      <c r="O380" s="32">
        <f t="shared" si="83"/>
        <v>0.84420266961423651</v>
      </c>
      <c r="P380" s="32">
        <f t="shared" si="84"/>
        <v>0.26360832519077404</v>
      </c>
      <c r="Q380" s="32">
        <f t="shared" si="85"/>
        <v>0.80698132232978881</v>
      </c>
      <c r="R380" s="32">
        <f t="shared" si="86"/>
        <v>1.0506390162289212</v>
      </c>
      <c r="S380" s="32">
        <f t="shared" si="87"/>
        <v>0.86866731645372819</v>
      </c>
      <c r="T380" s="32">
        <f t="shared" si="88"/>
        <v>0.81206041627470116</v>
      </c>
      <c r="U380" s="32">
        <f t="shared" si="89"/>
        <v>0.80563658408767735</v>
      </c>
      <c r="V380" s="37">
        <f t="shared" si="90"/>
        <v>0.77882795002568961</v>
      </c>
      <c r="W380"/>
      <c r="AK380" s="45" t="s">
        <v>78</v>
      </c>
      <c r="AL380" s="45">
        <v>7</v>
      </c>
      <c r="AM380" s="45">
        <v>35</v>
      </c>
      <c r="AN380" s="45">
        <v>5</v>
      </c>
      <c r="AO380" s="45">
        <v>0</v>
      </c>
      <c r="AP380" s="45"/>
      <c r="AQ380" s="45"/>
      <c r="AR380" s="45"/>
    </row>
    <row r="381" spans="1:44" x14ac:dyDescent="0.35">
      <c r="A381">
        <v>5</v>
      </c>
      <c r="B381">
        <v>2</v>
      </c>
      <c r="C381">
        <v>5</v>
      </c>
      <c r="D381">
        <v>1</v>
      </c>
      <c r="E381">
        <v>1</v>
      </c>
      <c r="F381">
        <v>5</v>
      </c>
      <c r="G381">
        <v>5</v>
      </c>
      <c r="H381" s="25">
        <f t="shared" si="76"/>
        <v>5</v>
      </c>
      <c r="I381" s="25">
        <f t="shared" si="77"/>
        <v>4</v>
      </c>
      <c r="J381" s="25">
        <f t="shared" si="78"/>
        <v>5</v>
      </c>
      <c r="K381" s="25">
        <f t="shared" si="79"/>
        <v>5</v>
      </c>
      <c r="L381" s="25">
        <f t="shared" si="80"/>
        <v>5</v>
      </c>
      <c r="M381" s="25">
        <f t="shared" si="81"/>
        <v>5</v>
      </c>
      <c r="N381" s="25">
        <f t="shared" si="82"/>
        <v>5</v>
      </c>
      <c r="O381" s="32">
        <f t="shared" si="83"/>
        <v>0.84420266961423651</v>
      </c>
      <c r="P381" s="32">
        <f t="shared" si="84"/>
        <v>0.26360832519077404</v>
      </c>
      <c r="Q381" s="32">
        <f t="shared" si="85"/>
        <v>0.80698132232978881</v>
      </c>
      <c r="R381" s="32">
        <f t="shared" si="86"/>
        <v>1.0506390162289212</v>
      </c>
      <c r="S381" s="32">
        <f t="shared" si="87"/>
        <v>0.86866731645372819</v>
      </c>
      <c r="T381" s="32">
        <f t="shared" si="88"/>
        <v>0.81206041627470116</v>
      </c>
      <c r="U381" s="32">
        <f t="shared" si="89"/>
        <v>0.80563658408767735</v>
      </c>
      <c r="V381" s="37">
        <f t="shared" si="90"/>
        <v>0.77882795002568961</v>
      </c>
      <c r="W381"/>
      <c r="AK381" s="45" t="s">
        <v>78</v>
      </c>
      <c r="AL381" s="45">
        <v>7</v>
      </c>
      <c r="AM381" s="45">
        <v>31</v>
      </c>
      <c r="AN381" s="45">
        <v>4.4285714289999998</v>
      </c>
      <c r="AO381" s="45">
        <v>1.2857142859999999</v>
      </c>
      <c r="AP381" s="45"/>
      <c r="AQ381" s="45"/>
      <c r="AR381" s="45"/>
    </row>
    <row r="382" spans="1:44" x14ac:dyDescent="0.35">
      <c r="A382">
        <v>5</v>
      </c>
      <c r="B382">
        <v>2</v>
      </c>
      <c r="C382">
        <v>5</v>
      </c>
      <c r="D382">
        <v>1</v>
      </c>
      <c r="E382">
        <v>1</v>
      </c>
      <c r="F382">
        <v>5</v>
      </c>
      <c r="G382">
        <v>5</v>
      </c>
      <c r="H382" s="25">
        <f t="shared" si="76"/>
        <v>5</v>
      </c>
      <c r="I382" s="25">
        <f t="shared" si="77"/>
        <v>4</v>
      </c>
      <c r="J382" s="25">
        <f t="shared" si="78"/>
        <v>5</v>
      </c>
      <c r="K382" s="25">
        <f t="shared" si="79"/>
        <v>5</v>
      </c>
      <c r="L382" s="25">
        <f t="shared" si="80"/>
        <v>5</v>
      </c>
      <c r="M382" s="25">
        <f t="shared" si="81"/>
        <v>5</v>
      </c>
      <c r="N382" s="25">
        <f t="shared" si="82"/>
        <v>5</v>
      </c>
      <c r="O382" s="32">
        <f t="shared" si="83"/>
        <v>0.84420266961423651</v>
      </c>
      <c r="P382" s="32">
        <f t="shared" si="84"/>
        <v>0.26360832519077404</v>
      </c>
      <c r="Q382" s="32">
        <f t="shared" si="85"/>
        <v>0.80698132232978881</v>
      </c>
      <c r="R382" s="32">
        <f t="shared" si="86"/>
        <v>1.0506390162289212</v>
      </c>
      <c r="S382" s="32">
        <f t="shared" si="87"/>
        <v>0.86866731645372819</v>
      </c>
      <c r="T382" s="32">
        <f t="shared" si="88"/>
        <v>0.81206041627470116</v>
      </c>
      <c r="U382" s="32">
        <f t="shared" si="89"/>
        <v>0.80563658408767735</v>
      </c>
      <c r="V382" s="37">
        <f t="shared" si="90"/>
        <v>0.77882795002568961</v>
      </c>
      <c r="W382"/>
      <c r="AK382" s="45" t="s">
        <v>78</v>
      </c>
      <c r="AL382" s="45">
        <v>7</v>
      </c>
      <c r="AM382" s="45">
        <v>33</v>
      </c>
      <c r="AN382" s="45">
        <v>4.7142857139999998</v>
      </c>
      <c r="AO382" s="45">
        <v>0.23809523799999999</v>
      </c>
      <c r="AP382" s="45"/>
      <c r="AQ382" s="45"/>
      <c r="AR382" s="45"/>
    </row>
    <row r="383" spans="1:44" x14ac:dyDescent="0.35">
      <c r="A383">
        <v>5</v>
      </c>
      <c r="B383">
        <v>2</v>
      </c>
      <c r="C383">
        <v>5</v>
      </c>
      <c r="D383">
        <v>1</v>
      </c>
      <c r="E383">
        <v>1</v>
      </c>
      <c r="F383">
        <v>5</v>
      </c>
      <c r="G383">
        <v>5</v>
      </c>
      <c r="H383" s="25">
        <f t="shared" si="76"/>
        <v>5</v>
      </c>
      <c r="I383" s="25">
        <f t="shared" si="77"/>
        <v>4</v>
      </c>
      <c r="J383" s="25">
        <f t="shared" si="78"/>
        <v>5</v>
      </c>
      <c r="K383" s="25">
        <f t="shared" si="79"/>
        <v>5</v>
      </c>
      <c r="L383" s="25">
        <f t="shared" si="80"/>
        <v>5</v>
      </c>
      <c r="M383" s="25">
        <f t="shared" si="81"/>
        <v>5</v>
      </c>
      <c r="N383" s="25">
        <f t="shared" si="82"/>
        <v>5</v>
      </c>
      <c r="O383" s="32">
        <f t="shared" si="83"/>
        <v>0.84420266961423651</v>
      </c>
      <c r="P383" s="32">
        <f t="shared" si="84"/>
        <v>0.26360832519077404</v>
      </c>
      <c r="Q383" s="32">
        <f t="shared" si="85"/>
        <v>0.80698132232978881</v>
      </c>
      <c r="R383" s="32">
        <f t="shared" si="86"/>
        <v>1.0506390162289212</v>
      </c>
      <c r="S383" s="32">
        <f t="shared" si="87"/>
        <v>0.86866731645372819</v>
      </c>
      <c r="T383" s="32">
        <f t="shared" si="88"/>
        <v>0.81206041627470116</v>
      </c>
      <c r="U383" s="32">
        <f t="shared" si="89"/>
        <v>0.80563658408767735</v>
      </c>
      <c r="V383" s="37">
        <f t="shared" si="90"/>
        <v>0.77882795002568961</v>
      </c>
      <c r="W383"/>
      <c r="AK383" s="45" t="s">
        <v>78</v>
      </c>
      <c r="AL383" s="45">
        <v>7</v>
      </c>
      <c r="AM383" s="45">
        <v>34</v>
      </c>
      <c r="AN383" s="45">
        <v>4.8571428570000004</v>
      </c>
      <c r="AO383" s="45">
        <v>0.14285714299999999</v>
      </c>
      <c r="AP383" s="45"/>
      <c r="AQ383" s="45"/>
      <c r="AR383" s="45"/>
    </row>
    <row r="384" spans="1:44" x14ac:dyDescent="0.35">
      <c r="A384">
        <v>5</v>
      </c>
      <c r="B384">
        <v>2</v>
      </c>
      <c r="C384">
        <v>5</v>
      </c>
      <c r="D384">
        <v>1</v>
      </c>
      <c r="E384">
        <v>1</v>
      </c>
      <c r="F384">
        <v>5</v>
      </c>
      <c r="G384">
        <v>5</v>
      </c>
      <c r="H384" s="25">
        <f t="shared" si="76"/>
        <v>5</v>
      </c>
      <c r="I384" s="25">
        <f t="shared" si="77"/>
        <v>4</v>
      </c>
      <c r="J384" s="25">
        <f t="shared" si="78"/>
        <v>5</v>
      </c>
      <c r="K384" s="25">
        <f t="shared" si="79"/>
        <v>5</v>
      </c>
      <c r="L384" s="25">
        <f t="shared" si="80"/>
        <v>5</v>
      </c>
      <c r="M384" s="25">
        <f t="shared" si="81"/>
        <v>5</v>
      </c>
      <c r="N384" s="25">
        <f t="shared" si="82"/>
        <v>5</v>
      </c>
      <c r="O384" s="32">
        <f t="shared" si="83"/>
        <v>0.84420266961423651</v>
      </c>
      <c r="P384" s="32">
        <f t="shared" si="84"/>
        <v>0.26360832519077404</v>
      </c>
      <c r="Q384" s="32">
        <f t="shared" si="85"/>
        <v>0.80698132232978881</v>
      </c>
      <c r="R384" s="32">
        <f t="shared" si="86"/>
        <v>1.0506390162289212</v>
      </c>
      <c r="S384" s="32">
        <f t="shared" si="87"/>
        <v>0.86866731645372819</v>
      </c>
      <c r="T384" s="32">
        <f t="shared" si="88"/>
        <v>0.81206041627470116</v>
      </c>
      <c r="U384" s="32">
        <f t="shared" si="89"/>
        <v>0.80563658408767735</v>
      </c>
      <c r="V384" s="37">
        <f t="shared" si="90"/>
        <v>0.77882795002568961</v>
      </c>
      <c r="W384"/>
      <c r="AK384" s="45" t="s">
        <v>78</v>
      </c>
      <c r="AL384" s="45">
        <v>7</v>
      </c>
      <c r="AM384" s="45">
        <v>34</v>
      </c>
      <c r="AN384" s="45">
        <v>4.8571428570000004</v>
      </c>
      <c r="AO384" s="45">
        <v>0.14285714299999999</v>
      </c>
      <c r="AP384" s="45"/>
      <c r="AQ384" s="45"/>
      <c r="AR384" s="45"/>
    </row>
    <row r="385" spans="1:44" x14ac:dyDescent="0.35">
      <c r="A385">
        <v>5</v>
      </c>
      <c r="B385">
        <v>2</v>
      </c>
      <c r="C385">
        <v>5</v>
      </c>
      <c r="D385">
        <v>1</v>
      </c>
      <c r="E385">
        <v>1</v>
      </c>
      <c r="F385">
        <v>5</v>
      </c>
      <c r="G385">
        <v>5</v>
      </c>
      <c r="H385" s="25">
        <f t="shared" si="76"/>
        <v>5</v>
      </c>
      <c r="I385" s="25">
        <f t="shared" si="77"/>
        <v>4</v>
      </c>
      <c r="J385" s="25">
        <f t="shared" si="78"/>
        <v>5</v>
      </c>
      <c r="K385" s="25">
        <f t="shared" si="79"/>
        <v>5</v>
      </c>
      <c r="L385" s="25">
        <f t="shared" si="80"/>
        <v>5</v>
      </c>
      <c r="M385" s="25">
        <f t="shared" si="81"/>
        <v>5</v>
      </c>
      <c r="N385" s="25">
        <f t="shared" si="82"/>
        <v>5</v>
      </c>
      <c r="O385" s="32">
        <f t="shared" si="83"/>
        <v>0.84420266961423651</v>
      </c>
      <c r="P385" s="32">
        <f t="shared" si="84"/>
        <v>0.26360832519077404</v>
      </c>
      <c r="Q385" s="32">
        <f t="shared" si="85"/>
        <v>0.80698132232978881</v>
      </c>
      <c r="R385" s="32">
        <f t="shared" si="86"/>
        <v>1.0506390162289212</v>
      </c>
      <c r="S385" s="32">
        <f t="shared" si="87"/>
        <v>0.86866731645372819</v>
      </c>
      <c r="T385" s="32">
        <f t="shared" si="88"/>
        <v>0.81206041627470116</v>
      </c>
      <c r="U385" s="32">
        <f t="shared" si="89"/>
        <v>0.80563658408767735</v>
      </c>
      <c r="V385" s="37">
        <f t="shared" si="90"/>
        <v>0.77882795002568961</v>
      </c>
      <c r="W385"/>
      <c r="AK385" s="45" t="s">
        <v>78</v>
      </c>
      <c r="AL385" s="45">
        <v>7</v>
      </c>
      <c r="AM385" s="45">
        <v>34</v>
      </c>
      <c r="AN385" s="45">
        <v>4.8571428570000004</v>
      </c>
      <c r="AO385" s="45">
        <v>0.14285714299999999</v>
      </c>
      <c r="AP385" s="45"/>
      <c r="AQ385" s="45"/>
      <c r="AR385" s="45"/>
    </row>
    <row r="386" spans="1:44" x14ac:dyDescent="0.35">
      <c r="A386">
        <v>4</v>
      </c>
      <c r="B386">
        <v>3</v>
      </c>
      <c r="C386">
        <v>5</v>
      </c>
      <c r="D386">
        <v>1</v>
      </c>
      <c r="E386">
        <v>1</v>
      </c>
      <c r="F386">
        <v>5</v>
      </c>
      <c r="G386">
        <v>5</v>
      </c>
      <c r="H386" s="25">
        <f t="shared" ref="H386:H449" si="91">IF(ISBLANK(A386),"",A386)</f>
        <v>4</v>
      </c>
      <c r="I386" s="25">
        <f t="shared" ref="I386:I449" si="92">IF(ISBLANK(B386),"",6-B386)</f>
        <v>3</v>
      </c>
      <c r="J386" s="25">
        <f t="shared" ref="J386:J449" si="93">IF(ISBLANK(C386),"",C386)</f>
        <v>5</v>
      </c>
      <c r="K386" s="25">
        <f t="shared" ref="K386:K449" si="94">IF(ISBLANK(D386),"",6-D386)</f>
        <v>5</v>
      </c>
      <c r="L386" s="25">
        <f t="shared" ref="L386:L449" si="95">IF(ISBLANK(E386),"",6-E386)</f>
        <v>5</v>
      </c>
      <c r="M386" s="25">
        <f t="shared" ref="M386:M449" si="96">IF(ISBLANK(F386),"",F386)</f>
        <v>5</v>
      </c>
      <c r="N386" s="25">
        <f t="shared" ref="N386:N449" si="97">IF(ISBLANK(G386),"",G386)</f>
        <v>5</v>
      </c>
      <c r="O386" s="32">
        <f t="shared" ref="O386:O449" si="98">IF(ISTEXT(H386),"",STANDARDIZE(H386,H$500,H$501))</f>
        <v>-5.6401471461296142E-2</v>
      </c>
      <c r="P386" s="32">
        <f t="shared" ref="P386:P449" si="99">IF(ISTEXT(I386),"",STANDARDIZE(I386,I$500,I$501))</f>
        <v>-0.51458870665983425</v>
      </c>
      <c r="Q386" s="32">
        <f t="shared" ref="Q386:Q449" si="100">IF(ISTEXT(J386),"",STANDARDIZE(J386,J$500,J$501))</f>
        <v>0.80698132232978881</v>
      </c>
      <c r="R386" s="32">
        <f t="shared" ref="R386:R449" si="101">IF(ISTEXT(K386),"",STANDARDIZE(K386,K$500,K$501))</f>
        <v>1.0506390162289212</v>
      </c>
      <c r="S386" s="32">
        <f t="shared" ref="S386:S449" si="102">IF(ISTEXT(L386),"",STANDARDIZE(L386,L$500,L$501))</f>
        <v>0.86866731645372819</v>
      </c>
      <c r="T386" s="32">
        <f t="shared" ref="T386:T449" si="103">IF(ISTEXT(M386),"",STANDARDIZE(M386,M$500,M$501))</f>
        <v>0.81206041627470116</v>
      </c>
      <c r="U386" s="32">
        <f t="shared" ref="U386:U449" si="104">IF(ISTEXT(N386),"",STANDARDIZE(N386,N$500,N$501))</f>
        <v>0.80563658408767735</v>
      </c>
      <c r="V386" s="37">
        <f t="shared" ref="V386:V449" si="105">AVERAGE(O386:U386)</f>
        <v>0.53899921103624082</v>
      </c>
      <c r="W386"/>
      <c r="AK386" s="45" t="s">
        <v>78</v>
      </c>
      <c r="AL386" s="45">
        <v>7</v>
      </c>
      <c r="AM386" s="45">
        <v>34</v>
      </c>
      <c r="AN386" s="45">
        <v>4.8571428570000004</v>
      </c>
      <c r="AO386" s="45">
        <v>0.14285714299999999</v>
      </c>
      <c r="AP386" s="45"/>
      <c r="AQ386" s="45"/>
      <c r="AR386" s="45"/>
    </row>
    <row r="387" spans="1:44" x14ac:dyDescent="0.35">
      <c r="A387">
        <v>5</v>
      </c>
      <c r="B387">
        <v>3</v>
      </c>
      <c r="C387">
        <v>5</v>
      </c>
      <c r="D387">
        <v>1</v>
      </c>
      <c r="E387">
        <v>1</v>
      </c>
      <c r="F387">
        <v>5</v>
      </c>
      <c r="G387">
        <v>5</v>
      </c>
      <c r="H387" s="25">
        <f t="shared" si="91"/>
        <v>5</v>
      </c>
      <c r="I387" s="25">
        <f t="shared" si="92"/>
        <v>3</v>
      </c>
      <c r="J387" s="25">
        <f t="shared" si="93"/>
        <v>5</v>
      </c>
      <c r="K387" s="25">
        <f t="shared" si="94"/>
        <v>5</v>
      </c>
      <c r="L387" s="25">
        <f t="shared" si="95"/>
        <v>5</v>
      </c>
      <c r="M387" s="25">
        <f t="shared" si="96"/>
        <v>5</v>
      </c>
      <c r="N387" s="25">
        <f t="shared" si="97"/>
        <v>5</v>
      </c>
      <c r="O387" s="32">
        <f t="shared" si="98"/>
        <v>0.84420266961423651</v>
      </c>
      <c r="P387" s="32">
        <f t="shared" si="99"/>
        <v>-0.51458870665983425</v>
      </c>
      <c r="Q387" s="32">
        <f t="shared" si="100"/>
        <v>0.80698132232978881</v>
      </c>
      <c r="R387" s="32">
        <f t="shared" si="101"/>
        <v>1.0506390162289212</v>
      </c>
      <c r="S387" s="32">
        <f t="shared" si="102"/>
        <v>0.86866731645372819</v>
      </c>
      <c r="T387" s="32">
        <f t="shared" si="103"/>
        <v>0.81206041627470116</v>
      </c>
      <c r="U387" s="32">
        <f t="shared" si="104"/>
        <v>0.80563658408767735</v>
      </c>
      <c r="V387" s="37">
        <f t="shared" si="105"/>
        <v>0.66765694547560273</v>
      </c>
      <c r="W387"/>
      <c r="AK387" s="45" t="s">
        <v>78</v>
      </c>
      <c r="AL387" s="45">
        <v>7</v>
      </c>
      <c r="AM387" s="45">
        <v>34</v>
      </c>
      <c r="AN387" s="45">
        <v>4.8571428570000004</v>
      </c>
      <c r="AO387" s="45">
        <v>0.14285714299999999</v>
      </c>
      <c r="AP387" s="45"/>
      <c r="AQ387" s="45"/>
      <c r="AR387" s="45"/>
    </row>
    <row r="388" spans="1:44" x14ac:dyDescent="0.35">
      <c r="A388">
        <v>5</v>
      </c>
      <c r="B388">
        <v>4</v>
      </c>
      <c r="C388">
        <v>5</v>
      </c>
      <c r="D388">
        <v>1</v>
      </c>
      <c r="E388">
        <v>1</v>
      </c>
      <c r="F388">
        <v>5</v>
      </c>
      <c r="G388">
        <v>5</v>
      </c>
      <c r="H388" s="25">
        <f t="shared" si="91"/>
        <v>5</v>
      </c>
      <c r="I388" s="25">
        <f t="shared" si="92"/>
        <v>2</v>
      </c>
      <c r="J388" s="25">
        <f t="shared" si="93"/>
        <v>5</v>
      </c>
      <c r="K388" s="25">
        <f t="shared" si="94"/>
        <v>5</v>
      </c>
      <c r="L388" s="25">
        <f t="shared" si="95"/>
        <v>5</v>
      </c>
      <c r="M388" s="25">
        <f t="shared" si="96"/>
        <v>5</v>
      </c>
      <c r="N388" s="25">
        <f t="shared" si="97"/>
        <v>5</v>
      </c>
      <c r="O388" s="32">
        <f t="shared" si="98"/>
        <v>0.84420266961423651</v>
      </c>
      <c r="P388" s="32">
        <f t="shared" si="99"/>
        <v>-1.2927857385104427</v>
      </c>
      <c r="Q388" s="32">
        <f t="shared" si="100"/>
        <v>0.80698132232978881</v>
      </c>
      <c r="R388" s="32">
        <f t="shared" si="101"/>
        <v>1.0506390162289212</v>
      </c>
      <c r="S388" s="32">
        <f t="shared" si="102"/>
        <v>0.86866731645372819</v>
      </c>
      <c r="T388" s="32">
        <f t="shared" si="103"/>
        <v>0.81206041627470116</v>
      </c>
      <c r="U388" s="32">
        <f t="shared" si="104"/>
        <v>0.80563658408767735</v>
      </c>
      <c r="V388" s="37">
        <f t="shared" si="105"/>
        <v>0.55648594092551573</v>
      </c>
      <c r="W388"/>
      <c r="AK388" s="45" t="s">
        <v>78</v>
      </c>
      <c r="AL388" s="45">
        <v>7</v>
      </c>
      <c r="AM388" s="45">
        <v>34</v>
      </c>
      <c r="AN388" s="45">
        <v>4.8571428570000004</v>
      </c>
      <c r="AO388" s="45">
        <v>0.14285714299999999</v>
      </c>
      <c r="AP388" s="45"/>
      <c r="AQ388" s="45"/>
      <c r="AR388" s="45"/>
    </row>
    <row r="389" spans="1:44" x14ac:dyDescent="0.35">
      <c r="A389">
        <v>5</v>
      </c>
      <c r="B389">
        <v>4</v>
      </c>
      <c r="C389">
        <v>5</v>
      </c>
      <c r="D389">
        <v>1</v>
      </c>
      <c r="E389">
        <v>1</v>
      </c>
      <c r="F389">
        <v>5</v>
      </c>
      <c r="G389">
        <v>5</v>
      </c>
      <c r="H389" s="25">
        <f t="shared" si="91"/>
        <v>5</v>
      </c>
      <c r="I389" s="25">
        <f t="shared" si="92"/>
        <v>2</v>
      </c>
      <c r="J389" s="25">
        <f t="shared" si="93"/>
        <v>5</v>
      </c>
      <c r="K389" s="25">
        <f t="shared" si="94"/>
        <v>5</v>
      </c>
      <c r="L389" s="25">
        <f t="shared" si="95"/>
        <v>5</v>
      </c>
      <c r="M389" s="25">
        <f t="shared" si="96"/>
        <v>5</v>
      </c>
      <c r="N389" s="25">
        <f t="shared" si="97"/>
        <v>5</v>
      </c>
      <c r="O389" s="32">
        <f t="shared" si="98"/>
        <v>0.84420266961423651</v>
      </c>
      <c r="P389" s="32">
        <f t="shared" si="99"/>
        <v>-1.2927857385104427</v>
      </c>
      <c r="Q389" s="32">
        <f t="shared" si="100"/>
        <v>0.80698132232978881</v>
      </c>
      <c r="R389" s="32">
        <f t="shared" si="101"/>
        <v>1.0506390162289212</v>
      </c>
      <c r="S389" s="32">
        <f t="shared" si="102"/>
        <v>0.86866731645372819</v>
      </c>
      <c r="T389" s="32">
        <f t="shared" si="103"/>
        <v>0.81206041627470116</v>
      </c>
      <c r="U389" s="32">
        <f t="shared" si="104"/>
        <v>0.80563658408767735</v>
      </c>
      <c r="V389" s="37">
        <f t="shared" si="105"/>
        <v>0.55648594092551573</v>
      </c>
      <c r="W389"/>
      <c r="AK389" s="45" t="s">
        <v>78</v>
      </c>
      <c r="AL389" s="45">
        <v>7</v>
      </c>
      <c r="AM389" s="45">
        <v>32</v>
      </c>
      <c r="AN389" s="45">
        <v>4.5714285710000002</v>
      </c>
      <c r="AO389" s="45">
        <v>0.61904761900000005</v>
      </c>
      <c r="AP389" s="45"/>
      <c r="AQ389" s="45"/>
      <c r="AR389" s="45"/>
    </row>
    <row r="390" spans="1:44" x14ac:dyDescent="0.35">
      <c r="A390">
        <v>5</v>
      </c>
      <c r="B390">
        <v>4</v>
      </c>
      <c r="C390">
        <v>5</v>
      </c>
      <c r="D390">
        <v>1</v>
      </c>
      <c r="E390">
        <v>1</v>
      </c>
      <c r="F390">
        <v>5</v>
      </c>
      <c r="G390">
        <v>5</v>
      </c>
      <c r="H390" s="25">
        <f t="shared" si="91"/>
        <v>5</v>
      </c>
      <c r="I390" s="25">
        <f t="shared" si="92"/>
        <v>2</v>
      </c>
      <c r="J390" s="25">
        <f t="shared" si="93"/>
        <v>5</v>
      </c>
      <c r="K390" s="25">
        <f t="shared" si="94"/>
        <v>5</v>
      </c>
      <c r="L390" s="25">
        <f t="shared" si="95"/>
        <v>5</v>
      </c>
      <c r="M390" s="25">
        <f t="shared" si="96"/>
        <v>5</v>
      </c>
      <c r="N390" s="25">
        <f t="shared" si="97"/>
        <v>5</v>
      </c>
      <c r="O390" s="32">
        <f t="shared" si="98"/>
        <v>0.84420266961423651</v>
      </c>
      <c r="P390" s="32">
        <f t="shared" si="99"/>
        <v>-1.2927857385104427</v>
      </c>
      <c r="Q390" s="32">
        <f t="shared" si="100"/>
        <v>0.80698132232978881</v>
      </c>
      <c r="R390" s="32">
        <f t="shared" si="101"/>
        <v>1.0506390162289212</v>
      </c>
      <c r="S390" s="32">
        <f t="shared" si="102"/>
        <v>0.86866731645372819</v>
      </c>
      <c r="T390" s="32">
        <f t="shared" si="103"/>
        <v>0.81206041627470116</v>
      </c>
      <c r="U390" s="32">
        <f t="shared" si="104"/>
        <v>0.80563658408767735</v>
      </c>
      <c r="V390" s="37">
        <f t="shared" si="105"/>
        <v>0.55648594092551573</v>
      </c>
      <c r="W390"/>
      <c r="AK390" s="45" t="s">
        <v>78</v>
      </c>
      <c r="AL390" s="45">
        <v>7</v>
      </c>
      <c r="AM390" s="45">
        <v>33</v>
      </c>
      <c r="AN390" s="45">
        <v>4.7142857139999998</v>
      </c>
      <c r="AO390" s="45">
        <v>0.571428571</v>
      </c>
      <c r="AP390" s="45"/>
      <c r="AQ390" s="45"/>
      <c r="AR390" s="45"/>
    </row>
    <row r="391" spans="1:44" x14ac:dyDescent="0.35">
      <c r="A391">
        <v>5</v>
      </c>
      <c r="B391">
        <v>5</v>
      </c>
      <c r="C391">
        <v>5</v>
      </c>
      <c r="D391">
        <v>1</v>
      </c>
      <c r="E391">
        <v>1</v>
      </c>
      <c r="F391">
        <v>5</v>
      </c>
      <c r="G391">
        <v>5</v>
      </c>
      <c r="H391" s="25">
        <f t="shared" si="91"/>
        <v>5</v>
      </c>
      <c r="I391" s="25">
        <f t="shared" si="92"/>
        <v>1</v>
      </c>
      <c r="J391" s="25">
        <f t="shared" si="93"/>
        <v>5</v>
      </c>
      <c r="K391" s="25">
        <f t="shared" si="94"/>
        <v>5</v>
      </c>
      <c r="L391" s="25">
        <f t="shared" si="95"/>
        <v>5</v>
      </c>
      <c r="M391" s="25">
        <f t="shared" si="96"/>
        <v>5</v>
      </c>
      <c r="N391" s="25">
        <f t="shared" si="97"/>
        <v>5</v>
      </c>
      <c r="O391" s="32">
        <f t="shared" si="98"/>
        <v>0.84420266961423651</v>
      </c>
      <c r="P391" s="32">
        <f t="shared" si="99"/>
        <v>-2.0709827703610508</v>
      </c>
      <c r="Q391" s="32">
        <f t="shared" si="100"/>
        <v>0.80698132232978881</v>
      </c>
      <c r="R391" s="32">
        <f t="shared" si="101"/>
        <v>1.0506390162289212</v>
      </c>
      <c r="S391" s="32">
        <f t="shared" si="102"/>
        <v>0.86866731645372819</v>
      </c>
      <c r="T391" s="32">
        <f t="shared" si="103"/>
        <v>0.81206041627470116</v>
      </c>
      <c r="U391" s="32">
        <f t="shared" si="104"/>
        <v>0.80563658408767735</v>
      </c>
      <c r="V391" s="37">
        <f t="shared" si="105"/>
        <v>0.4453149363754289</v>
      </c>
      <c r="W391"/>
      <c r="AK391" s="45" t="s">
        <v>78</v>
      </c>
      <c r="AL391" s="45">
        <v>7</v>
      </c>
      <c r="AM391" s="45">
        <v>32</v>
      </c>
      <c r="AN391" s="45">
        <v>4.5714285710000002</v>
      </c>
      <c r="AO391" s="45">
        <v>1.2857142859999999</v>
      </c>
      <c r="AP391" s="45"/>
      <c r="AQ391" s="45"/>
      <c r="AR391" s="45"/>
    </row>
    <row r="392" spans="1:44" x14ac:dyDescent="0.35">
      <c r="A392">
        <v>5</v>
      </c>
      <c r="B392">
        <v>5</v>
      </c>
      <c r="C392">
        <v>5</v>
      </c>
      <c r="D392">
        <v>1</v>
      </c>
      <c r="E392">
        <v>1</v>
      </c>
      <c r="F392">
        <v>5</v>
      </c>
      <c r="G392">
        <v>5</v>
      </c>
      <c r="H392" s="25">
        <f t="shared" si="91"/>
        <v>5</v>
      </c>
      <c r="I392" s="25">
        <f t="shared" si="92"/>
        <v>1</v>
      </c>
      <c r="J392" s="25">
        <f t="shared" si="93"/>
        <v>5</v>
      </c>
      <c r="K392" s="25">
        <f t="shared" si="94"/>
        <v>5</v>
      </c>
      <c r="L392" s="25">
        <f t="shared" si="95"/>
        <v>5</v>
      </c>
      <c r="M392" s="25">
        <f t="shared" si="96"/>
        <v>5</v>
      </c>
      <c r="N392" s="25">
        <f t="shared" si="97"/>
        <v>5</v>
      </c>
      <c r="O392" s="32">
        <f t="shared" si="98"/>
        <v>0.84420266961423651</v>
      </c>
      <c r="P392" s="32">
        <f t="shared" si="99"/>
        <v>-2.0709827703610508</v>
      </c>
      <c r="Q392" s="32">
        <f t="shared" si="100"/>
        <v>0.80698132232978881</v>
      </c>
      <c r="R392" s="32">
        <f t="shared" si="101"/>
        <v>1.0506390162289212</v>
      </c>
      <c r="S392" s="32">
        <f t="shared" si="102"/>
        <v>0.86866731645372819</v>
      </c>
      <c r="T392" s="32">
        <f t="shared" si="103"/>
        <v>0.81206041627470116</v>
      </c>
      <c r="U392" s="32">
        <f t="shared" si="104"/>
        <v>0.80563658408767735</v>
      </c>
      <c r="V392" s="37">
        <f t="shared" si="105"/>
        <v>0.4453149363754289</v>
      </c>
      <c r="W392"/>
      <c r="AK392" s="45" t="s">
        <v>78</v>
      </c>
      <c r="AL392" s="45">
        <v>7</v>
      </c>
      <c r="AM392" s="45">
        <v>32</v>
      </c>
      <c r="AN392" s="45">
        <v>4.5714285710000002</v>
      </c>
      <c r="AO392" s="45">
        <v>1.2857142859999999</v>
      </c>
      <c r="AP392" s="45"/>
      <c r="AQ392" s="45"/>
      <c r="AR392" s="45"/>
    </row>
    <row r="393" spans="1:44" x14ac:dyDescent="0.35">
      <c r="A393">
        <v>5</v>
      </c>
      <c r="B393">
        <v>5</v>
      </c>
      <c r="C393">
        <v>5</v>
      </c>
      <c r="D393">
        <v>1</v>
      </c>
      <c r="E393">
        <v>1</v>
      </c>
      <c r="F393">
        <v>5</v>
      </c>
      <c r="G393">
        <v>5</v>
      </c>
      <c r="H393" s="25">
        <f t="shared" si="91"/>
        <v>5</v>
      </c>
      <c r="I393" s="25">
        <f t="shared" si="92"/>
        <v>1</v>
      </c>
      <c r="J393" s="25">
        <f t="shared" si="93"/>
        <v>5</v>
      </c>
      <c r="K393" s="25">
        <f t="shared" si="94"/>
        <v>5</v>
      </c>
      <c r="L393" s="25">
        <f t="shared" si="95"/>
        <v>5</v>
      </c>
      <c r="M393" s="25">
        <f t="shared" si="96"/>
        <v>5</v>
      </c>
      <c r="N393" s="25">
        <f t="shared" si="97"/>
        <v>5</v>
      </c>
      <c r="O393" s="32">
        <f t="shared" si="98"/>
        <v>0.84420266961423651</v>
      </c>
      <c r="P393" s="32">
        <f t="shared" si="99"/>
        <v>-2.0709827703610508</v>
      </c>
      <c r="Q393" s="32">
        <f t="shared" si="100"/>
        <v>0.80698132232978881</v>
      </c>
      <c r="R393" s="32">
        <f t="shared" si="101"/>
        <v>1.0506390162289212</v>
      </c>
      <c r="S393" s="32">
        <f t="shared" si="102"/>
        <v>0.86866731645372819</v>
      </c>
      <c r="T393" s="32">
        <f t="shared" si="103"/>
        <v>0.81206041627470116</v>
      </c>
      <c r="U393" s="32">
        <f t="shared" si="104"/>
        <v>0.80563658408767735</v>
      </c>
      <c r="V393" s="37">
        <f t="shared" si="105"/>
        <v>0.4453149363754289</v>
      </c>
      <c r="W393"/>
      <c r="AK393" s="45" t="s">
        <v>78</v>
      </c>
      <c r="AL393" s="45">
        <v>7</v>
      </c>
      <c r="AM393" s="45">
        <v>32</v>
      </c>
      <c r="AN393" s="45">
        <v>4.5714285710000002</v>
      </c>
      <c r="AO393" s="45">
        <v>1.2857142859999999</v>
      </c>
      <c r="AP393" s="45"/>
      <c r="AQ393" s="45"/>
      <c r="AR393" s="45"/>
    </row>
    <row r="394" spans="1:44" x14ac:dyDescent="0.35">
      <c r="A394">
        <v>5</v>
      </c>
      <c r="B394">
        <v>5</v>
      </c>
      <c r="C394">
        <v>5</v>
      </c>
      <c r="D394">
        <v>1</v>
      </c>
      <c r="E394">
        <v>1</v>
      </c>
      <c r="F394">
        <v>5</v>
      </c>
      <c r="G394">
        <v>5</v>
      </c>
      <c r="H394" s="25">
        <f t="shared" si="91"/>
        <v>5</v>
      </c>
      <c r="I394" s="25">
        <f t="shared" si="92"/>
        <v>1</v>
      </c>
      <c r="J394" s="25">
        <f t="shared" si="93"/>
        <v>5</v>
      </c>
      <c r="K394" s="25">
        <f t="shared" si="94"/>
        <v>5</v>
      </c>
      <c r="L394" s="25">
        <f t="shared" si="95"/>
        <v>5</v>
      </c>
      <c r="M394" s="25">
        <f t="shared" si="96"/>
        <v>5</v>
      </c>
      <c r="N394" s="25">
        <f t="shared" si="97"/>
        <v>5</v>
      </c>
      <c r="O394" s="32">
        <f t="shared" si="98"/>
        <v>0.84420266961423651</v>
      </c>
      <c r="P394" s="32">
        <f t="shared" si="99"/>
        <v>-2.0709827703610508</v>
      </c>
      <c r="Q394" s="32">
        <f t="shared" si="100"/>
        <v>0.80698132232978881</v>
      </c>
      <c r="R394" s="32">
        <f t="shared" si="101"/>
        <v>1.0506390162289212</v>
      </c>
      <c r="S394" s="32">
        <f t="shared" si="102"/>
        <v>0.86866731645372819</v>
      </c>
      <c r="T394" s="32">
        <f t="shared" si="103"/>
        <v>0.81206041627470116</v>
      </c>
      <c r="U394" s="32">
        <f t="shared" si="104"/>
        <v>0.80563658408767735</v>
      </c>
      <c r="V394" s="37">
        <f t="shared" si="105"/>
        <v>0.4453149363754289</v>
      </c>
      <c r="W394"/>
      <c r="AK394" s="45" t="s">
        <v>78</v>
      </c>
      <c r="AL394" s="45">
        <v>7</v>
      </c>
      <c r="AM394" s="45">
        <v>31</v>
      </c>
      <c r="AN394" s="45">
        <v>4.4285714289999998</v>
      </c>
      <c r="AO394" s="45">
        <v>2.2857142860000002</v>
      </c>
      <c r="AP394" s="45"/>
      <c r="AQ394" s="45"/>
      <c r="AR394" s="45"/>
    </row>
    <row r="395" spans="1:44" x14ac:dyDescent="0.35">
      <c r="A395">
        <v>5</v>
      </c>
      <c r="B395">
        <v>5</v>
      </c>
      <c r="C395">
        <v>5</v>
      </c>
      <c r="D395">
        <v>1</v>
      </c>
      <c r="E395">
        <v>1</v>
      </c>
      <c r="F395">
        <v>5</v>
      </c>
      <c r="G395">
        <v>5</v>
      </c>
      <c r="H395" s="25">
        <f t="shared" si="91"/>
        <v>5</v>
      </c>
      <c r="I395" s="25">
        <f t="shared" si="92"/>
        <v>1</v>
      </c>
      <c r="J395" s="25">
        <f t="shared" si="93"/>
        <v>5</v>
      </c>
      <c r="K395" s="25">
        <f t="shared" si="94"/>
        <v>5</v>
      </c>
      <c r="L395" s="25">
        <f t="shared" si="95"/>
        <v>5</v>
      </c>
      <c r="M395" s="25">
        <f t="shared" si="96"/>
        <v>5</v>
      </c>
      <c r="N395" s="25">
        <f t="shared" si="97"/>
        <v>5</v>
      </c>
      <c r="O395" s="32">
        <f t="shared" si="98"/>
        <v>0.84420266961423651</v>
      </c>
      <c r="P395" s="32">
        <f t="shared" si="99"/>
        <v>-2.0709827703610508</v>
      </c>
      <c r="Q395" s="32">
        <f t="shared" si="100"/>
        <v>0.80698132232978881</v>
      </c>
      <c r="R395" s="32">
        <f t="shared" si="101"/>
        <v>1.0506390162289212</v>
      </c>
      <c r="S395" s="32">
        <f t="shared" si="102"/>
        <v>0.86866731645372819</v>
      </c>
      <c r="T395" s="32">
        <f t="shared" si="103"/>
        <v>0.81206041627470116</v>
      </c>
      <c r="U395" s="32">
        <f t="shared" si="104"/>
        <v>0.80563658408767735</v>
      </c>
      <c r="V395" s="37">
        <f t="shared" si="105"/>
        <v>0.4453149363754289</v>
      </c>
      <c r="W395"/>
      <c r="AK395" s="45" t="s">
        <v>78</v>
      </c>
      <c r="AL395" s="45">
        <v>7</v>
      </c>
      <c r="AM395" s="45">
        <v>31</v>
      </c>
      <c r="AN395" s="45">
        <v>4.4285714289999998</v>
      </c>
      <c r="AO395" s="45">
        <v>2.2857142860000002</v>
      </c>
      <c r="AP395" s="45"/>
      <c r="AQ395" s="45"/>
      <c r="AR395" s="45"/>
    </row>
    <row r="396" spans="1:44" x14ac:dyDescent="0.35">
      <c r="A396">
        <v>5</v>
      </c>
      <c r="B396">
        <v>5</v>
      </c>
      <c r="C396">
        <v>5</v>
      </c>
      <c r="D396">
        <v>1</v>
      </c>
      <c r="E396">
        <v>1</v>
      </c>
      <c r="F396">
        <v>5</v>
      </c>
      <c r="G396">
        <v>5</v>
      </c>
      <c r="H396" s="25">
        <f t="shared" si="91"/>
        <v>5</v>
      </c>
      <c r="I396" s="25">
        <f t="shared" si="92"/>
        <v>1</v>
      </c>
      <c r="J396" s="25">
        <f t="shared" si="93"/>
        <v>5</v>
      </c>
      <c r="K396" s="25">
        <f t="shared" si="94"/>
        <v>5</v>
      </c>
      <c r="L396" s="25">
        <f t="shared" si="95"/>
        <v>5</v>
      </c>
      <c r="M396" s="25">
        <f t="shared" si="96"/>
        <v>5</v>
      </c>
      <c r="N396" s="25">
        <f t="shared" si="97"/>
        <v>5</v>
      </c>
      <c r="O396" s="32">
        <f t="shared" si="98"/>
        <v>0.84420266961423651</v>
      </c>
      <c r="P396" s="32">
        <f t="shared" si="99"/>
        <v>-2.0709827703610508</v>
      </c>
      <c r="Q396" s="32">
        <f t="shared" si="100"/>
        <v>0.80698132232978881</v>
      </c>
      <c r="R396" s="32">
        <f t="shared" si="101"/>
        <v>1.0506390162289212</v>
      </c>
      <c r="S396" s="32">
        <f t="shared" si="102"/>
        <v>0.86866731645372819</v>
      </c>
      <c r="T396" s="32">
        <f t="shared" si="103"/>
        <v>0.81206041627470116</v>
      </c>
      <c r="U396" s="32">
        <f t="shared" si="104"/>
        <v>0.80563658408767735</v>
      </c>
      <c r="V396" s="37">
        <f t="shared" si="105"/>
        <v>0.4453149363754289</v>
      </c>
      <c r="W396"/>
      <c r="AK396" s="45" t="s">
        <v>78</v>
      </c>
      <c r="AL396" s="45">
        <v>7</v>
      </c>
      <c r="AM396" s="45">
        <v>31</v>
      </c>
      <c r="AN396" s="45">
        <v>4.4285714289999998</v>
      </c>
      <c r="AO396" s="45">
        <v>2.2857142860000002</v>
      </c>
      <c r="AP396" s="45"/>
      <c r="AQ396" s="45"/>
      <c r="AR396" s="45"/>
    </row>
    <row r="397" spans="1:44" x14ac:dyDescent="0.35">
      <c r="A397">
        <v>5</v>
      </c>
      <c r="B397">
        <v>5</v>
      </c>
      <c r="C397">
        <v>5</v>
      </c>
      <c r="D397">
        <v>1</v>
      </c>
      <c r="E397">
        <v>1</v>
      </c>
      <c r="F397">
        <v>5</v>
      </c>
      <c r="G397">
        <v>5</v>
      </c>
      <c r="H397" s="25">
        <f t="shared" si="91"/>
        <v>5</v>
      </c>
      <c r="I397" s="25">
        <f t="shared" si="92"/>
        <v>1</v>
      </c>
      <c r="J397" s="25">
        <f t="shared" si="93"/>
        <v>5</v>
      </c>
      <c r="K397" s="25">
        <f t="shared" si="94"/>
        <v>5</v>
      </c>
      <c r="L397" s="25">
        <f t="shared" si="95"/>
        <v>5</v>
      </c>
      <c r="M397" s="25">
        <f t="shared" si="96"/>
        <v>5</v>
      </c>
      <c r="N397" s="25">
        <f t="shared" si="97"/>
        <v>5</v>
      </c>
      <c r="O397" s="32">
        <f t="shared" si="98"/>
        <v>0.84420266961423651</v>
      </c>
      <c r="P397" s="32">
        <f t="shared" si="99"/>
        <v>-2.0709827703610508</v>
      </c>
      <c r="Q397" s="32">
        <f t="shared" si="100"/>
        <v>0.80698132232978881</v>
      </c>
      <c r="R397" s="32">
        <f t="shared" si="101"/>
        <v>1.0506390162289212</v>
      </c>
      <c r="S397" s="32">
        <f t="shared" si="102"/>
        <v>0.86866731645372819</v>
      </c>
      <c r="T397" s="32">
        <f t="shared" si="103"/>
        <v>0.81206041627470116</v>
      </c>
      <c r="U397" s="32">
        <f t="shared" si="104"/>
        <v>0.80563658408767735</v>
      </c>
      <c r="V397" s="37">
        <f t="shared" si="105"/>
        <v>0.4453149363754289</v>
      </c>
      <c r="W397"/>
      <c r="AK397" s="45" t="s">
        <v>78</v>
      </c>
      <c r="AL397" s="45">
        <v>7</v>
      </c>
      <c r="AM397" s="45">
        <v>31</v>
      </c>
      <c r="AN397" s="45">
        <v>4.4285714289999998</v>
      </c>
      <c r="AO397" s="45">
        <v>2.2857142860000002</v>
      </c>
      <c r="AP397" s="45"/>
      <c r="AQ397" s="45"/>
      <c r="AR397" s="45"/>
    </row>
    <row r="398" spans="1:44" x14ac:dyDescent="0.35">
      <c r="A398">
        <v>5</v>
      </c>
      <c r="B398">
        <v>1</v>
      </c>
      <c r="C398">
        <v>3</v>
      </c>
      <c r="D398">
        <v>2</v>
      </c>
      <c r="E398">
        <v>1</v>
      </c>
      <c r="F398">
        <v>5</v>
      </c>
      <c r="G398">
        <v>5</v>
      </c>
      <c r="H398" s="25">
        <f t="shared" si="91"/>
        <v>5</v>
      </c>
      <c r="I398" s="25">
        <f t="shared" si="92"/>
        <v>5</v>
      </c>
      <c r="J398" s="25">
        <f t="shared" si="93"/>
        <v>3</v>
      </c>
      <c r="K398" s="25">
        <f t="shared" si="94"/>
        <v>4</v>
      </c>
      <c r="L398" s="25">
        <f t="shared" si="95"/>
        <v>5</v>
      </c>
      <c r="M398" s="25">
        <f t="shared" si="96"/>
        <v>5</v>
      </c>
      <c r="N398" s="25">
        <f t="shared" si="97"/>
        <v>5</v>
      </c>
      <c r="O398" s="32">
        <f t="shared" si="98"/>
        <v>0.84420266961423651</v>
      </c>
      <c r="P398" s="32">
        <f t="shared" si="99"/>
        <v>1.0418053570413823</v>
      </c>
      <c r="Q398" s="32">
        <f t="shared" si="100"/>
        <v>-1.0009496220281058</v>
      </c>
      <c r="R398" s="32">
        <f t="shared" si="101"/>
        <v>0.21586162773242673</v>
      </c>
      <c r="S398" s="32">
        <f t="shared" si="102"/>
        <v>0.86866731645372819</v>
      </c>
      <c r="T398" s="32">
        <f t="shared" si="103"/>
        <v>0.81206041627470116</v>
      </c>
      <c r="U398" s="32">
        <f t="shared" si="104"/>
        <v>0.80563658408767735</v>
      </c>
      <c r="V398" s="37">
        <f t="shared" si="105"/>
        <v>0.51246919273943525</v>
      </c>
      <c r="W398"/>
      <c r="AK398" s="45" t="s">
        <v>78</v>
      </c>
      <c r="AL398" s="45">
        <v>7</v>
      </c>
      <c r="AM398" s="45">
        <v>31</v>
      </c>
      <c r="AN398" s="45">
        <v>4.4285714289999998</v>
      </c>
      <c r="AO398" s="45">
        <v>2.2857142860000002</v>
      </c>
      <c r="AP398" s="45"/>
      <c r="AQ398" s="45"/>
      <c r="AR398" s="45"/>
    </row>
    <row r="399" spans="1:44" x14ac:dyDescent="0.35">
      <c r="A399">
        <v>4</v>
      </c>
      <c r="B399">
        <v>1</v>
      </c>
      <c r="C399">
        <v>4</v>
      </c>
      <c r="D399">
        <v>2</v>
      </c>
      <c r="E399">
        <v>1</v>
      </c>
      <c r="F399">
        <v>5</v>
      </c>
      <c r="G399">
        <v>5</v>
      </c>
      <c r="H399" s="25">
        <f t="shared" si="91"/>
        <v>4</v>
      </c>
      <c r="I399" s="25">
        <f t="shared" si="92"/>
        <v>5</v>
      </c>
      <c r="J399" s="25">
        <f t="shared" si="93"/>
        <v>4</v>
      </c>
      <c r="K399" s="25">
        <f t="shared" si="94"/>
        <v>4</v>
      </c>
      <c r="L399" s="25">
        <f t="shared" si="95"/>
        <v>5</v>
      </c>
      <c r="M399" s="25">
        <f t="shared" si="96"/>
        <v>5</v>
      </c>
      <c r="N399" s="25">
        <f t="shared" si="97"/>
        <v>5</v>
      </c>
      <c r="O399" s="32">
        <f t="shared" si="98"/>
        <v>-5.6401471461296142E-2</v>
      </c>
      <c r="P399" s="32">
        <f t="shared" si="99"/>
        <v>1.0418053570413823</v>
      </c>
      <c r="Q399" s="32">
        <f t="shared" si="100"/>
        <v>-9.6984149849158471E-2</v>
      </c>
      <c r="R399" s="32">
        <f t="shared" si="101"/>
        <v>0.21586162773242673</v>
      </c>
      <c r="S399" s="32">
        <f t="shared" si="102"/>
        <v>0.86866731645372819</v>
      </c>
      <c r="T399" s="32">
        <f t="shared" si="103"/>
        <v>0.81206041627470116</v>
      </c>
      <c r="U399" s="32">
        <f t="shared" si="104"/>
        <v>0.80563658408767735</v>
      </c>
      <c r="V399" s="37">
        <f t="shared" si="105"/>
        <v>0.51294938289706593</v>
      </c>
      <c r="W399"/>
      <c r="AK399" s="45" t="s">
        <v>78</v>
      </c>
      <c r="AL399" s="45">
        <v>7</v>
      </c>
      <c r="AM399" s="45">
        <v>31</v>
      </c>
      <c r="AN399" s="45">
        <v>4.4285714289999998</v>
      </c>
      <c r="AO399" s="45">
        <v>2.2857142860000002</v>
      </c>
      <c r="AP399" s="45"/>
      <c r="AQ399" s="45"/>
      <c r="AR399" s="45"/>
    </row>
    <row r="400" spans="1:44" x14ac:dyDescent="0.35">
      <c r="A400">
        <v>5</v>
      </c>
      <c r="B400">
        <v>1</v>
      </c>
      <c r="C400">
        <v>4</v>
      </c>
      <c r="D400">
        <v>2</v>
      </c>
      <c r="E400">
        <v>1</v>
      </c>
      <c r="F400">
        <v>5</v>
      </c>
      <c r="G400">
        <v>5</v>
      </c>
      <c r="H400" s="25">
        <f t="shared" si="91"/>
        <v>5</v>
      </c>
      <c r="I400" s="25">
        <f t="shared" si="92"/>
        <v>5</v>
      </c>
      <c r="J400" s="25">
        <f t="shared" si="93"/>
        <v>4</v>
      </c>
      <c r="K400" s="25">
        <f t="shared" si="94"/>
        <v>4</v>
      </c>
      <c r="L400" s="25">
        <f t="shared" si="95"/>
        <v>5</v>
      </c>
      <c r="M400" s="25">
        <f t="shared" si="96"/>
        <v>5</v>
      </c>
      <c r="N400" s="25">
        <f t="shared" si="97"/>
        <v>5</v>
      </c>
      <c r="O400" s="32">
        <f t="shared" si="98"/>
        <v>0.84420266961423651</v>
      </c>
      <c r="P400" s="32">
        <f t="shared" si="99"/>
        <v>1.0418053570413823</v>
      </c>
      <c r="Q400" s="32">
        <f t="shared" si="100"/>
        <v>-9.6984149849158471E-2</v>
      </c>
      <c r="R400" s="32">
        <f t="shared" si="101"/>
        <v>0.21586162773242673</v>
      </c>
      <c r="S400" s="32">
        <f t="shared" si="102"/>
        <v>0.86866731645372819</v>
      </c>
      <c r="T400" s="32">
        <f t="shared" si="103"/>
        <v>0.81206041627470116</v>
      </c>
      <c r="U400" s="32">
        <f t="shared" si="104"/>
        <v>0.80563658408767735</v>
      </c>
      <c r="V400" s="37">
        <f t="shared" si="105"/>
        <v>0.64160711733642761</v>
      </c>
      <c r="W400"/>
      <c r="AK400" s="45" t="s">
        <v>78</v>
      </c>
      <c r="AL400" s="45">
        <v>7</v>
      </c>
      <c r="AM400" s="45">
        <v>31</v>
      </c>
      <c r="AN400" s="45">
        <v>4.4285714289999998</v>
      </c>
      <c r="AO400" s="45">
        <v>2.2857142860000002</v>
      </c>
      <c r="AP400" s="45"/>
      <c r="AQ400" s="45"/>
      <c r="AR400" s="45"/>
    </row>
    <row r="401" spans="1:44" x14ac:dyDescent="0.35">
      <c r="A401">
        <v>5</v>
      </c>
      <c r="B401">
        <v>1</v>
      </c>
      <c r="C401">
        <v>4</v>
      </c>
      <c r="D401">
        <v>2</v>
      </c>
      <c r="E401">
        <v>1</v>
      </c>
      <c r="F401">
        <v>5</v>
      </c>
      <c r="G401">
        <v>5</v>
      </c>
      <c r="H401" s="25">
        <f t="shared" si="91"/>
        <v>5</v>
      </c>
      <c r="I401" s="25">
        <f t="shared" si="92"/>
        <v>5</v>
      </c>
      <c r="J401" s="25">
        <f t="shared" si="93"/>
        <v>4</v>
      </c>
      <c r="K401" s="25">
        <f t="shared" si="94"/>
        <v>4</v>
      </c>
      <c r="L401" s="25">
        <f t="shared" si="95"/>
        <v>5</v>
      </c>
      <c r="M401" s="25">
        <f t="shared" si="96"/>
        <v>5</v>
      </c>
      <c r="N401" s="25">
        <f t="shared" si="97"/>
        <v>5</v>
      </c>
      <c r="O401" s="32">
        <f t="shared" si="98"/>
        <v>0.84420266961423651</v>
      </c>
      <c r="P401" s="32">
        <f t="shared" si="99"/>
        <v>1.0418053570413823</v>
      </c>
      <c r="Q401" s="32">
        <f t="shared" si="100"/>
        <v>-9.6984149849158471E-2</v>
      </c>
      <c r="R401" s="32">
        <f t="shared" si="101"/>
        <v>0.21586162773242673</v>
      </c>
      <c r="S401" s="32">
        <f t="shared" si="102"/>
        <v>0.86866731645372819</v>
      </c>
      <c r="T401" s="32">
        <f t="shared" si="103"/>
        <v>0.81206041627470116</v>
      </c>
      <c r="U401" s="32">
        <f t="shared" si="104"/>
        <v>0.80563658408767735</v>
      </c>
      <c r="V401" s="37">
        <f t="shared" si="105"/>
        <v>0.64160711733642761</v>
      </c>
      <c r="W401"/>
      <c r="AK401" s="45" t="s">
        <v>78</v>
      </c>
      <c r="AL401" s="45">
        <v>7</v>
      </c>
      <c r="AM401" s="45">
        <v>32</v>
      </c>
      <c r="AN401" s="45">
        <v>4.5714285710000002</v>
      </c>
      <c r="AO401" s="45">
        <v>0.61904761900000005</v>
      </c>
      <c r="AP401" s="45"/>
      <c r="AQ401" s="45"/>
      <c r="AR401" s="45"/>
    </row>
    <row r="402" spans="1:44" x14ac:dyDescent="0.35">
      <c r="A402">
        <v>5</v>
      </c>
      <c r="B402">
        <v>4</v>
      </c>
      <c r="C402">
        <v>4</v>
      </c>
      <c r="D402">
        <v>2</v>
      </c>
      <c r="E402">
        <v>1</v>
      </c>
      <c r="F402">
        <v>5</v>
      </c>
      <c r="G402">
        <v>5</v>
      </c>
      <c r="H402" s="25">
        <f t="shared" si="91"/>
        <v>5</v>
      </c>
      <c r="I402" s="25">
        <f t="shared" si="92"/>
        <v>2</v>
      </c>
      <c r="J402" s="25">
        <f t="shared" si="93"/>
        <v>4</v>
      </c>
      <c r="K402" s="25">
        <f t="shared" si="94"/>
        <v>4</v>
      </c>
      <c r="L402" s="25">
        <f t="shared" si="95"/>
        <v>5</v>
      </c>
      <c r="M402" s="25">
        <f t="shared" si="96"/>
        <v>5</v>
      </c>
      <c r="N402" s="25">
        <f t="shared" si="97"/>
        <v>5</v>
      </c>
      <c r="O402" s="32">
        <f t="shared" si="98"/>
        <v>0.84420266961423651</v>
      </c>
      <c r="P402" s="32">
        <f t="shared" si="99"/>
        <v>-1.2927857385104427</v>
      </c>
      <c r="Q402" s="32">
        <f t="shared" si="100"/>
        <v>-9.6984149849158471E-2</v>
      </c>
      <c r="R402" s="32">
        <f t="shared" si="101"/>
        <v>0.21586162773242673</v>
      </c>
      <c r="S402" s="32">
        <f t="shared" si="102"/>
        <v>0.86866731645372819</v>
      </c>
      <c r="T402" s="32">
        <f t="shared" si="103"/>
        <v>0.81206041627470116</v>
      </c>
      <c r="U402" s="32">
        <f t="shared" si="104"/>
        <v>0.80563658408767735</v>
      </c>
      <c r="V402" s="37">
        <f t="shared" si="105"/>
        <v>0.30809410368616696</v>
      </c>
      <c r="W402"/>
      <c r="AK402" s="45" t="s">
        <v>78</v>
      </c>
      <c r="AL402" s="45">
        <v>7</v>
      </c>
      <c r="AM402" s="45">
        <v>32</v>
      </c>
      <c r="AN402" s="45">
        <v>4.5714285710000002</v>
      </c>
      <c r="AO402" s="45">
        <v>0.28571428599999998</v>
      </c>
      <c r="AP402" s="45"/>
      <c r="AQ402" s="45"/>
      <c r="AR402" s="45"/>
    </row>
    <row r="403" spans="1:44" x14ac:dyDescent="0.35">
      <c r="A403">
        <v>5</v>
      </c>
      <c r="B403">
        <v>1</v>
      </c>
      <c r="C403">
        <v>5</v>
      </c>
      <c r="D403">
        <v>2</v>
      </c>
      <c r="E403">
        <v>1</v>
      </c>
      <c r="F403">
        <v>5</v>
      </c>
      <c r="G403">
        <v>5</v>
      </c>
      <c r="H403" s="25">
        <f t="shared" si="91"/>
        <v>5</v>
      </c>
      <c r="I403" s="25">
        <f t="shared" si="92"/>
        <v>5</v>
      </c>
      <c r="J403" s="25">
        <f t="shared" si="93"/>
        <v>5</v>
      </c>
      <c r="K403" s="25">
        <f t="shared" si="94"/>
        <v>4</v>
      </c>
      <c r="L403" s="25">
        <f t="shared" si="95"/>
        <v>5</v>
      </c>
      <c r="M403" s="25">
        <f t="shared" si="96"/>
        <v>5</v>
      </c>
      <c r="N403" s="25">
        <f t="shared" si="97"/>
        <v>5</v>
      </c>
      <c r="O403" s="32">
        <f t="shared" si="98"/>
        <v>0.84420266961423651</v>
      </c>
      <c r="P403" s="32">
        <f t="shared" si="99"/>
        <v>1.0418053570413823</v>
      </c>
      <c r="Q403" s="32">
        <f t="shared" si="100"/>
        <v>0.80698132232978881</v>
      </c>
      <c r="R403" s="32">
        <f t="shared" si="101"/>
        <v>0.21586162773242673</v>
      </c>
      <c r="S403" s="32">
        <f t="shared" si="102"/>
        <v>0.86866731645372819</v>
      </c>
      <c r="T403" s="32">
        <f t="shared" si="103"/>
        <v>0.81206041627470116</v>
      </c>
      <c r="U403" s="32">
        <f t="shared" si="104"/>
        <v>0.80563658408767735</v>
      </c>
      <c r="V403" s="37">
        <f t="shared" si="105"/>
        <v>0.77074504193342008</v>
      </c>
      <c r="W403"/>
      <c r="AK403" s="45" t="s">
        <v>78</v>
      </c>
      <c r="AL403" s="45">
        <v>7</v>
      </c>
      <c r="AM403" s="45">
        <v>33</v>
      </c>
      <c r="AN403" s="45">
        <v>4.7142857139999998</v>
      </c>
      <c r="AO403" s="45">
        <v>0.23809523799999999</v>
      </c>
      <c r="AP403" s="45"/>
      <c r="AQ403" s="45"/>
      <c r="AR403" s="45"/>
    </row>
    <row r="404" spans="1:44" x14ac:dyDescent="0.35">
      <c r="A404">
        <v>5</v>
      </c>
      <c r="B404">
        <v>1</v>
      </c>
      <c r="C404">
        <v>5</v>
      </c>
      <c r="D404">
        <v>2</v>
      </c>
      <c r="E404">
        <v>1</v>
      </c>
      <c r="F404">
        <v>5</v>
      </c>
      <c r="G404">
        <v>5</v>
      </c>
      <c r="H404" s="25">
        <f t="shared" si="91"/>
        <v>5</v>
      </c>
      <c r="I404" s="25">
        <f t="shared" si="92"/>
        <v>5</v>
      </c>
      <c r="J404" s="25">
        <f t="shared" si="93"/>
        <v>5</v>
      </c>
      <c r="K404" s="25">
        <f t="shared" si="94"/>
        <v>4</v>
      </c>
      <c r="L404" s="25">
        <f t="shared" si="95"/>
        <v>5</v>
      </c>
      <c r="M404" s="25">
        <f t="shared" si="96"/>
        <v>5</v>
      </c>
      <c r="N404" s="25">
        <f t="shared" si="97"/>
        <v>5</v>
      </c>
      <c r="O404" s="32">
        <f t="shared" si="98"/>
        <v>0.84420266961423651</v>
      </c>
      <c r="P404" s="32">
        <f t="shared" si="99"/>
        <v>1.0418053570413823</v>
      </c>
      <c r="Q404" s="32">
        <f t="shared" si="100"/>
        <v>0.80698132232978881</v>
      </c>
      <c r="R404" s="32">
        <f t="shared" si="101"/>
        <v>0.21586162773242673</v>
      </c>
      <c r="S404" s="32">
        <f t="shared" si="102"/>
        <v>0.86866731645372819</v>
      </c>
      <c r="T404" s="32">
        <f t="shared" si="103"/>
        <v>0.81206041627470116</v>
      </c>
      <c r="U404" s="32">
        <f t="shared" si="104"/>
        <v>0.80563658408767735</v>
      </c>
      <c r="V404" s="37">
        <f t="shared" si="105"/>
        <v>0.77074504193342008</v>
      </c>
      <c r="W404"/>
      <c r="AK404" s="45" t="s">
        <v>78</v>
      </c>
      <c r="AL404" s="45">
        <v>7</v>
      </c>
      <c r="AM404" s="45">
        <v>33</v>
      </c>
      <c r="AN404" s="45">
        <v>4.7142857139999998</v>
      </c>
      <c r="AO404" s="45">
        <v>0.23809523799999999</v>
      </c>
      <c r="AP404" s="45"/>
      <c r="AQ404" s="45"/>
      <c r="AR404" s="45"/>
    </row>
    <row r="405" spans="1:44" x14ac:dyDescent="0.35">
      <c r="A405">
        <v>5</v>
      </c>
      <c r="B405">
        <v>4</v>
      </c>
      <c r="C405">
        <v>5</v>
      </c>
      <c r="D405">
        <v>2</v>
      </c>
      <c r="E405">
        <v>1</v>
      </c>
      <c r="F405">
        <v>5</v>
      </c>
      <c r="G405">
        <v>5</v>
      </c>
      <c r="H405" s="25">
        <f t="shared" si="91"/>
        <v>5</v>
      </c>
      <c r="I405" s="25">
        <f t="shared" si="92"/>
        <v>2</v>
      </c>
      <c r="J405" s="25">
        <f t="shared" si="93"/>
        <v>5</v>
      </c>
      <c r="K405" s="25">
        <f t="shared" si="94"/>
        <v>4</v>
      </c>
      <c r="L405" s="25">
        <f t="shared" si="95"/>
        <v>5</v>
      </c>
      <c r="M405" s="25">
        <f t="shared" si="96"/>
        <v>5</v>
      </c>
      <c r="N405" s="25">
        <f t="shared" si="97"/>
        <v>5</v>
      </c>
      <c r="O405" s="32">
        <f t="shared" si="98"/>
        <v>0.84420266961423651</v>
      </c>
      <c r="P405" s="32">
        <f t="shared" si="99"/>
        <v>-1.2927857385104427</v>
      </c>
      <c r="Q405" s="32">
        <f t="shared" si="100"/>
        <v>0.80698132232978881</v>
      </c>
      <c r="R405" s="32">
        <f t="shared" si="101"/>
        <v>0.21586162773242673</v>
      </c>
      <c r="S405" s="32">
        <f t="shared" si="102"/>
        <v>0.86866731645372819</v>
      </c>
      <c r="T405" s="32">
        <f t="shared" si="103"/>
        <v>0.81206041627470116</v>
      </c>
      <c r="U405" s="32">
        <f t="shared" si="104"/>
        <v>0.80563658408767735</v>
      </c>
      <c r="V405" s="37">
        <f t="shared" si="105"/>
        <v>0.43723202828315938</v>
      </c>
      <c r="W405"/>
      <c r="AK405" s="45" t="s">
        <v>78</v>
      </c>
      <c r="AL405" s="45">
        <v>7</v>
      </c>
      <c r="AM405" s="45">
        <v>30</v>
      </c>
      <c r="AN405" s="45">
        <v>4.2857142860000002</v>
      </c>
      <c r="AO405" s="45">
        <v>1.2380952380000001</v>
      </c>
      <c r="AP405" s="45"/>
      <c r="AQ405" s="45"/>
      <c r="AR405" s="45"/>
    </row>
    <row r="406" spans="1:44" x14ac:dyDescent="0.35">
      <c r="A406">
        <v>5</v>
      </c>
      <c r="B406">
        <v>4</v>
      </c>
      <c r="C406">
        <v>5</v>
      </c>
      <c r="D406">
        <v>2</v>
      </c>
      <c r="E406">
        <v>1</v>
      </c>
      <c r="F406">
        <v>5</v>
      </c>
      <c r="G406">
        <v>5</v>
      </c>
      <c r="H406" s="25">
        <f t="shared" si="91"/>
        <v>5</v>
      </c>
      <c r="I406" s="25">
        <f t="shared" si="92"/>
        <v>2</v>
      </c>
      <c r="J406" s="25">
        <f t="shared" si="93"/>
        <v>5</v>
      </c>
      <c r="K406" s="25">
        <f t="shared" si="94"/>
        <v>4</v>
      </c>
      <c r="L406" s="25">
        <f t="shared" si="95"/>
        <v>5</v>
      </c>
      <c r="M406" s="25">
        <f t="shared" si="96"/>
        <v>5</v>
      </c>
      <c r="N406" s="25">
        <f t="shared" si="97"/>
        <v>5</v>
      </c>
      <c r="O406" s="32">
        <f t="shared" si="98"/>
        <v>0.84420266961423651</v>
      </c>
      <c r="P406" s="32">
        <f t="shared" si="99"/>
        <v>-1.2927857385104427</v>
      </c>
      <c r="Q406" s="32">
        <f t="shared" si="100"/>
        <v>0.80698132232978881</v>
      </c>
      <c r="R406" s="32">
        <f t="shared" si="101"/>
        <v>0.21586162773242673</v>
      </c>
      <c r="S406" s="32">
        <f t="shared" si="102"/>
        <v>0.86866731645372819</v>
      </c>
      <c r="T406" s="32">
        <f t="shared" si="103"/>
        <v>0.81206041627470116</v>
      </c>
      <c r="U406" s="32">
        <f t="shared" si="104"/>
        <v>0.80563658408767735</v>
      </c>
      <c r="V406" s="37">
        <f t="shared" si="105"/>
        <v>0.43723202828315938</v>
      </c>
      <c r="W406"/>
      <c r="AK406" s="45" t="s">
        <v>78</v>
      </c>
      <c r="AL406" s="45">
        <v>7</v>
      </c>
      <c r="AM406" s="45">
        <v>34</v>
      </c>
      <c r="AN406" s="45">
        <v>4.8571428570000004</v>
      </c>
      <c r="AO406" s="45">
        <v>0.14285714299999999</v>
      </c>
      <c r="AP406" s="45"/>
      <c r="AQ406" s="45"/>
      <c r="AR406" s="45"/>
    </row>
    <row r="407" spans="1:44" x14ac:dyDescent="0.35">
      <c r="A407">
        <v>5</v>
      </c>
      <c r="B407">
        <v>5</v>
      </c>
      <c r="C407">
        <v>5</v>
      </c>
      <c r="D407">
        <v>2</v>
      </c>
      <c r="E407">
        <v>1</v>
      </c>
      <c r="F407">
        <v>5</v>
      </c>
      <c r="G407">
        <v>5</v>
      </c>
      <c r="H407" s="25">
        <f t="shared" si="91"/>
        <v>5</v>
      </c>
      <c r="I407" s="25">
        <f t="shared" si="92"/>
        <v>1</v>
      </c>
      <c r="J407" s="25">
        <f t="shared" si="93"/>
        <v>5</v>
      </c>
      <c r="K407" s="25">
        <f t="shared" si="94"/>
        <v>4</v>
      </c>
      <c r="L407" s="25">
        <f t="shared" si="95"/>
        <v>5</v>
      </c>
      <c r="M407" s="25">
        <f t="shared" si="96"/>
        <v>5</v>
      </c>
      <c r="N407" s="25">
        <f t="shared" si="97"/>
        <v>5</v>
      </c>
      <c r="O407" s="32">
        <f t="shared" si="98"/>
        <v>0.84420266961423651</v>
      </c>
      <c r="P407" s="32">
        <f t="shared" si="99"/>
        <v>-2.0709827703610508</v>
      </c>
      <c r="Q407" s="32">
        <f t="shared" si="100"/>
        <v>0.80698132232978881</v>
      </c>
      <c r="R407" s="32">
        <f t="shared" si="101"/>
        <v>0.21586162773242673</v>
      </c>
      <c r="S407" s="32">
        <f t="shared" si="102"/>
        <v>0.86866731645372819</v>
      </c>
      <c r="T407" s="32">
        <f t="shared" si="103"/>
        <v>0.81206041627470116</v>
      </c>
      <c r="U407" s="32">
        <f t="shared" si="104"/>
        <v>0.80563658408767735</v>
      </c>
      <c r="V407" s="37">
        <f t="shared" si="105"/>
        <v>0.32606102373307255</v>
      </c>
      <c r="W407"/>
      <c r="AK407" s="45" t="s">
        <v>78</v>
      </c>
      <c r="AL407" s="45">
        <v>7</v>
      </c>
      <c r="AM407" s="45">
        <v>34</v>
      </c>
      <c r="AN407" s="45">
        <v>4.8571428570000004</v>
      </c>
      <c r="AO407" s="45">
        <v>0.14285714299999999</v>
      </c>
      <c r="AP407" s="45"/>
      <c r="AQ407" s="45"/>
      <c r="AR407" s="45"/>
    </row>
    <row r="408" spans="1:44" x14ac:dyDescent="0.35">
      <c r="A408">
        <v>5</v>
      </c>
      <c r="B408">
        <v>5</v>
      </c>
      <c r="C408">
        <v>5</v>
      </c>
      <c r="D408">
        <v>2</v>
      </c>
      <c r="E408">
        <v>1</v>
      </c>
      <c r="F408">
        <v>5</v>
      </c>
      <c r="G408">
        <v>5</v>
      </c>
      <c r="H408" s="25">
        <f t="shared" si="91"/>
        <v>5</v>
      </c>
      <c r="I408" s="25">
        <f t="shared" si="92"/>
        <v>1</v>
      </c>
      <c r="J408" s="25">
        <f t="shared" si="93"/>
        <v>5</v>
      </c>
      <c r="K408" s="25">
        <f t="shared" si="94"/>
        <v>4</v>
      </c>
      <c r="L408" s="25">
        <f t="shared" si="95"/>
        <v>5</v>
      </c>
      <c r="M408" s="25">
        <f t="shared" si="96"/>
        <v>5</v>
      </c>
      <c r="N408" s="25">
        <f t="shared" si="97"/>
        <v>5</v>
      </c>
      <c r="O408" s="32">
        <f t="shared" si="98"/>
        <v>0.84420266961423651</v>
      </c>
      <c r="P408" s="32">
        <f t="shared" si="99"/>
        <v>-2.0709827703610508</v>
      </c>
      <c r="Q408" s="32">
        <f t="shared" si="100"/>
        <v>0.80698132232978881</v>
      </c>
      <c r="R408" s="32">
        <f t="shared" si="101"/>
        <v>0.21586162773242673</v>
      </c>
      <c r="S408" s="32">
        <f t="shared" si="102"/>
        <v>0.86866731645372819</v>
      </c>
      <c r="T408" s="32">
        <f t="shared" si="103"/>
        <v>0.81206041627470116</v>
      </c>
      <c r="U408" s="32">
        <f t="shared" si="104"/>
        <v>0.80563658408767735</v>
      </c>
      <c r="V408" s="37">
        <f t="shared" si="105"/>
        <v>0.32606102373307255</v>
      </c>
      <c r="W408"/>
      <c r="AK408" s="45" t="s">
        <v>78</v>
      </c>
      <c r="AL408" s="45">
        <v>7</v>
      </c>
      <c r="AM408" s="45">
        <v>31</v>
      </c>
      <c r="AN408" s="45">
        <v>4.4285714289999998</v>
      </c>
      <c r="AO408" s="45">
        <v>1.2857142859999999</v>
      </c>
      <c r="AP408" s="45"/>
      <c r="AQ408" s="45"/>
      <c r="AR408" s="45"/>
    </row>
    <row r="409" spans="1:44" x14ac:dyDescent="0.35">
      <c r="A409">
        <v>5</v>
      </c>
      <c r="B409">
        <v>1</v>
      </c>
      <c r="C409">
        <v>3</v>
      </c>
      <c r="D409">
        <v>3</v>
      </c>
      <c r="E409">
        <v>1</v>
      </c>
      <c r="F409">
        <v>5</v>
      </c>
      <c r="G409">
        <v>5</v>
      </c>
      <c r="H409" s="25">
        <f t="shared" si="91"/>
        <v>5</v>
      </c>
      <c r="I409" s="25">
        <f t="shared" si="92"/>
        <v>5</v>
      </c>
      <c r="J409" s="25">
        <f t="shared" si="93"/>
        <v>3</v>
      </c>
      <c r="K409" s="25">
        <f t="shared" si="94"/>
        <v>3</v>
      </c>
      <c r="L409" s="25">
        <f t="shared" si="95"/>
        <v>5</v>
      </c>
      <c r="M409" s="25">
        <f t="shared" si="96"/>
        <v>5</v>
      </c>
      <c r="N409" s="25">
        <f t="shared" si="97"/>
        <v>5</v>
      </c>
      <c r="O409" s="32">
        <f t="shared" si="98"/>
        <v>0.84420266961423651</v>
      </c>
      <c r="P409" s="32">
        <f t="shared" si="99"/>
        <v>1.0418053570413823</v>
      </c>
      <c r="Q409" s="32">
        <f t="shared" si="100"/>
        <v>-1.0009496220281058</v>
      </c>
      <c r="R409" s="32">
        <f t="shared" si="101"/>
        <v>-0.61891576076406762</v>
      </c>
      <c r="S409" s="32">
        <f t="shared" si="102"/>
        <v>0.86866731645372819</v>
      </c>
      <c r="T409" s="32">
        <f t="shared" si="103"/>
        <v>0.81206041627470116</v>
      </c>
      <c r="U409" s="32">
        <f t="shared" si="104"/>
        <v>0.80563658408767735</v>
      </c>
      <c r="V409" s="37">
        <f t="shared" si="105"/>
        <v>0.3932152800970789</v>
      </c>
      <c r="W409"/>
      <c r="AK409" s="45" t="s">
        <v>78</v>
      </c>
      <c r="AL409" s="45">
        <v>7</v>
      </c>
      <c r="AM409" s="45">
        <v>31</v>
      </c>
      <c r="AN409" s="45">
        <v>4.4285714289999998</v>
      </c>
      <c r="AO409" s="45">
        <v>1.2857142859999999</v>
      </c>
      <c r="AP409" s="45"/>
      <c r="AQ409" s="45"/>
      <c r="AR409" s="45"/>
    </row>
    <row r="410" spans="1:44" x14ac:dyDescent="0.35">
      <c r="A410">
        <v>5</v>
      </c>
      <c r="B410">
        <v>1</v>
      </c>
      <c r="C410">
        <v>4</v>
      </c>
      <c r="D410">
        <v>3</v>
      </c>
      <c r="E410">
        <v>1</v>
      </c>
      <c r="F410">
        <v>5</v>
      </c>
      <c r="G410">
        <v>5</v>
      </c>
      <c r="H410" s="25">
        <f t="shared" si="91"/>
        <v>5</v>
      </c>
      <c r="I410" s="25">
        <f t="shared" si="92"/>
        <v>5</v>
      </c>
      <c r="J410" s="25">
        <f t="shared" si="93"/>
        <v>4</v>
      </c>
      <c r="K410" s="25">
        <f t="shared" si="94"/>
        <v>3</v>
      </c>
      <c r="L410" s="25">
        <f t="shared" si="95"/>
        <v>5</v>
      </c>
      <c r="M410" s="25">
        <f t="shared" si="96"/>
        <v>5</v>
      </c>
      <c r="N410" s="25">
        <f t="shared" si="97"/>
        <v>5</v>
      </c>
      <c r="O410" s="32">
        <f t="shared" si="98"/>
        <v>0.84420266961423651</v>
      </c>
      <c r="P410" s="32">
        <f t="shared" si="99"/>
        <v>1.0418053570413823</v>
      </c>
      <c r="Q410" s="32">
        <f t="shared" si="100"/>
        <v>-9.6984149849158471E-2</v>
      </c>
      <c r="R410" s="32">
        <f t="shared" si="101"/>
        <v>-0.61891576076406762</v>
      </c>
      <c r="S410" s="32">
        <f t="shared" si="102"/>
        <v>0.86866731645372819</v>
      </c>
      <c r="T410" s="32">
        <f t="shared" si="103"/>
        <v>0.81206041627470116</v>
      </c>
      <c r="U410" s="32">
        <f t="shared" si="104"/>
        <v>0.80563658408767735</v>
      </c>
      <c r="V410" s="37">
        <f t="shared" si="105"/>
        <v>0.52235320469407132</v>
      </c>
      <c r="W410"/>
      <c r="AK410" s="45" t="s">
        <v>78</v>
      </c>
      <c r="AL410" s="45">
        <v>7</v>
      </c>
      <c r="AM410" s="45">
        <v>30</v>
      </c>
      <c r="AN410" s="45">
        <v>4.2857142860000002</v>
      </c>
      <c r="AO410" s="45">
        <v>2.2380952380000001</v>
      </c>
      <c r="AP410" s="45"/>
      <c r="AQ410" s="45"/>
      <c r="AR410" s="45"/>
    </row>
    <row r="411" spans="1:44" x14ac:dyDescent="0.35">
      <c r="A411">
        <v>5</v>
      </c>
      <c r="B411">
        <v>1</v>
      </c>
      <c r="C411">
        <v>5</v>
      </c>
      <c r="D411">
        <v>3</v>
      </c>
      <c r="E411">
        <v>1</v>
      </c>
      <c r="F411">
        <v>5</v>
      </c>
      <c r="G411">
        <v>5</v>
      </c>
      <c r="H411" s="25">
        <f t="shared" si="91"/>
        <v>5</v>
      </c>
      <c r="I411" s="25">
        <f t="shared" si="92"/>
        <v>5</v>
      </c>
      <c r="J411" s="25">
        <f t="shared" si="93"/>
        <v>5</v>
      </c>
      <c r="K411" s="25">
        <f t="shared" si="94"/>
        <v>3</v>
      </c>
      <c r="L411" s="25">
        <f t="shared" si="95"/>
        <v>5</v>
      </c>
      <c r="M411" s="25">
        <f t="shared" si="96"/>
        <v>5</v>
      </c>
      <c r="N411" s="25">
        <f t="shared" si="97"/>
        <v>5</v>
      </c>
      <c r="O411" s="32">
        <f t="shared" si="98"/>
        <v>0.84420266961423651</v>
      </c>
      <c r="P411" s="32">
        <f t="shared" si="99"/>
        <v>1.0418053570413823</v>
      </c>
      <c r="Q411" s="32">
        <f t="shared" si="100"/>
        <v>0.80698132232978881</v>
      </c>
      <c r="R411" s="32">
        <f t="shared" si="101"/>
        <v>-0.61891576076406762</v>
      </c>
      <c r="S411" s="32">
        <f t="shared" si="102"/>
        <v>0.86866731645372819</v>
      </c>
      <c r="T411" s="32">
        <f t="shared" si="103"/>
        <v>0.81206041627470116</v>
      </c>
      <c r="U411" s="32">
        <f t="shared" si="104"/>
        <v>0.80563658408767735</v>
      </c>
      <c r="V411" s="37">
        <f t="shared" si="105"/>
        <v>0.65149112929106379</v>
      </c>
      <c r="W411"/>
      <c r="AK411" s="45" t="s">
        <v>78</v>
      </c>
      <c r="AL411" s="45">
        <v>7</v>
      </c>
      <c r="AM411" s="45">
        <v>30</v>
      </c>
      <c r="AN411" s="45">
        <v>4.2857142860000002</v>
      </c>
      <c r="AO411" s="45">
        <v>2.2380952380000001</v>
      </c>
      <c r="AP411" s="45"/>
      <c r="AQ411" s="45"/>
      <c r="AR411" s="45"/>
    </row>
    <row r="412" spans="1:44" x14ac:dyDescent="0.35">
      <c r="A412">
        <v>5</v>
      </c>
      <c r="B412">
        <v>1</v>
      </c>
      <c r="C412">
        <v>5</v>
      </c>
      <c r="D412">
        <v>3</v>
      </c>
      <c r="E412">
        <v>1</v>
      </c>
      <c r="F412">
        <v>5</v>
      </c>
      <c r="G412">
        <v>5</v>
      </c>
      <c r="H412" s="25">
        <f t="shared" si="91"/>
        <v>5</v>
      </c>
      <c r="I412" s="25">
        <f t="shared" si="92"/>
        <v>5</v>
      </c>
      <c r="J412" s="25">
        <f t="shared" si="93"/>
        <v>5</v>
      </c>
      <c r="K412" s="25">
        <f t="shared" si="94"/>
        <v>3</v>
      </c>
      <c r="L412" s="25">
        <f t="shared" si="95"/>
        <v>5</v>
      </c>
      <c r="M412" s="25">
        <f t="shared" si="96"/>
        <v>5</v>
      </c>
      <c r="N412" s="25">
        <f t="shared" si="97"/>
        <v>5</v>
      </c>
      <c r="O412" s="32">
        <f t="shared" si="98"/>
        <v>0.84420266961423651</v>
      </c>
      <c r="P412" s="32">
        <f t="shared" si="99"/>
        <v>1.0418053570413823</v>
      </c>
      <c r="Q412" s="32">
        <f t="shared" si="100"/>
        <v>0.80698132232978881</v>
      </c>
      <c r="R412" s="32">
        <f t="shared" si="101"/>
        <v>-0.61891576076406762</v>
      </c>
      <c r="S412" s="32">
        <f t="shared" si="102"/>
        <v>0.86866731645372819</v>
      </c>
      <c r="T412" s="32">
        <f t="shared" si="103"/>
        <v>0.81206041627470116</v>
      </c>
      <c r="U412" s="32">
        <f t="shared" si="104"/>
        <v>0.80563658408767735</v>
      </c>
      <c r="V412" s="37">
        <f t="shared" si="105"/>
        <v>0.65149112929106379</v>
      </c>
      <c r="W412"/>
      <c r="AK412" s="45" t="s">
        <v>78</v>
      </c>
      <c r="AL412" s="45">
        <v>7</v>
      </c>
      <c r="AM412" s="45">
        <v>31</v>
      </c>
      <c r="AN412" s="45">
        <v>4.4285714289999998</v>
      </c>
      <c r="AO412" s="45">
        <v>0.95238095199999995</v>
      </c>
      <c r="AP412" s="45"/>
      <c r="AQ412" s="45"/>
      <c r="AR412" s="45"/>
    </row>
    <row r="413" spans="1:44" x14ac:dyDescent="0.35">
      <c r="A413">
        <v>5</v>
      </c>
      <c r="B413">
        <v>1</v>
      </c>
      <c r="C413">
        <v>5</v>
      </c>
      <c r="D413">
        <v>3</v>
      </c>
      <c r="E413">
        <v>1</v>
      </c>
      <c r="F413">
        <v>5</v>
      </c>
      <c r="G413">
        <v>5</v>
      </c>
      <c r="H413" s="25">
        <f t="shared" si="91"/>
        <v>5</v>
      </c>
      <c r="I413" s="25">
        <f t="shared" si="92"/>
        <v>5</v>
      </c>
      <c r="J413" s="25">
        <f t="shared" si="93"/>
        <v>5</v>
      </c>
      <c r="K413" s="25">
        <f t="shared" si="94"/>
        <v>3</v>
      </c>
      <c r="L413" s="25">
        <f t="shared" si="95"/>
        <v>5</v>
      </c>
      <c r="M413" s="25">
        <f t="shared" si="96"/>
        <v>5</v>
      </c>
      <c r="N413" s="25">
        <f t="shared" si="97"/>
        <v>5</v>
      </c>
      <c r="O413" s="32">
        <f t="shared" si="98"/>
        <v>0.84420266961423651</v>
      </c>
      <c r="P413" s="32">
        <f t="shared" si="99"/>
        <v>1.0418053570413823</v>
      </c>
      <c r="Q413" s="32">
        <f t="shared" si="100"/>
        <v>0.80698132232978881</v>
      </c>
      <c r="R413" s="32">
        <f t="shared" si="101"/>
        <v>-0.61891576076406762</v>
      </c>
      <c r="S413" s="32">
        <f t="shared" si="102"/>
        <v>0.86866731645372819</v>
      </c>
      <c r="T413" s="32">
        <f t="shared" si="103"/>
        <v>0.81206041627470116</v>
      </c>
      <c r="U413" s="32">
        <f t="shared" si="104"/>
        <v>0.80563658408767735</v>
      </c>
      <c r="V413" s="37">
        <f t="shared" si="105"/>
        <v>0.65149112929106379</v>
      </c>
      <c r="W413"/>
      <c r="AK413" s="45" t="s">
        <v>78</v>
      </c>
      <c r="AL413" s="45">
        <v>7</v>
      </c>
      <c r="AM413" s="45">
        <v>32</v>
      </c>
      <c r="AN413" s="45">
        <v>4.5714285710000002</v>
      </c>
      <c r="AO413" s="45">
        <v>0.61904761900000005</v>
      </c>
      <c r="AP413" s="45"/>
      <c r="AQ413" s="45"/>
      <c r="AR413" s="45"/>
    </row>
    <row r="414" spans="1:44" x14ac:dyDescent="0.35">
      <c r="A414">
        <v>5</v>
      </c>
      <c r="B414">
        <v>1</v>
      </c>
      <c r="C414">
        <v>5</v>
      </c>
      <c r="D414">
        <v>3</v>
      </c>
      <c r="E414">
        <v>1</v>
      </c>
      <c r="F414">
        <v>5</v>
      </c>
      <c r="G414">
        <v>5</v>
      </c>
      <c r="H414" s="25">
        <f t="shared" si="91"/>
        <v>5</v>
      </c>
      <c r="I414" s="25">
        <f t="shared" si="92"/>
        <v>5</v>
      </c>
      <c r="J414" s="25">
        <f t="shared" si="93"/>
        <v>5</v>
      </c>
      <c r="K414" s="25">
        <f t="shared" si="94"/>
        <v>3</v>
      </c>
      <c r="L414" s="25">
        <f t="shared" si="95"/>
        <v>5</v>
      </c>
      <c r="M414" s="25">
        <f t="shared" si="96"/>
        <v>5</v>
      </c>
      <c r="N414" s="25">
        <f t="shared" si="97"/>
        <v>5</v>
      </c>
      <c r="O414" s="32">
        <f t="shared" si="98"/>
        <v>0.84420266961423651</v>
      </c>
      <c r="P414" s="32">
        <f t="shared" si="99"/>
        <v>1.0418053570413823</v>
      </c>
      <c r="Q414" s="32">
        <f t="shared" si="100"/>
        <v>0.80698132232978881</v>
      </c>
      <c r="R414" s="32">
        <f t="shared" si="101"/>
        <v>-0.61891576076406762</v>
      </c>
      <c r="S414" s="32">
        <f t="shared" si="102"/>
        <v>0.86866731645372819</v>
      </c>
      <c r="T414" s="32">
        <f t="shared" si="103"/>
        <v>0.81206041627470116</v>
      </c>
      <c r="U414" s="32">
        <f t="shared" si="104"/>
        <v>0.80563658408767735</v>
      </c>
      <c r="V414" s="37">
        <f t="shared" si="105"/>
        <v>0.65149112929106379</v>
      </c>
      <c r="W414"/>
      <c r="AK414" s="45" t="s">
        <v>78</v>
      </c>
      <c r="AL414" s="45">
        <v>7</v>
      </c>
      <c r="AM414" s="45">
        <v>33</v>
      </c>
      <c r="AN414" s="45">
        <v>4.7142857139999998</v>
      </c>
      <c r="AO414" s="45">
        <v>0.571428571</v>
      </c>
      <c r="AP414" s="45"/>
      <c r="AQ414" s="45"/>
      <c r="AR414" s="45"/>
    </row>
    <row r="415" spans="1:44" x14ac:dyDescent="0.35">
      <c r="A415">
        <v>5</v>
      </c>
      <c r="B415">
        <v>2</v>
      </c>
      <c r="C415">
        <v>5</v>
      </c>
      <c r="D415">
        <v>3</v>
      </c>
      <c r="E415">
        <v>1</v>
      </c>
      <c r="F415">
        <v>5</v>
      </c>
      <c r="G415">
        <v>5</v>
      </c>
      <c r="H415" s="25">
        <f t="shared" si="91"/>
        <v>5</v>
      </c>
      <c r="I415" s="25">
        <f t="shared" si="92"/>
        <v>4</v>
      </c>
      <c r="J415" s="25">
        <f t="shared" si="93"/>
        <v>5</v>
      </c>
      <c r="K415" s="25">
        <f t="shared" si="94"/>
        <v>3</v>
      </c>
      <c r="L415" s="25">
        <f t="shared" si="95"/>
        <v>5</v>
      </c>
      <c r="M415" s="25">
        <f t="shared" si="96"/>
        <v>5</v>
      </c>
      <c r="N415" s="25">
        <f t="shared" si="97"/>
        <v>5</v>
      </c>
      <c r="O415" s="32">
        <f t="shared" si="98"/>
        <v>0.84420266961423651</v>
      </c>
      <c r="P415" s="32">
        <f t="shared" si="99"/>
        <v>0.26360832519077404</v>
      </c>
      <c r="Q415" s="32">
        <f t="shared" si="100"/>
        <v>0.80698132232978881</v>
      </c>
      <c r="R415" s="32">
        <f t="shared" si="101"/>
        <v>-0.61891576076406762</v>
      </c>
      <c r="S415" s="32">
        <f t="shared" si="102"/>
        <v>0.86866731645372819</v>
      </c>
      <c r="T415" s="32">
        <f t="shared" si="103"/>
        <v>0.81206041627470116</v>
      </c>
      <c r="U415" s="32">
        <f t="shared" si="104"/>
        <v>0.80563658408767735</v>
      </c>
      <c r="V415" s="37">
        <f t="shared" si="105"/>
        <v>0.5403201247409769</v>
      </c>
      <c r="W415"/>
      <c r="AK415" s="45" t="s">
        <v>78</v>
      </c>
      <c r="AL415" s="45">
        <v>7</v>
      </c>
      <c r="AM415" s="45">
        <v>33</v>
      </c>
      <c r="AN415" s="45">
        <v>4.7142857139999998</v>
      </c>
      <c r="AO415" s="45">
        <v>0.571428571</v>
      </c>
      <c r="AP415" s="45"/>
      <c r="AQ415" s="45"/>
      <c r="AR415" s="45"/>
    </row>
    <row r="416" spans="1:44" x14ac:dyDescent="0.35">
      <c r="A416">
        <v>3</v>
      </c>
      <c r="B416">
        <v>4</v>
      </c>
      <c r="C416">
        <v>5</v>
      </c>
      <c r="D416">
        <v>3</v>
      </c>
      <c r="E416">
        <v>1</v>
      </c>
      <c r="F416">
        <v>5</v>
      </c>
      <c r="G416">
        <v>5</v>
      </c>
      <c r="H416" s="25">
        <f t="shared" si="91"/>
        <v>3</v>
      </c>
      <c r="I416" s="25">
        <f t="shared" si="92"/>
        <v>2</v>
      </c>
      <c r="J416" s="25">
        <f t="shared" si="93"/>
        <v>5</v>
      </c>
      <c r="K416" s="25">
        <f t="shared" si="94"/>
        <v>3</v>
      </c>
      <c r="L416" s="25">
        <f t="shared" si="95"/>
        <v>5</v>
      </c>
      <c r="M416" s="25">
        <f t="shared" si="96"/>
        <v>5</v>
      </c>
      <c r="N416" s="25">
        <f t="shared" si="97"/>
        <v>5</v>
      </c>
      <c r="O416" s="32">
        <f t="shared" si="98"/>
        <v>-0.95700561253682881</v>
      </c>
      <c r="P416" s="32">
        <f t="shared" si="99"/>
        <v>-1.2927857385104427</v>
      </c>
      <c r="Q416" s="32">
        <f t="shared" si="100"/>
        <v>0.80698132232978881</v>
      </c>
      <c r="R416" s="32">
        <f t="shared" si="101"/>
        <v>-0.61891576076406762</v>
      </c>
      <c r="S416" s="32">
        <f t="shared" si="102"/>
        <v>0.86866731645372819</v>
      </c>
      <c r="T416" s="32">
        <f t="shared" si="103"/>
        <v>0.81206041627470116</v>
      </c>
      <c r="U416" s="32">
        <f t="shared" si="104"/>
        <v>0.80563658408767735</v>
      </c>
      <c r="V416" s="37">
        <f t="shared" si="105"/>
        <v>6.0662646762079477E-2</v>
      </c>
      <c r="W416"/>
      <c r="AK416" s="45" t="s">
        <v>78</v>
      </c>
      <c r="AL416" s="45">
        <v>7</v>
      </c>
      <c r="AM416" s="45">
        <v>33</v>
      </c>
      <c r="AN416" s="45">
        <v>4.7142857139999998</v>
      </c>
      <c r="AO416" s="45">
        <v>0.571428571</v>
      </c>
      <c r="AP416" s="45"/>
      <c r="AQ416" s="45"/>
      <c r="AR416" s="45"/>
    </row>
    <row r="417" spans="1:44" x14ac:dyDescent="0.35">
      <c r="A417">
        <v>5</v>
      </c>
      <c r="B417">
        <v>1</v>
      </c>
      <c r="C417">
        <v>5</v>
      </c>
      <c r="D417">
        <v>4</v>
      </c>
      <c r="E417">
        <v>1</v>
      </c>
      <c r="F417">
        <v>5</v>
      </c>
      <c r="G417">
        <v>5</v>
      </c>
      <c r="H417" s="25">
        <f t="shared" si="91"/>
        <v>5</v>
      </c>
      <c r="I417" s="25">
        <f t="shared" si="92"/>
        <v>5</v>
      </c>
      <c r="J417" s="25">
        <f t="shared" si="93"/>
        <v>5</v>
      </c>
      <c r="K417" s="25">
        <f t="shared" si="94"/>
        <v>2</v>
      </c>
      <c r="L417" s="25">
        <f t="shared" si="95"/>
        <v>5</v>
      </c>
      <c r="M417" s="25">
        <f t="shared" si="96"/>
        <v>5</v>
      </c>
      <c r="N417" s="25">
        <f t="shared" si="97"/>
        <v>5</v>
      </c>
      <c r="O417" s="32">
        <f t="shared" si="98"/>
        <v>0.84420266961423651</v>
      </c>
      <c r="P417" s="32">
        <f t="shared" si="99"/>
        <v>1.0418053570413823</v>
      </c>
      <c r="Q417" s="32">
        <f t="shared" si="100"/>
        <v>0.80698132232978881</v>
      </c>
      <c r="R417" s="32">
        <f t="shared" si="101"/>
        <v>-1.453693149260562</v>
      </c>
      <c r="S417" s="32">
        <f t="shared" si="102"/>
        <v>0.86866731645372819</v>
      </c>
      <c r="T417" s="32">
        <f t="shared" si="103"/>
        <v>0.81206041627470116</v>
      </c>
      <c r="U417" s="32">
        <f t="shared" si="104"/>
        <v>0.80563658408767735</v>
      </c>
      <c r="V417" s="37">
        <f t="shared" si="105"/>
        <v>0.53223721664870738</v>
      </c>
      <c r="W417"/>
      <c r="AK417" s="45" t="s">
        <v>78</v>
      </c>
      <c r="AL417" s="45">
        <v>7</v>
      </c>
      <c r="AM417" s="45">
        <v>33</v>
      </c>
      <c r="AN417" s="45">
        <v>4.7142857139999998</v>
      </c>
      <c r="AO417" s="45">
        <v>0.571428571</v>
      </c>
      <c r="AP417" s="45"/>
      <c r="AQ417" s="45"/>
      <c r="AR417" s="45"/>
    </row>
    <row r="418" spans="1:44" x14ac:dyDescent="0.35">
      <c r="A418">
        <v>5</v>
      </c>
      <c r="B418">
        <v>1</v>
      </c>
      <c r="C418">
        <v>5</v>
      </c>
      <c r="D418">
        <v>4</v>
      </c>
      <c r="E418">
        <v>1</v>
      </c>
      <c r="F418">
        <v>5</v>
      </c>
      <c r="G418">
        <v>5</v>
      </c>
      <c r="H418" s="25">
        <f t="shared" si="91"/>
        <v>5</v>
      </c>
      <c r="I418" s="25">
        <f t="shared" si="92"/>
        <v>5</v>
      </c>
      <c r="J418" s="25">
        <f t="shared" si="93"/>
        <v>5</v>
      </c>
      <c r="K418" s="25">
        <f t="shared" si="94"/>
        <v>2</v>
      </c>
      <c r="L418" s="25">
        <f t="shared" si="95"/>
        <v>5</v>
      </c>
      <c r="M418" s="25">
        <f t="shared" si="96"/>
        <v>5</v>
      </c>
      <c r="N418" s="25">
        <f t="shared" si="97"/>
        <v>5</v>
      </c>
      <c r="O418" s="32">
        <f t="shared" si="98"/>
        <v>0.84420266961423651</v>
      </c>
      <c r="P418" s="32">
        <f t="shared" si="99"/>
        <v>1.0418053570413823</v>
      </c>
      <c r="Q418" s="32">
        <f t="shared" si="100"/>
        <v>0.80698132232978881</v>
      </c>
      <c r="R418" s="32">
        <f t="shared" si="101"/>
        <v>-1.453693149260562</v>
      </c>
      <c r="S418" s="32">
        <f t="shared" si="102"/>
        <v>0.86866731645372819</v>
      </c>
      <c r="T418" s="32">
        <f t="shared" si="103"/>
        <v>0.81206041627470116</v>
      </c>
      <c r="U418" s="32">
        <f t="shared" si="104"/>
        <v>0.80563658408767735</v>
      </c>
      <c r="V418" s="37">
        <f t="shared" si="105"/>
        <v>0.53223721664870738</v>
      </c>
      <c r="W418"/>
      <c r="AK418" s="45" t="s">
        <v>78</v>
      </c>
      <c r="AL418" s="45">
        <v>7</v>
      </c>
      <c r="AM418" s="45">
        <v>32</v>
      </c>
      <c r="AN418" s="45">
        <v>4.5714285710000002</v>
      </c>
      <c r="AO418" s="45">
        <v>0.61904761900000005</v>
      </c>
      <c r="AP418" s="45"/>
      <c r="AQ418" s="45"/>
      <c r="AR418" s="45"/>
    </row>
    <row r="419" spans="1:44" x14ac:dyDescent="0.35">
      <c r="A419">
        <v>5</v>
      </c>
      <c r="B419">
        <v>1</v>
      </c>
      <c r="C419">
        <v>5</v>
      </c>
      <c r="D419">
        <v>4</v>
      </c>
      <c r="E419">
        <v>1</v>
      </c>
      <c r="F419">
        <v>5</v>
      </c>
      <c r="G419">
        <v>5</v>
      </c>
      <c r="H419" s="25">
        <f t="shared" si="91"/>
        <v>5</v>
      </c>
      <c r="I419" s="25">
        <f t="shared" si="92"/>
        <v>5</v>
      </c>
      <c r="J419" s="25">
        <f t="shared" si="93"/>
        <v>5</v>
      </c>
      <c r="K419" s="25">
        <f t="shared" si="94"/>
        <v>2</v>
      </c>
      <c r="L419" s="25">
        <f t="shared" si="95"/>
        <v>5</v>
      </c>
      <c r="M419" s="25">
        <f t="shared" si="96"/>
        <v>5</v>
      </c>
      <c r="N419" s="25">
        <f t="shared" si="97"/>
        <v>5</v>
      </c>
      <c r="O419" s="32">
        <f t="shared" si="98"/>
        <v>0.84420266961423651</v>
      </c>
      <c r="P419" s="32">
        <f t="shared" si="99"/>
        <v>1.0418053570413823</v>
      </c>
      <c r="Q419" s="32">
        <f t="shared" si="100"/>
        <v>0.80698132232978881</v>
      </c>
      <c r="R419" s="32">
        <f t="shared" si="101"/>
        <v>-1.453693149260562</v>
      </c>
      <c r="S419" s="32">
        <f t="shared" si="102"/>
        <v>0.86866731645372819</v>
      </c>
      <c r="T419" s="32">
        <f t="shared" si="103"/>
        <v>0.81206041627470116</v>
      </c>
      <c r="U419" s="32">
        <f t="shared" si="104"/>
        <v>0.80563658408767735</v>
      </c>
      <c r="V419" s="37">
        <f t="shared" si="105"/>
        <v>0.53223721664870738</v>
      </c>
      <c r="W419"/>
      <c r="AK419" s="45" t="s">
        <v>78</v>
      </c>
      <c r="AL419" s="45">
        <v>7</v>
      </c>
      <c r="AM419" s="45">
        <v>28</v>
      </c>
      <c r="AN419" s="45">
        <v>4</v>
      </c>
      <c r="AO419" s="45">
        <v>1.6666666670000001</v>
      </c>
      <c r="AP419" s="45"/>
      <c r="AQ419" s="45"/>
      <c r="AR419" s="45"/>
    </row>
    <row r="420" spans="1:44" x14ac:dyDescent="0.35">
      <c r="A420">
        <v>5</v>
      </c>
      <c r="B420">
        <v>1</v>
      </c>
      <c r="C420">
        <v>5</v>
      </c>
      <c r="D420">
        <v>4</v>
      </c>
      <c r="E420">
        <v>1</v>
      </c>
      <c r="F420">
        <v>5</v>
      </c>
      <c r="G420">
        <v>5</v>
      </c>
      <c r="H420" s="25">
        <f t="shared" si="91"/>
        <v>5</v>
      </c>
      <c r="I420" s="25">
        <f t="shared" si="92"/>
        <v>5</v>
      </c>
      <c r="J420" s="25">
        <f t="shared" si="93"/>
        <v>5</v>
      </c>
      <c r="K420" s="25">
        <f t="shared" si="94"/>
        <v>2</v>
      </c>
      <c r="L420" s="25">
        <f t="shared" si="95"/>
        <v>5</v>
      </c>
      <c r="M420" s="25">
        <f t="shared" si="96"/>
        <v>5</v>
      </c>
      <c r="N420" s="25">
        <f t="shared" si="97"/>
        <v>5</v>
      </c>
      <c r="O420" s="32">
        <f t="shared" si="98"/>
        <v>0.84420266961423651</v>
      </c>
      <c r="P420" s="32">
        <f t="shared" si="99"/>
        <v>1.0418053570413823</v>
      </c>
      <c r="Q420" s="32">
        <f t="shared" si="100"/>
        <v>0.80698132232978881</v>
      </c>
      <c r="R420" s="32">
        <f t="shared" si="101"/>
        <v>-1.453693149260562</v>
      </c>
      <c r="S420" s="32">
        <f t="shared" si="102"/>
        <v>0.86866731645372819</v>
      </c>
      <c r="T420" s="32">
        <f t="shared" si="103"/>
        <v>0.81206041627470116</v>
      </c>
      <c r="U420" s="32">
        <f t="shared" si="104"/>
        <v>0.80563658408767735</v>
      </c>
      <c r="V420" s="37">
        <f t="shared" si="105"/>
        <v>0.53223721664870738</v>
      </c>
      <c r="W420"/>
      <c r="AK420" s="45" t="s">
        <v>78</v>
      </c>
      <c r="AL420" s="45">
        <v>7</v>
      </c>
      <c r="AM420" s="45">
        <v>32</v>
      </c>
      <c r="AN420" s="45">
        <v>4.5714285710000002</v>
      </c>
      <c r="AO420" s="45">
        <v>1.2857142859999999</v>
      </c>
      <c r="AP420" s="45"/>
      <c r="AQ420" s="45"/>
      <c r="AR420" s="45"/>
    </row>
    <row r="421" spans="1:44" x14ac:dyDescent="0.35">
      <c r="A421">
        <v>5</v>
      </c>
      <c r="B421">
        <v>1</v>
      </c>
      <c r="C421">
        <v>5</v>
      </c>
      <c r="D421">
        <v>4</v>
      </c>
      <c r="E421">
        <v>1</v>
      </c>
      <c r="F421">
        <v>5</v>
      </c>
      <c r="G421">
        <v>5</v>
      </c>
      <c r="H421" s="25">
        <f t="shared" si="91"/>
        <v>5</v>
      </c>
      <c r="I421" s="25">
        <f t="shared" si="92"/>
        <v>5</v>
      </c>
      <c r="J421" s="25">
        <f t="shared" si="93"/>
        <v>5</v>
      </c>
      <c r="K421" s="25">
        <f t="shared" si="94"/>
        <v>2</v>
      </c>
      <c r="L421" s="25">
        <f t="shared" si="95"/>
        <v>5</v>
      </c>
      <c r="M421" s="25">
        <f t="shared" si="96"/>
        <v>5</v>
      </c>
      <c r="N421" s="25">
        <f t="shared" si="97"/>
        <v>5</v>
      </c>
      <c r="O421" s="32">
        <f t="shared" si="98"/>
        <v>0.84420266961423651</v>
      </c>
      <c r="P421" s="32">
        <f t="shared" si="99"/>
        <v>1.0418053570413823</v>
      </c>
      <c r="Q421" s="32">
        <f t="shared" si="100"/>
        <v>0.80698132232978881</v>
      </c>
      <c r="R421" s="32">
        <f t="shared" si="101"/>
        <v>-1.453693149260562</v>
      </c>
      <c r="S421" s="32">
        <f t="shared" si="102"/>
        <v>0.86866731645372819</v>
      </c>
      <c r="T421" s="32">
        <f t="shared" si="103"/>
        <v>0.81206041627470116</v>
      </c>
      <c r="U421" s="32">
        <f t="shared" si="104"/>
        <v>0.80563658408767735</v>
      </c>
      <c r="V421" s="37">
        <f t="shared" si="105"/>
        <v>0.53223721664870738</v>
      </c>
      <c r="W421"/>
      <c r="AK421" s="45" t="s">
        <v>78</v>
      </c>
      <c r="AL421" s="45">
        <v>7</v>
      </c>
      <c r="AM421" s="45">
        <v>32</v>
      </c>
      <c r="AN421" s="45">
        <v>4.5714285710000002</v>
      </c>
      <c r="AO421" s="45">
        <v>1.2857142859999999</v>
      </c>
      <c r="AP421" s="45"/>
      <c r="AQ421" s="45"/>
      <c r="AR421" s="45"/>
    </row>
    <row r="422" spans="1:44" x14ac:dyDescent="0.35">
      <c r="A422">
        <v>4</v>
      </c>
      <c r="B422">
        <v>3</v>
      </c>
      <c r="C422">
        <v>5</v>
      </c>
      <c r="D422">
        <v>4</v>
      </c>
      <c r="E422">
        <v>1</v>
      </c>
      <c r="F422">
        <v>5</v>
      </c>
      <c r="G422">
        <v>5</v>
      </c>
      <c r="H422" s="25">
        <f t="shared" si="91"/>
        <v>4</v>
      </c>
      <c r="I422" s="25">
        <f t="shared" si="92"/>
        <v>3</v>
      </c>
      <c r="J422" s="25">
        <f t="shared" si="93"/>
        <v>5</v>
      </c>
      <c r="K422" s="25">
        <f t="shared" si="94"/>
        <v>2</v>
      </c>
      <c r="L422" s="25">
        <f t="shared" si="95"/>
        <v>5</v>
      </c>
      <c r="M422" s="25">
        <f t="shared" si="96"/>
        <v>5</v>
      </c>
      <c r="N422" s="25">
        <f t="shared" si="97"/>
        <v>5</v>
      </c>
      <c r="O422" s="32">
        <f t="shared" si="98"/>
        <v>-5.6401471461296142E-2</v>
      </c>
      <c r="P422" s="32">
        <f t="shared" si="99"/>
        <v>-0.51458870665983425</v>
      </c>
      <c r="Q422" s="32">
        <f t="shared" si="100"/>
        <v>0.80698132232978881</v>
      </c>
      <c r="R422" s="32">
        <f t="shared" si="101"/>
        <v>-1.453693149260562</v>
      </c>
      <c r="S422" s="32">
        <f t="shared" si="102"/>
        <v>0.86866731645372819</v>
      </c>
      <c r="T422" s="32">
        <f t="shared" si="103"/>
        <v>0.81206041627470116</v>
      </c>
      <c r="U422" s="32">
        <f t="shared" si="104"/>
        <v>0.80563658408767735</v>
      </c>
      <c r="V422" s="37">
        <f t="shared" si="105"/>
        <v>0.18123747310917188</v>
      </c>
      <c r="W422"/>
      <c r="AK422" s="45" t="s">
        <v>78</v>
      </c>
      <c r="AL422" s="45">
        <v>7</v>
      </c>
      <c r="AM422" s="45">
        <v>32</v>
      </c>
      <c r="AN422" s="45">
        <v>4.5714285710000002</v>
      </c>
      <c r="AO422" s="45">
        <v>1.2857142859999999</v>
      </c>
      <c r="AP422" s="45"/>
      <c r="AQ422" s="45"/>
      <c r="AR422" s="45"/>
    </row>
    <row r="423" spans="1:44" x14ac:dyDescent="0.35">
      <c r="A423">
        <v>5</v>
      </c>
      <c r="B423">
        <v>3</v>
      </c>
      <c r="C423">
        <v>5</v>
      </c>
      <c r="D423">
        <v>4</v>
      </c>
      <c r="E423">
        <v>1</v>
      </c>
      <c r="F423">
        <v>5</v>
      </c>
      <c r="G423">
        <v>5</v>
      </c>
      <c r="H423" s="25">
        <f t="shared" si="91"/>
        <v>5</v>
      </c>
      <c r="I423" s="25">
        <f t="shared" si="92"/>
        <v>3</v>
      </c>
      <c r="J423" s="25">
        <f t="shared" si="93"/>
        <v>5</v>
      </c>
      <c r="K423" s="25">
        <f t="shared" si="94"/>
        <v>2</v>
      </c>
      <c r="L423" s="25">
        <f t="shared" si="95"/>
        <v>5</v>
      </c>
      <c r="M423" s="25">
        <f t="shared" si="96"/>
        <v>5</v>
      </c>
      <c r="N423" s="25">
        <f t="shared" si="97"/>
        <v>5</v>
      </c>
      <c r="O423" s="32">
        <f t="shared" si="98"/>
        <v>0.84420266961423651</v>
      </c>
      <c r="P423" s="32">
        <f t="shared" si="99"/>
        <v>-0.51458870665983425</v>
      </c>
      <c r="Q423" s="32">
        <f t="shared" si="100"/>
        <v>0.80698132232978881</v>
      </c>
      <c r="R423" s="32">
        <f t="shared" si="101"/>
        <v>-1.453693149260562</v>
      </c>
      <c r="S423" s="32">
        <f t="shared" si="102"/>
        <v>0.86866731645372819</v>
      </c>
      <c r="T423" s="32">
        <f t="shared" si="103"/>
        <v>0.81206041627470116</v>
      </c>
      <c r="U423" s="32">
        <f t="shared" si="104"/>
        <v>0.80563658408767735</v>
      </c>
      <c r="V423" s="37">
        <f t="shared" si="105"/>
        <v>0.30989520754853367</v>
      </c>
      <c r="W423"/>
      <c r="AK423" s="45" t="s">
        <v>78</v>
      </c>
      <c r="AL423" s="45">
        <v>7</v>
      </c>
      <c r="AM423" s="45">
        <v>32</v>
      </c>
      <c r="AN423" s="45">
        <v>4.5714285710000002</v>
      </c>
      <c r="AO423" s="45">
        <v>1.2857142859999999</v>
      </c>
      <c r="AP423" s="45"/>
      <c r="AQ423" s="45"/>
      <c r="AR423" s="45"/>
    </row>
    <row r="424" spans="1:44" x14ac:dyDescent="0.35">
      <c r="A424">
        <v>5</v>
      </c>
      <c r="B424">
        <v>4</v>
      </c>
      <c r="C424">
        <v>5</v>
      </c>
      <c r="D424">
        <v>4</v>
      </c>
      <c r="E424">
        <v>1</v>
      </c>
      <c r="F424">
        <v>5</v>
      </c>
      <c r="G424">
        <v>5</v>
      </c>
      <c r="H424" s="25">
        <f t="shared" si="91"/>
        <v>5</v>
      </c>
      <c r="I424" s="25">
        <f t="shared" si="92"/>
        <v>2</v>
      </c>
      <c r="J424" s="25">
        <f t="shared" si="93"/>
        <v>5</v>
      </c>
      <c r="K424" s="25">
        <f t="shared" si="94"/>
        <v>2</v>
      </c>
      <c r="L424" s="25">
        <f t="shared" si="95"/>
        <v>5</v>
      </c>
      <c r="M424" s="25">
        <f t="shared" si="96"/>
        <v>5</v>
      </c>
      <c r="N424" s="25">
        <f t="shared" si="97"/>
        <v>5</v>
      </c>
      <c r="O424" s="32">
        <f t="shared" si="98"/>
        <v>0.84420266961423651</v>
      </c>
      <c r="P424" s="32">
        <f t="shared" si="99"/>
        <v>-1.2927857385104427</v>
      </c>
      <c r="Q424" s="32">
        <f t="shared" si="100"/>
        <v>0.80698132232978881</v>
      </c>
      <c r="R424" s="32">
        <f t="shared" si="101"/>
        <v>-1.453693149260562</v>
      </c>
      <c r="S424" s="32">
        <f t="shared" si="102"/>
        <v>0.86866731645372819</v>
      </c>
      <c r="T424" s="32">
        <f t="shared" si="103"/>
        <v>0.81206041627470116</v>
      </c>
      <c r="U424" s="32">
        <f t="shared" si="104"/>
        <v>0.80563658408767735</v>
      </c>
      <c r="V424" s="37">
        <f t="shared" si="105"/>
        <v>0.19872420299844679</v>
      </c>
      <c r="W424"/>
      <c r="AK424" s="45" t="s">
        <v>78</v>
      </c>
      <c r="AL424" s="45">
        <v>7</v>
      </c>
      <c r="AM424" s="45">
        <v>32</v>
      </c>
      <c r="AN424" s="45">
        <v>4.5714285710000002</v>
      </c>
      <c r="AO424" s="45">
        <v>1.2857142859999999</v>
      </c>
      <c r="AP424" s="45"/>
      <c r="AQ424" s="45"/>
      <c r="AR424" s="45"/>
    </row>
    <row r="425" spans="1:44" x14ac:dyDescent="0.35">
      <c r="A425">
        <v>5</v>
      </c>
      <c r="B425">
        <v>5</v>
      </c>
      <c r="C425">
        <v>4</v>
      </c>
      <c r="D425">
        <v>5</v>
      </c>
      <c r="E425">
        <v>1</v>
      </c>
      <c r="F425">
        <v>5</v>
      </c>
      <c r="G425">
        <v>5</v>
      </c>
      <c r="H425" s="25">
        <f t="shared" si="91"/>
        <v>5</v>
      </c>
      <c r="I425" s="25">
        <f t="shared" si="92"/>
        <v>1</v>
      </c>
      <c r="J425" s="25">
        <f t="shared" si="93"/>
        <v>4</v>
      </c>
      <c r="K425" s="25">
        <f t="shared" si="94"/>
        <v>1</v>
      </c>
      <c r="L425" s="25">
        <f t="shared" si="95"/>
        <v>5</v>
      </c>
      <c r="M425" s="25">
        <f t="shared" si="96"/>
        <v>5</v>
      </c>
      <c r="N425" s="25">
        <f t="shared" si="97"/>
        <v>5</v>
      </c>
      <c r="O425" s="32">
        <f t="shared" si="98"/>
        <v>0.84420266961423651</v>
      </c>
      <c r="P425" s="32">
        <f t="shared" si="99"/>
        <v>-2.0709827703610508</v>
      </c>
      <c r="Q425" s="32">
        <f t="shared" si="100"/>
        <v>-9.6984149849158471E-2</v>
      </c>
      <c r="R425" s="32">
        <f t="shared" si="101"/>
        <v>-2.2884705377570564</v>
      </c>
      <c r="S425" s="32">
        <f t="shared" si="102"/>
        <v>0.86866731645372819</v>
      </c>
      <c r="T425" s="32">
        <f t="shared" si="103"/>
        <v>0.81206041627470116</v>
      </c>
      <c r="U425" s="32">
        <f t="shared" si="104"/>
        <v>0.80563658408767735</v>
      </c>
      <c r="V425" s="37">
        <f t="shared" si="105"/>
        <v>-0.16083863879098886</v>
      </c>
      <c r="W425"/>
      <c r="AK425" s="45" t="s">
        <v>78</v>
      </c>
      <c r="AL425" s="45">
        <v>7</v>
      </c>
      <c r="AM425" s="45">
        <v>29</v>
      </c>
      <c r="AN425" s="45">
        <v>4.1428571429999996</v>
      </c>
      <c r="AO425" s="45">
        <v>1.476190476</v>
      </c>
      <c r="AP425" s="45"/>
      <c r="AQ425" s="45"/>
      <c r="AR425" s="45"/>
    </row>
    <row r="426" spans="1:44" x14ac:dyDescent="0.35">
      <c r="A426">
        <v>5</v>
      </c>
      <c r="B426">
        <v>1</v>
      </c>
      <c r="C426">
        <v>5</v>
      </c>
      <c r="D426">
        <v>5</v>
      </c>
      <c r="E426">
        <v>1</v>
      </c>
      <c r="F426">
        <v>5</v>
      </c>
      <c r="G426">
        <v>5</v>
      </c>
      <c r="H426" s="25">
        <f t="shared" si="91"/>
        <v>5</v>
      </c>
      <c r="I426" s="25">
        <f t="shared" si="92"/>
        <v>5</v>
      </c>
      <c r="J426" s="25">
        <f t="shared" si="93"/>
        <v>5</v>
      </c>
      <c r="K426" s="25">
        <f t="shared" si="94"/>
        <v>1</v>
      </c>
      <c r="L426" s="25">
        <f t="shared" si="95"/>
        <v>5</v>
      </c>
      <c r="M426" s="25">
        <f t="shared" si="96"/>
        <v>5</v>
      </c>
      <c r="N426" s="25">
        <f t="shared" si="97"/>
        <v>5</v>
      </c>
      <c r="O426" s="32">
        <f t="shared" si="98"/>
        <v>0.84420266961423651</v>
      </c>
      <c r="P426" s="32">
        <f t="shared" si="99"/>
        <v>1.0418053570413823</v>
      </c>
      <c r="Q426" s="32">
        <f t="shared" si="100"/>
        <v>0.80698132232978881</v>
      </c>
      <c r="R426" s="32">
        <f t="shared" si="101"/>
        <v>-2.2884705377570564</v>
      </c>
      <c r="S426" s="32">
        <f t="shared" si="102"/>
        <v>0.86866731645372819</v>
      </c>
      <c r="T426" s="32">
        <f t="shared" si="103"/>
        <v>0.81206041627470116</v>
      </c>
      <c r="U426" s="32">
        <f t="shared" si="104"/>
        <v>0.80563658408767735</v>
      </c>
      <c r="V426" s="37">
        <f t="shared" si="105"/>
        <v>0.41298330400635119</v>
      </c>
      <c r="W426"/>
      <c r="AK426" s="45" t="s">
        <v>78</v>
      </c>
      <c r="AL426" s="45">
        <v>7</v>
      </c>
      <c r="AM426" s="45">
        <v>30</v>
      </c>
      <c r="AN426" s="45">
        <v>4.2857142860000002</v>
      </c>
      <c r="AO426" s="45">
        <v>1.571428571</v>
      </c>
      <c r="AP426" s="45"/>
      <c r="AQ426" s="45"/>
      <c r="AR426" s="45"/>
    </row>
    <row r="427" spans="1:44" x14ac:dyDescent="0.35">
      <c r="A427">
        <v>5</v>
      </c>
      <c r="B427">
        <v>5</v>
      </c>
      <c r="C427">
        <v>5</v>
      </c>
      <c r="D427">
        <v>5</v>
      </c>
      <c r="E427">
        <v>1</v>
      </c>
      <c r="F427">
        <v>5</v>
      </c>
      <c r="G427">
        <v>5</v>
      </c>
      <c r="H427" s="25">
        <f t="shared" si="91"/>
        <v>5</v>
      </c>
      <c r="I427" s="25">
        <f t="shared" si="92"/>
        <v>1</v>
      </c>
      <c r="J427" s="25">
        <f t="shared" si="93"/>
        <v>5</v>
      </c>
      <c r="K427" s="25">
        <f t="shared" si="94"/>
        <v>1</v>
      </c>
      <c r="L427" s="25">
        <f t="shared" si="95"/>
        <v>5</v>
      </c>
      <c r="M427" s="25">
        <f t="shared" si="96"/>
        <v>5</v>
      </c>
      <c r="N427" s="25">
        <f t="shared" si="97"/>
        <v>5</v>
      </c>
      <c r="O427" s="32">
        <f t="shared" si="98"/>
        <v>0.84420266961423651</v>
      </c>
      <c r="P427" s="32">
        <f t="shared" si="99"/>
        <v>-2.0709827703610508</v>
      </c>
      <c r="Q427" s="32">
        <f t="shared" si="100"/>
        <v>0.80698132232978881</v>
      </c>
      <c r="R427" s="32">
        <f t="shared" si="101"/>
        <v>-2.2884705377570564</v>
      </c>
      <c r="S427" s="32">
        <f t="shared" si="102"/>
        <v>0.86866731645372819</v>
      </c>
      <c r="T427" s="32">
        <f t="shared" si="103"/>
        <v>0.81206041627470116</v>
      </c>
      <c r="U427" s="32">
        <f t="shared" si="104"/>
        <v>0.80563658408767735</v>
      </c>
      <c r="V427" s="37">
        <f t="shared" si="105"/>
        <v>-3.1700714193996483E-2</v>
      </c>
      <c r="W427"/>
      <c r="AK427" s="45" t="s">
        <v>78</v>
      </c>
      <c r="AL427" s="45">
        <v>7</v>
      </c>
      <c r="AM427" s="45">
        <v>29</v>
      </c>
      <c r="AN427" s="45">
        <v>4.1428571429999996</v>
      </c>
      <c r="AO427" s="45">
        <v>2.1428571430000001</v>
      </c>
      <c r="AP427" s="45"/>
      <c r="AQ427" s="45"/>
      <c r="AR427" s="45"/>
    </row>
    <row r="428" spans="1:44" x14ac:dyDescent="0.35">
      <c r="A428">
        <v>5</v>
      </c>
      <c r="B428">
        <v>4</v>
      </c>
      <c r="C428">
        <v>1</v>
      </c>
      <c r="D428">
        <v>1</v>
      </c>
      <c r="E428">
        <v>2</v>
      </c>
      <c r="F428">
        <v>5</v>
      </c>
      <c r="G428">
        <v>5</v>
      </c>
      <c r="H428" s="25">
        <f t="shared" si="91"/>
        <v>5</v>
      </c>
      <c r="I428" s="25">
        <f t="shared" si="92"/>
        <v>2</v>
      </c>
      <c r="J428" s="25">
        <f t="shared" si="93"/>
        <v>1</v>
      </c>
      <c r="K428" s="25">
        <f t="shared" si="94"/>
        <v>5</v>
      </c>
      <c r="L428" s="25">
        <f t="shared" si="95"/>
        <v>4</v>
      </c>
      <c r="M428" s="25">
        <f t="shared" si="96"/>
        <v>5</v>
      </c>
      <c r="N428" s="25">
        <f t="shared" si="97"/>
        <v>5</v>
      </c>
      <c r="O428" s="32">
        <f t="shared" si="98"/>
        <v>0.84420266961423651</v>
      </c>
      <c r="P428" s="32">
        <f t="shared" si="99"/>
        <v>-1.2927857385104427</v>
      </c>
      <c r="Q428" s="32">
        <f t="shared" si="100"/>
        <v>-2.8088805663860001</v>
      </c>
      <c r="R428" s="32">
        <f t="shared" si="101"/>
        <v>1.0506390162289212</v>
      </c>
      <c r="S428" s="32">
        <f t="shared" si="102"/>
        <v>2.4129647679270144E-2</v>
      </c>
      <c r="T428" s="32">
        <f t="shared" si="103"/>
        <v>0.81206041627470116</v>
      </c>
      <c r="U428" s="32">
        <f t="shared" si="104"/>
        <v>0.80563658408767735</v>
      </c>
      <c r="V428" s="37">
        <f t="shared" si="105"/>
        <v>-8.0713995858805232E-2</v>
      </c>
      <c r="W428"/>
      <c r="AK428" s="45" t="s">
        <v>78</v>
      </c>
      <c r="AL428" s="45">
        <v>7</v>
      </c>
      <c r="AM428" s="45">
        <v>26</v>
      </c>
      <c r="AN428" s="45">
        <v>3.7142857139999998</v>
      </c>
      <c r="AO428" s="45">
        <v>3.5714285710000002</v>
      </c>
      <c r="AP428" s="45"/>
      <c r="AQ428" s="45"/>
      <c r="AR428" s="45"/>
    </row>
    <row r="429" spans="1:44" x14ac:dyDescent="0.35">
      <c r="A429">
        <v>4</v>
      </c>
      <c r="B429">
        <v>2</v>
      </c>
      <c r="C429">
        <v>4</v>
      </c>
      <c r="D429">
        <v>1</v>
      </c>
      <c r="E429">
        <v>2</v>
      </c>
      <c r="F429">
        <v>5</v>
      </c>
      <c r="G429">
        <v>5</v>
      </c>
      <c r="H429" s="25">
        <f t="shared" si="91"/>
        <v>4</v>
      </c>
      <c r="I429" s="25">
        <f t="shared" si="92"/>
        <v>4</v>
      </c>
      <c r="J429" s="25">
        <f t="shared" si="93"/>
        <v>4</v>
      </c>
      <c r="K429" s="25">
        <f t="shared" si="94"/>
        <v>5</v>
      </c>
      <c r="L429" s="25">
        <f t="shared" si="95"/>
        <v>4</v>
      </c>
      <c r="M429" s="25">
        <f t="shared" si="96"/>
        <v>5</v>
      </c>
      <c r="N429" s="25">
        <f t="shared" si="97"/>
        <v>5</v>
      </c>
      <c r="O429" s="32">
        <f t="shared" si="98"/>
        <v>-5.6401471461296142E-2</v>
      </c>
      <c r="P429" s="32">
        <f t="shared" si="99"/>
        <v>0.26360832519077404</v>
      </c>
      <c r="Q429" s="32">
        <f t="shared" si="100"/>
        <v>-9.6984149849158471E-2</v>
      </c>
      <c r="R429" s="32">
        <f t="shared" si="101"/>
        <v>1.0506390162289212</v>
      </c>
      <c r="S429" s="32">
        <f t="shared" si="102"/>
        <v>2.4129647679270144E-2</v>
      </c>
      <c r="T429" s="32">
        <f t="shared" si="103"/>
        <v>0.81206041627470116</v>
      </c>
      <c r="U429" s="32">
        <f t="shared" si="104"/>
        <v>0.80563658408767735</v>
      </c>
      <c r="V429" s="37">
        <f t="shared" si="105"/>
        <v>0.40038405259298415</v>
      </c>
      <c r="W429"/>
      <c r="AK429" s="45" t="s">
        <v>78</v>
      </c>
      <c r="AL429" s="45">
        <v>7</v>
      </c>
      <c r="AM429" s="45">
        <v>31</v>
      </c>
      <c r="AN429" s="45">
        <v>4.4285714289999998</v>
      </c>
      <c r="AO429" s="45">
        <v>2.2857142860000002</v>
      </c>
      <c r="AP429" s="45"/>
      <c r="AQ429" s="45"/>
      <c r="AR429" s="45"/>
    </row>
    <row r="430" spans="1:44" x14ac:dyDescent="0.35">
      <c r="A430">
        <v>4</v>
      </c>
      <c r="B430">
        <v>2</v>
      </c>
      <c r="C430">
        <v>4</v>
      </c>
      <c r="D430">
        <v>1</v>
      </c>
      <c r="E430">
        <v>2</v>
      </c>
      <c r="F430">
        <v>5</v>
      </c>
      <c r="G430">
        <v>5</v>
      </c>
      <c r="H430" s="25">
        <f t="shared" si="91"/>
        <v>4</v>
      </c>
      <c r="I430" s="25">
        <f t="shared" si="92"/>
        <v>4</v>
      </c>
      <c r="J430" s="25">
        <f t="shared" si="93"/>
        <v>4</v>
      </c>
      <c r="K430" s="25">
        <f t="shared" si="94"/>
        <v>5</v>
      </c>
      <c r="L430" s="25">
        <f t="shared" si="95"/>
        <v>4</v>
      </c>
      <c r="M430" s="25">
        <f t="shared" si="96"/>
        <v>5</v>
      </c>
      <c r="N430" s="25">
        <f t="shared" si="97"/>
        <v>5</v>
      </c>
      <c r="O430" s="32">
        <f t="shared" si="98"/>
        <v>-5.6401471461296142E-2</v>
      </c>
      <c r="P430" s="32">
        <f t="shared" si="99"/>
        <v>0.26360832519077404</v>
      </c>
      <c r="Q430" s="32">
        <f t="shared" si="100"/>
        <v>-9.6984149849158471E-2</v>
      </c>
      <c r="R430" s="32">
        <f t="shared" si="101"/>
        <v>1.0506390162289212</v>
      </c>
      <c r="S430" s="32">
        <f t="shared" si="102"/>
        <v>2.4129647679270144E-2</v>
      </c>
      <c r="T430" s="32">
        <f t="shared" si="103"/>
        <v>0.81206041627470116</v>
      </c>
      <c r="U430" s="32">
        <f t="shared" si="104"/>
        <v>0.80563658408767735</v>
      </c>
      <c r="V430" s="37">
        <f t="shared" si="105"/>
        <v>0.40038405259298415</v>
      </c>
      <c r="W430"/>
      <c r="AK430" s="45" t="s">
        <v>78</v>
      </c>
      <c r="AL430" s="45">
        <v>7</v>
      </c>
      <c r="AM430" s="45">
        <v>27</v>
      </c>
      <c r="AN430" s="45">
        <v>3.8571428569999999</v>
      </c>
      <c r="AO430" s="45">
        <v>3.80952381</v>
      </c>
      <c r="AP430" s="45"/>
      <c r="AQ430" s="45"/>
      <c r="AR430" s="45"/>
    </row>
    <row r="431" spans="1:44" x14ac:dyDescent="0.35">
      <c r="A431">
        <v>5</v>
      </c>
      <c r="B431">
        <v>2</v>
      </c>
      <c r="C431">
        <v>5</v>
      </c>
      <c r="D431">
        <v>1</v>
      </c>
      <c r="E431">
        <v>2</v>
      </c>
      <c r="F431">
        <v>5</v>
      </c>
      <c r="G431">
        <v>5</v>
      </c>
      <c r="H431" s="25">
        <f t="shared" si="91"/>
        <v>5</v>
      </c>
      <c r="I431" s="25">
        <f t="shared" si="92"/>
        <v>4</v>
      </c>
      <c r="J431" s="25">
        <f t="shared" si="93"/>
        <v>5</v>
      </c>
      <c r="K431" s="25">
        <f t="shared" si="94"/>
        <v>5</v>
      </c>
      <c r="L431" s="25">
        <f t="shared" si="95"/>
        <v>4</v>
      </c>
      <c r="M431" s="25">
        <f t="shared" si="96"/>
        <v>5</v>
      </c>
      <c r="N431" s="25">
        <f t="shared" si="97"/>
        <v>5</v>
      </c>
      <c r="O431" s="32">
        <f t="shared" si="98"/>
        <v>0.84420266961423651</v>
      </c>
      <c r="P431" s="32">
        <f t="shared" si="99"/>
        <v>0.26360832519077404</v>
      </c>
      <c r="Q431" s="32">
        <f t="shared" si="100"/>
        <v>0.80698132232978881</v>
      </c>
      <c r="R431" s="32">
        <f t="shared" si="101"/>
        <v>1.0506390162289212</v>
      </c>
      <c r="S431" s="32">
        <f t="shared" si="102"/>
        <v>2.4129647679270144E-2</v>
      </c>
      <c r="T431" s="32">
        <f t="shared" si="103"/>
        <v>0.81206041627470116</v>
      </c>
      <c r="U431" s="32">
        <f t="shared" si="104"/>
        <v>0.80563658408767735</v>
      </c>
      <c r="V431" s="37">
        <f t="shared" si="105"/>
        <v>0.65817971162933842</v>
      </c>
      <c r="W431"/>
      <c r="AK431" s="45" t="s">
        <v>78</v>
      </c>
      <c r="AL431" s="45">
        <v>7</v>
      </c>
      <c r="AM431" s="45">
        <v>27</v>
      </c>
      <c r="AN431" s="45">
        <v>3.8571428569999999</v>
      </c>
      <c r="AO431" s="45">
        <v>2.80952381</v>
      </c>
      <c r="AP431" s="45"/>
      <c r="AQ431" s="45"/>
      <c r="AR431" s="45"/>
    </row>
    <row r="432" spans="1:44" x14ac:dyDescent="0.35">
      <c r="A432">
        <v>5</v>
      </c>
      <c r="B432">
        <v>4</v>
      </c>
      <c r="C432">
        <v>5</v>
      </c>
      <c r="D432">
        <v>1</v>
      </c>
      <c r="E432">
        <v>2</v>
      </c>
      <c r="F432">
        <v>5</v>
      </c>
      <c r="G432">
        <v>5</v>
      </c>
      <c r="H432" s="25">
        <f t="shared" si="91"/>
        <v>5</v>
      </c>
      <c r="I432" s="25">
        <f t="shared" si="92"/>
        <v>2</v>
      </c>
      <c r="J432" s="25">
        <f t="shared" si="93"/>
        <v>5</v>
      </c>
      <c r="K432" s="25">
        <f t="shared" si="94"/>
        <v>5</v>
      </c>
      <c r="L432" s="25">
        <f t="shared" si="95"/>
        <v>4</v>
      </c>
      <c r="M432" s="25">
        <f t="shared" si="96"/>
        <v>5</v>
      </c>
      <c r="N432" s="25">
        <f t="shared" si="97"/>
        <v>5</v>
      </c>
      <c r="O432" s="32">
        <f t="shared" si="98"/>
        <v>0.84420266961423651</v>
      </c>
      <c r="P432" s="32">
        <f t="shared" si="99"/>
        <v>-1.2927857385104427</v>
      </c>
      <c r="Q432" s="32">
        <f t="shared" si="100"/>
        <v>0.80698132232978881</v>
      </c>
      <c r="R432" s="32">
        <f t="shared" si="101"/>
        <v>1.0506390162289212</v>
      </c>
      <c r="S432" s="32">
        <f t="shared" si="102"/>
        <v>2.4129647679270144E-2</v>
      </c>
      <c r="T432" s="32">
        <f t="shared" si="103"/>
        <v>0.81206041627470116</v>
      </c>
      <c r="U432" s="32">
        <f t="shared" si="104"/>
        <v>0.80563658408767735</v>
      </c>
      <c r="V432" s="37">
        <f t="shared" si="105"/>
        <v>0.43583770252916459</v>
      </c>
      <c r="W432"/>
      <c r="AK432" s="45" t="s">
        <v>78</v>
      </c>
      <c r="AL432" s="45">
        <v>7</v>
      </c>
      <c r="AM432" s="45">
        <v>31</v>
      </c>
      <c r="AN432" s="45">
        <v>4.4285714289999998</v>
      </c>
      <c r="AO432" s="45">
        <v>0.28571428599999998</v>
      </c>
      <c r="AP432" s="45"/>
      <c r="AQ432" s="45"/>
      <c r="AR432" s="45"/>
    </row>
    <row r="433" spans="1:44" x14ac:dyDescent="0.35">
      <c r="A433">
        <v>4</v>
      </c>
      <c r="B433">
        <v>1</v>
      </c>
      <c r="C433">
        <v>3</v>
      </c>
      <c r="D433">
        <v>2</v>
      </c>
      <c r="E433">
        <v>2</v>
      </c>
      <c r="F433">
        <v>5</v>
      </c>
      <c r="G433">
        <v>5</v>
      </c>
      <c r="H433" s="25">
        <f t="shared" si="91"/>
        <v>4</v>
      </c>
      <c r="I433" s="25">
        <f t="shared" si="92"/>
        <v>5</v>
      </c>
      <c r="J433" s="25">
        <f t="shared" si="93"/>
        <v>3</v>
      </c>
      <c r="K433" s="25">
        <f t="shared" si="94"/>
        <v>4</v>
      </c>
      <c r="L433" s="25">
        <f t="shared" si="95"/>
        <v>4</v>
      </c>
      <c r="M433" s="25">
        <f t="shared" si="96"/>
        <v>5</v>
      </c>
      <c r="N433" s="25">
        <f t="shared" si="97"/>
        <v>5</v>
      </c>
      <c r="O433" s="32">
        <f t="shared" si="98"/>
        <v>-5.6401471461296142E-2</v>
      </c>
      <c r="P433" s="32">
        <f t="shared" si="99"/>
        <v>1.0418053570413823</v>
      </c>
      <c r="Q433" s="32">
        <f t="shared" si="100"/>
        <v>-1.0009496220281058</v>
      </c>
      <c r="R433" s="32">
        <f t="shared" si="101"/>
        <v>0.21586162773242673</v>
      </c>
      <c r="S433" s="32">
        <f t="shared" si="102"/>
        <v>2.4129647679270144E-2</v>
      </c>
      <c r="T433" s="32">
        <f t="shared" si="103"/>
        <v>0.81206041627470116</v>
      </c>
      <c r="U433" s="32">
        <f t="shared" si="104"/>
        <v>0.80563658408767735</v>
      </c>
      <c r="V433" s="37">
        <f t="shared" si="105"/>
        <v>0.26316321990372227</v>
      </c>
      <c r="W433"/>
      <c r="AK433" s="45" t="s">
        <v>78</v>
      </c>
      <c r="AL433" s="45">
        <v>7</v>
      </c>
      <c r="AM433" s="45">
        <v>31</v>
      </c>
      <c r="AN433" s="45">
        <v>4.4285714289999998</v>
      </c>
      <c r="AO433" s="45">
        <v>0.28571428599999998</v>
      </c>
      <c r="AP433" s="45"/>
      <c r="AQ433" s="45"/>
      <c r="AR433" s="45"/>
    </row>
    <row r="434" spans="1:44" x14ac:dyDescent="0.35">
      <c r="A434">
        <v>4</v>
      </c>
      <c r="B434">
        <v>1</v>
      </c>
      <c r="C434">
        <v>4</v>
      </c>
      <c r="D434">
        <v>2</v>
      </c>
      <c r="E434">
        <v>2</v>
      </c>
      <c r="F434">
        <v>5</v>
      </c>
      <c r="G434">
        <v>5</v>
      </c>
      <c r="H434" s="25">
        <f t="shared" si="91"/>
        <v>4</v>
      </c>
      <c r="I434" s="25">
        <f t="shared" si="92"/>
        <v>5</v>
      </c>
      <c r="J434" s="25">
        <f t="shared" si="93"/>
        <v>4</v>
      </c>
      <c r="K434" s="25">
        <f t="shared" si="94"/>
        <v>4</v>
      </c>
      <c r="L434" s="25">
        <f t="shared" si="95"/>
        <v>4</v>
      </c>
      <c r="M434" s="25">
        <f t="shared" si="96"/>
        <v>5</v>
      </c>
      <c r="N434" s="25">
        <f t="shared" si="97"/>
        <v>5</v>
      </c>
      <c r="O434" s="32">
        <f t="shared" si="98"/>
        <v>-5.6401471461296142E-2</v>
      </c>
      <c r="P434" s="32">
        <f t="shared" si="99"/>
        <v>1.0418053570413823</v>
      </c>
      <c r="Q434" s="32">
        <f t="shared" si="100"/>
        <v>-9.6984149849158471E-2</v>
      </c>
      <c r="R434" s="32">
        <f t="shared" si="101"/>
        <v>0.21586162773242673</v>
      </c>
      <c r="S434" s="32">
        <f t="shared" si="102"/>
        <v>2.4129647679270144E-2</v>
      </c>
      <c r="T434" s="32">
        <f t="shared" si="103"/>
        <v>0.81206041627470116</v>
      </c>
      <c r="U434" s="32">
        <f t="shared" si="104"/>
        <v>0.80563658408767735</v>
      </c>
      <c r="V434" s="37">
        <f t="shared" si="105"/>
        <v>0.39230114450071468</v>
      </c>
      <c r="W434"/>
      <c r="AK434" s="45" t="s">
        <v>78</v>
      </c>
      <c r="AL434" s="45">
        <v>7</v>
      </c>
      <c r="AM434" s="45">
        <v>33</v>
      </c>
      <c r="AN434" s="45">
        <v>4.7142857139999998</v>
      </c>
      <c r="AO434" s="45">
        <v>0.23809523799999999</v>
      </c>
      <c r="AP434" s="45"/>
      <c r="AQ434" s="45"/>
      <c r="AR434" s="45"/>
    </row>
    <row r="435" spans="1:44" x14ac:dyDescent="0.35">
      <c r="A435">
        <v>5</v>
      </c>
      <c r="B435">
        <v>1</v>
      </c>
      <c r="C435">
        <v>4</v>
      </c>
      <c r="D435">
        <v>2</v>
      </c>
      <c r="E435">
        <v>2</v>
      </c>
      <c r="F435">
        <v>5</v>
      </c>
      <c r="G435">
        <v>5</v>
      </c>
      <c r="H435" s="25">
        <f t="shared" si="91"/>
        <v>5</v>
      </c>
      <c r="I435" s="25">
        <f t="shared" si="92"/>
        <v>5</v>
      </c>
      <c r="J435" s="25">
        <f t="shared" si="93"/>
        <v>4</v>
      </c>
      <c r="K435" s="25">
        <f t="shared" si="94"/>
        <v>4</v>
      </c>
      <c r="L435" s="25">
        <f t="shared" si="95"/>
        <v>4</v>
      </c>
      <c r="M435" s="25">
        <f t="shared" si="96"/>
        <v>5</v>
      </c>
      <c r="N435" s="25">
        <f t="shared" si="97"/>
        <v>5</v>
      </c>
      <c r="O435" s="32">
        <f t="shared" si="98"/>
        <v>0.84420266961423651</v>
      </c>
      <c r="P435" s="32">
        <f t="shared" si="99"/>
        <v>1.0418053570413823</v>
      </c>
      <c r="Q435" s="32">
        <f t="shared" si="100"/>
        <v>-9.6984149849158471E-2</v>
      </c>
      <c r="R435" s="32">
        <f t="shared" si="101"/>
        <v>0.21586162773242673</v>
      </c>
      <c r="S435" s="32">
        <f t="shared" si="102"/>
        <v>2.4129647679270144E-2</v>
      </c>
      <c r="T435" s="32">
        <f t="shared" si="103"/>
        <v>0.81206041627470116</v>
      </c>
      <c r="U435" s="32">
        <f t="shared" si="104"/>
        <v>0.80563658408767735</v>
      </c>
      <c r="V435" s="37">
        <f t="shared" si="105"/>
        <v>0.52095887894007653</v>
      </c>
      <c r="W435"/>
      <c r="AK435" s="45" t="s">
        <v>78</v>
      </c>
      <c r="AL435" s="45">
        <v>7</v>
      </c>
      <c r="AM435" s="45">
        <v>31</v>
      </c>
      <c r="AN435" s="45">
        <v>4.4285714289999998</v>
      </c>
      <c r="AO435" s="45">
        <v>1.2857142859999999</v>
      </c>
      <c r="AP435" s="45"/>
      <c r="AQ435" s="45"/>
      <c r="AR435" s="45"/>
    </row>
    <row r="436" spans="1:44" x14ac:dyDescent="0.35">
      <c r="A436">
        <v>5</v>
      </c>
      <c r="B436">
        <v>1</v>
      </c>
      <c r="C436">
        <v>4</v>
      </c>
      <c r="D436">
        <v>2</v>
      </c>
      <c r="E436">
        <v>2</v>
      </c>
      <c r="F436">
        <v>5</v>
      </c>
      <c r="G436">
        <v>5</v>
      </c>
      <c r="H436" s="25">
        <f t="shared" si="91"/>
        <v>5</v>
      </c>
      <c r="I436" s="25">
        <f t="shared" si="92"/>
        <v>5</v>
      </c>
      <c r="J436" s="25">
        <f t="shared" si="93"/>
        <v>4</v>
      </c>
      <c r="K436" s="25">
        <f t="shared" si="94"/>
        <v>4</v>
      </c>
      <c r="L436" s="25">
        <f t="shared" si="95"/>
        <v>4</v>
      </c>
      <c r="M436" s="25">
        <f t="shared" si="96"/>
        <v>5</v>
      </c>
      <c r="N436" s="25">
        <f t="shared" si="97"/>
        <v>5</v>
      </c>
      <c r="O436" s="32">
        <f t="shared" si="98"/>
        <v>0.84420266961423651</v>
      </c>
      <c r="P436" s="32">
        <f t="shared" si="99"/>
        <v>1.0418053570413823</v>
      </c>
      <c r="Q436" s="32">
        <f t="shared" si="100"/>
        <v>-9.6984149849158471E-2</v>
      </c>
      <c r="R436" s="32">
        <f t="shared" si="101"/>
        <v>0.21586162773242673</v>
      </c>
      <c r="S436" s="32">
        <f t="shared" si="102"/>
        <v>2.4129647679270144E-2</v>
      </c>
      <c r="T436" s="32">
        <f t="shared" si="103"/>
        <v>0.81206041627470116</v>
      </c>
      <c r="U436" s="32">
        <f t="shared" si="104"/>
        <v>0.80563658408767735</v>
      </c>
      <c r="V436" s="37">
        <f t="shared" si="105"/>
        <v>0.52095887894007653</v>
      </c>
      <c r="W436"/>
      <c r="AK436" s="45" t="s">
        <v>78</v>
      </c>
      <c r="AL436" s="45">
        <v>7</v>
      </c>
      <c r="AM436" s="45">
        <v>30</v>
      </c>
      <c r="AN436" s="45">
        <v>4.2857142860000002</v>
      </c>
      <c r="AO436" s="45">
        <v>0.571428571</v>
      </c>
      <c r="AP436" s="45"/>
      <c r="AQ436" s="45"/>
      <c r="AR436" s="45"/>
    </row>
    <row r="437" spans="1:44" x14ac:dyDescent="0.35">
      <c r="A437">
        <v>4</v>
      </c>
      <c r="B437">
        <v>2</v>
      </c>
      <c r="C437">
        <v>4</v>
      </c>
      <c r="D437">
        <v>2</v>
      </c>
      <c r="E437">
        <v>2</v>
      </c>
      <c r="F437">
        <v>5</v>
      </c>
      <c r="G437">
        <v>5</v>
      </c>
      <c r="H437" s="25">
        <f t="shared" si="91"/>
        <v>4</v>
      </c>
      <c r="I437" s="25">
        <f t="shared" si="92"/>
        <v>4</v>
      </c>
      <c r="J437" s="25">
        <f t="shared" si="93"/>
        <v>4</v>
      </c>
      <c r="K437" s="25">
        <f t="shared" si="94"/>
        <v>4</v>
      </c>
      <c r="L437" s="25">
        <f t="shared" si="95"/>
        <v>4</v>
      </c>
      <c r="M437" s="25">
        <f t="shared" si="96"/>
        <v>5</v>
      </c>
      <c r="N437" s="25">
        <f t="shared" si="97"/>
        <v>5</v>
      </c>
      <c r="O437" s="32">
        <f t="shared" si="98"/>
        <v>-5.6401471461296142E-2</v>
      </c>
      <c r="P437" s="32">
        <f t="shared" si="99"/>
        <v>0.26360832519077404</v>
      </c>
      <c r="Q437" s="32">
        <f t="shared" si="100"/>
        <v>-9.6984149849158471E-2</v>
      </c>
      <c r="R437" s="32">
        <f t="shared" si="101"/>
        <v>0.21586162773242673</v>
      </c>
      <c r="S437" s="32">
        <f t="shared" si="102"/>
        <v>2.4129647679270144E-2</v>
      </c>
      <c r="T437" s="32">
        <f t="shared" si="103"/>
        <v>0.81206041627470116</v>
      </c>
      <c r="U437" s="32">
        <f t="shared" si="104"/>
        <v>0.80563658408767735</v>
      </c>
      <c r="V437" s="37">
        <f t="shared" si="105"/>
        <v>0.2811301399506278</v>
      </c>
      <c r="W437"/>
      <c r="AK437" s="45" t="s">
        <v>78</v>
      </c>
      <c r="AL437" s="45">
        <v>7</v>
      </c>
      <c r="AM437" s="45">
        <v>31</v>
      </c>
      <c r="AN437" s="45">
        <v>4.4285714289999998</v>
      </c>
      <c r="AO437" s="45">
        <v>0.28571428599999998</v>
      </c>
      <c r="AP437" s="45"/>
      <c r="AQ437" s="45"/>
      <c r="AR437" s="45"/>
    </row>
    <row r="438" spans="1:44" x14ac:dyDescent="0.35">
      <c r="A438">
        <v>4</v>
      </c>
      <c r="B438">
        <v>1</v>
      </c>
      <c r="C438">
        <v>5</v>
      </c>
      <c r="D438">
        <v>2</v>
      </c>
      <c r="E438">
        <v>2</v>
      </c>
      <c r="F438">
        <v>5</v>
      </c>
      <c r="G438">
        <v>5</v>
      </c>
      <c r="H438" s="25">
        <f t="shared" si="91"/>
        <v>4</v>
      </c>
      <c r="I438" s="25">
        <f t="shared" si="92"/>
        <v>5</v>
      </c>
      <c r="J438" s="25">
        <f t="shared" si="93"/>
        <v>5</v>
      </c>
      <c r="K438" s="25">
        <f t="shared" si="94"/>
        <v>4</v>
      </c>
      <c r="L438" s="25">
        <f t="shared" si="95"/>
        <v>4</v>
      </c>
      <c r="M438" s="25">
        <f t="shared" si="96"/>
        <v>5</v>
      </c>
      <c r="N438" s="25">
        <f t="shared" si="97"/>
        <v>5</v>
      </c>
      <c r="O438" s="32">
        <f t="shared" si="98"/>
        <v>-5.6401471461296142E-2</v>
      </c>
      <c r="P438" s="32">
        <f t="shared" si="99"/>
        <v>1.0418053570413823</v>
      </c>
      <c r="Q438" s="32">
        <f t="shared" si="100"/>
        <v>0.80698132232978881</v>
      </c>
      <c r="R438" s="32">
        <f t="shared" si="101"/>
        <v>0.21586162773242673</v>
      </c>
      <c r="S438" s="32">
        <f t="shared" si="102"/>
        <v>2.4129647679270144E-2</v>
      </c>
      <c r="T438" s="32">
        <f t="shared" si="103"/>
        <v>0.81206041627470116</v>
      </c>
      <c r="U438" s="32">
        <f t="shared" si="104"/>
        <v>0.80563658408767735</v>
      </c>
      <c r="V438" s="37">
        <f t="shared" si="105"/>
        <v>0.52143906909770721</v>
      </c>
      <c r="W438"/>
      <c r="AK438" s="45" t="s">
        <v>78</v>
      </c>
      <c r="AL438" s="45">
        <v>7</v>
      </c>
      <c r="AM438" s="45">
        <v>32</v>
      </c>
      <c r="AN438" s="45">
        <v>4.5714285710000002</v>
      </c>
      <c r="AO438" s="45">
        <v>0.28571428599999998</v>
      </c>
      <c r="AP438" s="45"/>
      <c r="AQ438" s="45"/>
      <c r="AR438" s="45"/>
    </row>
    <row r="439" spans="1:44" x14ac:dyDescent="0.35">
      <c r="A439">
        <v>5</v>
      </c>
      <c r="B439">
        <v>1</v>
      </c>
      <c r="C439">
        <v>5</v>
      </c>
      <c r="D439">
        <v>2</v>
      </c>
      <c r="E439">
        <v>2</v>
      </c>
      <c r="F439">
        <v>5</v>
      </c>
      <c r="G439">
        <v>5</v>
      </c>
      <c r="H439" s="25">
        <f t="shared" si="91"/>
        <v>5</v>
      </c>
      <c r="I439" s="25">
        <f t="shared" si="92"/>
        <v>5</v>
      </c>
      <c r="J439" s="25">
        <f t="shared" si="93"/>
        <v>5</v>
      </c>
      <c r="K439" s="25">
        <f t="shared" si="94"/>
        <v>4</v>
      </c>
      <c r="L439" s="25">
        <f t="shared" si="95"/>
        <v>4</v>
      </c>
      <c r="M439" s="25">
        <f t="shared" si="96"/>
        <v>5</v>
      </c>
      <c r="N439" s="25">
        <f t="shared" si="97"/>
        <v>5</v>
      </c>
      <c r="O439" s="32">
        <f t="shared" si="98"/>
        <v>0.84420266961423651</v>
      </c>
      <c r="P439" s="32">
        <f t="shared" si="99"/>
        <v>1.0418053570413823</v>
      </c>
      <c r="Q439" s="32">
        <f t="shared" si="100"/>
        <v>0.80698132232978881</v>
      </c>
      <c r="R439" s="32">
        <f t="shared" si="101"/>
        <v>0.21586162773242673</v>
      </c>
      <c r="S439" s="32">
        <f t="shared" si="102"/>
        <v>2.4129647679270144E-2</v>
      </c>
      <c r="T439" s="32">
        <f t="shared" si="103"/>
        <v>0.81206041627470116</v>
      </c>
      <c r="U439" s="32">
        <f t="shared" si="104"/>
        <v>0.80563658408767735</v>
      </c>
      <c r="V439" s="37">
        <f t="shared" si="105"/>
        <v>0.650096803537069</v>
      </c>
      <c r="W439"/>
      <c r="AK439" s="45" t="s">
        <v>78</v>
      </c>
      <c r="AL439" s="45">
        <v>7</v>
      </c>
      <c r="AM439" s="45">
        <v>32</v>
      </c>
      <c r="AN439" s="45">
        <v>4.5714285710000002</v>
      </c>
      <c r="AO439" s="45">
        <v>0.28571428599999998</v>
      </c>
      <c r="AP439" s="45"/>
      <c r="AQ439" s="45"/>
      <c r="AR439" s="45"/>
    </row>
    <row r="440" spans="1:44" x14ac:dyDescent="0.35">
      <c r="A440">
        <v>4</v>
      </c>
      <c r="B440">
        <v>2</v>
      </c>
      <c r="C440">
        <v>5</v>
      </c>
      <c r="D440">
        <v>2</v>
      </c>
      <c r="E440">
        <v>2</v>
      </c>
      <c r="F440">
        <v>5</v>
      </c>
      <c r="G440">
        <v>5</v>
      </c>
      <c r="H440" s="25">
        <f t="shared" si="91"/>
        <v>4</v>
      </c>
      <c r="I440" s="25">
        <f t="shared" si="92"/>
        <v>4</v>
      </c>
      <c r="J440" s="25">
        <f t="shared" si="93"/>
        <v>5</v>
      </c>
      <c r="K440" s="25">
        <f t="shared" si="94"/>
        <v>4</v>
      </c>
      <c r="L440" s="25">
        <f t="shared" si="95"/>
        <v>4</v>
      </c>
      <c r="M440" s="25">
        <f t="shared" si="96"/>
        <v>5</v>
      </c>
      <c r="N440" s="25">
        <f t="shared" si="97"/>
        <v>5</v>
      </c>
      <c r="O440" s="32">
        <f t="shared" si="98"/>
        <v>-5.6401471461296142E-2</v>
      </c>
      <c r="P440" s="32">
        <f t="shared" si="99"/>
        <v>0.26360832519077404</v>
      </c>
      <c r="Q440" s="32">
        <f t="shared" si="100"/>
        <v>0.80698132232978881</v>
      </c>
      <c r="R440" s="32">
        <f t="shared" si="101"/>
        <v>0.21586162773242673</v>
      </c>
      <c r="S440" s="32">
        <f t="shared" si="102"/>
        <v>2.4129647679270144E-2</v>
      </c>
      <c r="T440" s="32">
        <f t="shared" si="103"/>
        <v>0.81206041627470116</v>
      </c>
      <c r="U440" s="32">
        <f t="shared" si="104"/>
        <v>0.80563658408767735</v>
      </c>
      <c r="V440" s="37">
        <f t="shared" si="105"/>
        <v>0.41026806454762027</v>
      </c>
      <c r="W440"/>
      <c r="AK440" s="45" t="s">
        <v>78</v>
      </c>
      <c r="AL440" s="45">
        <v>7</v>
      </c>
      <c r="AM440" s="45">
        <v>30</v>
      </c>
      <c r="AN440" s="45">
        <v>4.2857142860000002</v>
      </c>
      <c r="AO440" s="45">
        <v>0.23809523799999999</v>
      </c>
      <c r="AP440" s="45"/>
      <c r="AQ440" s="45"/>
      <c r="AR440" s="45"/>
    </row>
    <row r="441" spans="1:44" x14ac:dyDescent="0.35">
      <c r="A441">
        <v>5</v>
      </c>
      <c r="B441">
        <v>2</v>
      </c>
      <c r="C441">
        <v>5</v>
      </c>
      <c r="D441">
        <v>2</v>
      </c>
      <c r="E441">
        <v>2</v>
      </c>
      <c r="F441">
        <v>5</v>
      </c>
      <c r="G441">
        <v>5</v>
      </c>
      <c r="H441" s="25">
        <f t="shared" si="91"/>
        <v>5</v>
      </c>
      <c r="I441" s="25">
        <f t="shared" si="92"/>
        <v>4</v>
      </c>
      <c r="J441" s="25">
        <f t="shared" si="93"/>
        <v>5</v>
      </c>
      <c r="K441" s="25">
        <f t="shared" si="94"/>
        <v>4</v>
      </c>
      <c r="L441" s="25">
        <f t="shared" si="95"/>
        <v>4</v>
      </c>
      <c r="M441" s="25">
        <f t="shared" si="96"/>
        <v>5</v>
      </c>
      <c r="N441" s="25">
        <f t="shared" si="97"/>
        <v>5</v>
      </c>
      <c r="O441" s="32">
        <f t="shared" si="98"/>
        <v>0.84420266961423651</v>
      </c>
      <c r="P441" s="32">
        <f t="shared" si="99"/>
        <v>0.26360832519077404</v>
      </c>
      <c r="Q441" s="32">
        <f t="shared" si="100"/>
        <v>0.80698132232978881</v>
      </c>
      <c r="R441" s="32">
        <f t="shared" si="101"/>
        <v>0.21586162773242673</v>
      </c>
      <c r="S441" s="32">
        <f t="shared" si="102"/>
        <v>2.4129647679270144E-2</v>
      </c>
      <c r="T441" s="32">
        <f t="shared" si="103"/>
        <v>0.81206041627470116</v>
      </c>
      <c r="U441" s="32">
        <f t="shared" si="104"/>
        <v>0.80563658408767735</v>
      </c>
      <c r="V441" s="37">
        <f t="shared" si="105"/>
        <v>0.53892579898698212</v>
      </c>
      <c r="W441"/>
      <c r="AK441" s="45" t="s">
        <v>78</v>
      </c>
      <c r="AL441" s="45">
        <v>7</v>
      </c>
      <c r="AM441" s="45">
        <v>32</v>
      </c>
      <c r="AN441" s="45">
        <v>4.5714285710000002</v>
      </c>
      <c r="AO441" s="45">
        <v>0.28571428599999998</v>
      </c>
      <c r="AP441" s="45"/>
      <c r="AQ441" s="45"/>
      <c r="AR441" s="45"/>
    </row>
    <row r="442" spans="1:44" x14ac:dyDescent="0.35">
      <c r="A442">
        <v>5</v>
      </c>
      <c r="B442">
        <v>2</v>
      </c>
      <c r="C442">
        <v>5</v>
      </c>
      <c r="D442">
        <v>2</v>
      </c>
      <c r="E442">
        <v>2</v>
      </c>
      <c r="F442">
        <v>5</v>
      </c>
      <c r="G442">
        <v>5</v>
      </c>
      <c r="H442" s="25">
        <f t="shared" si="91"/>
        <v>5</v>
      </c>
      <c r="I442" s="25">
        <f t="shared" si="92"/>
        <v>4</v>
      </c>
      <c r="J442" s="25">
        <f t="shared" si="93"/>
        <v>5</v>
      </c>
      <c r="K442" s="25">
        <f t="shared" si="94"/>
        <v>4</v>
      </c>
      <c r="L442" s="25">
        <f t="shared" si="95"/>
        <v>4</v>
      </c>
      <c r="M442" s="25">
        <f t="shared" si="96"/>
        <v>5</v>
      </c>
      <c r="N442" s="25">
        <f t="shared" si="97"/>
        <v>5</v>
      </c>
      <c r="O442" s="32">
        <f t="shared" si="98"/>
        <v>0.84420266961423651</v>
      </c>
      <c r="P442" s="32">
        <f t="shared" si="99"/>
        <v>0.26360832519077404</v>
      </c>
      <c r="Q442" s="32">
        <f t="shared" si="100"/>
        <v>0.80698132232978881</v>
      </c>
      <c r="R442" s="32">
        <f t="shared" si="101"/>
        <v>0.21586162773242673</v>
      </c>
      <c r="S442" s="32">
        <f t="shared" si="102"/>
        <v>2.4129647679270144E-2</v>
      </c>
      <c r="T442" s="32">
        <f t="shared" si="103"/>
        <v>0.81206041627470116</v>
      </c>
      <c r="U442" s="32">
        <f t="shared" si="104"/>
        <v>0.80563658408767735</v>
      </c>
      <c r="V442" s="37">
        <f t="shared" si="105"/>
        <v>0.53892579898698212</v>
      </c>
      <c r="W442"/>
      <c r="AK442" s="45" t="s">
        <v>78</v>
      </c>
      <c r="AL442" s="45">
        <v>7</v>
      </c>
      <c r="AM442" s="45">
        <v>33</v>
      </c>
      <c r="AN442" s="45">
        <v>4.7142857139999998</v>
      </c>
      <c r="AO442" s="45">
        <v>0.23809523799999999</v>
      </c>
      <c r="AP442" s="45"/>
      <c r="AQ442" s="45"/>
      <c r="AR442" s="45"/>
    </row>
    <row r="443" spans="1:44" x14ac:dyDescent="0.35">
      <c r="A443">
        <v>4</v>
      </c>
      <c r="B443">
        <v>3</v>
      </c>
      <c r="C443">
        <v>5</v>
      </c>
      <c r="D443">
        <v>2</v>
      </c>
      <c r="E443">
        <v>2</v>
      </c>
      <c r="F443">
        <v>5</v>
      </c>
      <c r="G443">
        <v>5</v>
      </c>
      <c r="H443" s="25">
        <f t="shared" si="91"/>
        <v>4</v>
      </c>
      <c r="I443" s="25">
        <f t="shared" si="92"/>
        <v>3</v>
      </c>
      <c r="J443" s="25">
        <f t="shared" si="93"/>
        <v>5</v>
      </c>
      <c r="K443" s="25">
        <f t="shared" si="94"/>
        <v>4</v>
      </c>
      <c r="L443" s="25">
        <f t="shared" si="95"/>
        <v>4</v>
      </c>
      <c r="M443" s="25">
        <f t="shared" si="96"/>
        <v>5</v>
      </c>
      <c r="N443" s="25">
        <f t="shared" si="97"/>
        <v>5</v>
      </c>
      <c r="O443" s="32">
        <f t="shared" si="98"/>
        <v>-5.6401471461296142E-2</v>
      </c>
      <c r="P443" s="32">
        <f t="shared" si="99"/>
        <v>-0.51458870665983425</v>
      </c>
      <c r="Q443" s="32">
        <f t="shared" si="100"/>
        <v>0.80698132232978881</v>
      </c>
      <c r="R443" s="32">
        <f t="shared" si="101"/>
        <v>0.21586162773242673</v>
      </c>
      <c r="S443" s="32">
        <f t="shared" si="102"/>
        <v>2.4129647679270144E-2</v>
      </c>
      <c r="T443" s="32">
        <f t="shared" si="103"/>
        <v>0.81206041627470116</v>
      </c>
      <c r="U443" s="32">
        <f t="shared" si="104"/>
        <v>0.80563658408767735</v>
      </c>
      <c r="V443" s="37">
        <f t="shared" si="105"/>
        <v>0.29909705999753339</v>
      </c>
      <c r="W443"/>
      <c r="AK443" s="45" t="s">
        <v>78</v>
      </c>
      <c r="AL443" s="45">
        <v>7</v>
      </c>
      <c r="AM443" s="45">
        <v>31</v>
      </c>
      <c r="AN443" s="45">
        <v>4.4285714289999998</v>
      </c>
      <c r="AO443" s="45">
        <v>0.28571428599999998</v>
      </c>
      <c r="AP443" s="45"/>
      <c r="AQ443" s="45"/>
      <c r="AR443" s="45"/>
    </row>
    <row r="444" spans="1:44" x14ac:dyDescent="0.35">
      <c r="A444">
        <v>5</v>
      </c>
      <c r="B444">
        <v>3</v>
      </c>
      <c r="C444">
        <v>5</v>
      </c>
      <c r="D444">
        <v>2</v>
      </c>
      <c r="E444">
        <v>2</v>
      </c>
      <c r="F444">
        <v>5</v>
      </c>
      <c r="G444">
        <v>5</v>
      </c>
      <c r="H444" s="25">
        <f t="shared" si="91"/>
        <v>5</v>
      </c>
      <c r="I444" s="25">
        <f t="shared" si="92"/>
        <v>3</v>
      </c>
      <c r="J444" s="25">
        <f t="shared" si="93"/>
        <v>5</v>
      </c>
      <c r="K444" s="25">
        <f t="shared" si="94"/>
        <v>4</v>
      </c>
      <c r="L444" s="25">
        <f t="shared" si="95"/>
        <v>4</v>
      </c>
      <c r="M444" s="25">
        <f t="shared" si="96"/>
        <v>5</v>
      </c>
      <c r="N444" s="25">
        <f t="shared" si="97"/>
        <v>5</v>
      </c>
      <c r="O444" s="32">
        <f t="shared" si="98"/>
        <v>0.84420266961423651</v>
      </c>
      <c r="P444" s="32">
        <f t="shared" si="99"/>
        <v>-0.51458870665983425</v>
      </c>
      <c r="Q444" s="32">
        <f t="shared" si="100"/>
        <v>0.80698132232978881</v>
      </c>
      <c r="R444" s="32">
        <f t="shared" si="101"/>
        <v>0.21586162773242673</v>
      </c>
      <c r="S444" s="32">
        <f t="shared" si="102"/>
        <v>2.4129647679270144E-2</v>
      </c>
      <c r="T444" s="32">
        <f t="shared" si="103"/>
        <v>0.81206041627470116</v>
      </c>
      <c r="U444" s="32">
        <f t="shared" si="104"/>
        <v>0.80563658408767735</v>
      </c>
      <c r="V444" s="37">
        <f t="shared" si="105"/>
        <v>0.42775479443689524</v>
      </c>
      <c r="W444"/>
      <c r="AK444" s="45" t="s">
        <v>78</v>
      </c>
      <c r="AL444" s="45">
        <v>7</v>
      </c>
      <c r="AM444" s="45">
        <v>32</v>
      </c>
      <c r="AN444" s="45">
        <v>4.5714285710000002</v>
      </c>
      <c r="AO444" s="45">
        <v>0.28571428599999998</v>
      </c>
      <c r="AP444" s="45"/>
      <c r="AQ444" s="45"/>
      <c r="AR444" s="45"/>
    </row>
    <row r="445" spans="1:44" x14ac:dyDescent="0.35">
      <c r="A445">
        <v>4</v>
      </c>
      <c r="B445">
        <v>1</v>
      </c>
      <c r="C445">
        <v>4</v>
      </c>
      <c r="D445">
        <v>3</v>
      </c>
      <c r="E445">
        <v>2</v>
      </c>
      <c r="F445">
        <v>5</v>
      </c>
      <c r="G445">
        <v>5</v>
      </c>
      <c r="H445" s="25">
        <f t="shared" si="91"/>
        <v>4</v>
      </c>
      <c r="I445" s="25">
        <f t="shared" si="92"/>
        <v>5</v>
      </c>
      <c r="J445" s="25">
        <f t="shared" si="93"/>
        <v>4</v>
      </c>
      <c r="K445" s="25">
        <f t="shared" si="94"/>
        <v>3</v>
      </c>
      <c r="L445" s="25">
        <f t="shared" si="95"/>
        <v>4</v>
      </c>
      <c r="M445" s="25">
        <f t="shared" si="96"/>
        <v>5</v>
      </c>
      <c r="N445" s="25">
        <f t="shared" si="97"/>
        <v>5</v>
      </c>
      <c r="O445" s="32">
        <f t="shared" si="98"/>
        <v>-5.6401471461296142E-2</v>
      </c>
      <c r="P445" s="32">
        <f t="shared" si="99"/>
        <v>1.0418053570413823</v>
      </c>
      <c r="Q445" s="32">
        <f t="shared" si="100"/>
        <v>-9.6984149849158471E-2</v>
      </c>
      <c r="R445" s="32">
        <f t="shared" si="101"/>
        <v>-0.61891576076406762</v>
      </c>
      <c r="S445" s="32">
        <f t="shared" si="102"/>
        <v>2.4129647679270144E-2</v>
      </c>
      <c r="T445" s="32">
        <f t="shared" si="103"/>
        <v>0.81206041627470116</v>
      </c>
      <c r="U445" s="32">
        <f t="shared" si="104"/>
        <v>0.80563658408767735</v>
      </c>
      <c r="V445" s="37">
        <f t="shared" si="105"/>
        <v>0.27304723185835839</v>
      </c>
      <c r="W445"/>
      <c r="AK445" s="45" t="s">
        <v>78</v>
      </c>
      <c r="AL445" s="45">
        <v>7</v>
      </c>
      <c r="AM445" s="45">
        <v>32</v>
      </c>
      <c r="AN445" s="45">
        <v>4.5714285710000002</v>
      </c>
      <c r="AO445" s="45">
        <v>0.28571428599999998</v>
      </c>
      <c r="AP445" s="45"/>
      <c r="AQ445" s="45"/>
      <c r="AR445" s="45"/>
    </row>
    <row r="446" spans="1:44" x14ac:dyDescent="0.35">
      <c r="A446">
        <v>4</v>
      </c>
      <c r="B446">
        <v>5</v>
      </c>
      <c r="C446">
        <v>4</v>
      </c>
      <c r="D446">
        <v>3</v>
      </c>
      <c r="E446">
        <v>2</v>
      </c>
      <c r="F446">
        <v>5</v>
      </c>
      <c r="G446">
        <v>5</v>
      </c>
      <c r="H446" s="25">
        <f t="shared" si="91"/>
        <v>4</v>
      </c>
      <c r="I446" s="25">
        <f t="shared" si="92"/>
        <v>1</v>
      </c>
      <c r="J446" s="25">
        <f t="shared" si="93"/>
        <v>4</v>
      </c>
      <c r="K446" s="25">
        <f t="shared" si="94"/>
        <v>3</v>
      </c>
      <c r="L446" s="25">
        <f t="shared" si="95"/>
        <v>4</v>
      </c>
      <c r="M446" s="25">
        <f t="shared" si="96"/>
        <v>5</v>
      </c>
      <c r="N446" s="25">
        <f t="shared" si="97"/>
        <v>5</v>
      </c>
      <c r="O446" s="32">
        <f t="shared" si="98"/>
        <v>-5.6401471461296142E-2</v>
      </c>
      <c r="P446" s="32">
        <f t="shared" si="99"/>
        <v>-2.0709827703610508</v>
      </c>
      <c r="Q446" s="32">
        <f t="shared" si="100"/>
        <v>-9.6984149849158471E-2</v>
      </c>
      <c r="R446" s="32">
        <f t="shared" si="101"/>
        <v>-0.61891576076406762</v>
      </c>
      <c r="S446" s="32">
        <f t="shared" si="102"/>
        <v>2.4129647679270144E-2</v>
      </c>
      <c r="T446" s="32">
        <f t="shared" si="103"/>
        <v>0.81206041627470116</v>
      </c>
      <c r="U446" s="32">
        <f t="shared" si="104"/>
        <v>0.80563658408767735</v>
      </c>
      <c r="V446" s="37">
        <f t="shared" si="105"/>
        <v>-0.17163678634198917</v>
      </c>
      <c r="W446"/>
      <c r="AK446" s="45" t="s">
        <v>78</v>
      </c>
      <c r="AL446" s="45">
        <v>7</v>
      </c>
      <c r="AM446" s="45">
        <v>30</v>
      </c>
      <c r="AN446" s="45">
        <v>4.2857142860000002</v>
      </c>
      <c r="AO446" s="45">
        <v>0.571428571</v>
      </c>
      <c r="AP446" s="45"/>
      <c r="AQ446" s="45"/>
      <c r="AR446" s="45"/>
    </row>
    <row r="447" spans="1:44" x14ac:dyDescent="0.35">
      <c r="A447">
        <v>5</v>
      </c>
      <c r="B447">
        <v>2</v>
      </c>
      <c r="C447">
        <v>5</v>
      </c>
      <c r="D447">
        <v>3</v>
      </c>
      <c r="E447">
        <v>2</v>
      </c>
      <c r="F447">
        <v>5</v>
      </c>
      <c r="G447">
        <v>5</v>
      </c>
      <c r="H447" s="25">
        <f t="shared" si="91"/>
        <v>5</v>
      </c>
      <c r="I447" s="25">
        <f t="shared" si="92"/>
        <v>4</v>
      </c>
      <c r="J447" s="25">
        <f t="shared" si="93"/>
        <v>5</v>
      </c>
      <c r="K447" s="25">
        <f t="shared" si="94"/>
        <v>3</v>
      </c>
      <c r="L447" s="25">
        <f t="shared" si="95"/>
        <v>4</v>
      </c>
      <c r="M447" s="25">
        <f t="shared" si="96"/>
        <v>5</v>
      </c>
      <c r="N447" s="25">
        <f t="shared" si="97"/>
        <v>5</v>
      </c>
      <c r="O447" s="32">
        <f t="shared" si="98"/>
        <v>0.84420266961423651</v>
      </c>
      <c r="P447" s="32">
        <f t="shared" si="99"/>
        <v>0.26360832519077404</v>
      </c>
      <c r="Q447" s="32">
        <f t="shared" si="100"/>
        <v>0.80698132232978881</v>
      </c>
      <c r="R447" s="32">
        <f t="shared" si="101"/>
        <v>-0.61891576076406762</v>
      </c>
      <c r="S447" s="32">
        <f t="shared" si="102"/>
        <v>2.4129647679270144E-2</v>
      </c>
      <c r="T447" s="32">
        <f t="shared" si="103"/>
        <v>0.81206041627470116</v>
      </c>
      <c r="U447" s="32">
        <f t="shared" si="104"/>
        <v>0.80563658408767735</v>
      </c>
      <c r="V447" s="37">
        <f t="shared" si="105"/>
        <v>0.41967188634462577</v>
      </c>
      <c r="W447"/>
      <c r="AK447" s="45" t="s">
        <v>78</v>
      </c>
      <c r="AL447" s="45">
        <v>7</v>
      </c>
      <c r="AM447" s="45">
        <v>31</v>
      </c>
      <c r="AN447" s="45">
        <v>4.4285714289999998</v>
      </c>
      <c r="AO447" s="45">
        <v>0.61904761900000005</v>
      </c>
      <c r="AP447" s="45"/>
      <c r="AQ447" s="45"/>
      <c r="AR447" s="45"/>
    </row>
    <row r="448" spans="1:44" x14ac:dyDescent="0.35">
      <c r="A448">
        <v>5</v>
      </c>
      <c r="B448">
        <v>4</v>
      </c>
      <c r="C448">
        <v>5</v>
      </c>
      <c r="D448">
        <v>3</v>
      </c>
      <c r="E448">
        <v>2</v>
      </c>
      <c r="F448">
        <v>5</v>
      </c>
      <c r="G448">
        <v>5</v>
      </c>
      <c r="H448" s="25">
        <f t="shared" si="91"/>
        <v>5</v>
      </c>
      <c r="I448" s="25">
        <f t="shared" si="92"/>
        <v>2</v>
      </c>
      <c r="J448" s="25">
        <f t="shared" si="93"/>
        <v>5</v>
      </c>
      <c r="K448" s="25">
        <f t="shared" si="94"/>
        <v>3</v>
      </c>
      <c r="L448" s="25">
        <f t="shared" si="95"/>
        <v>4</v>
      </c>
      <c r="M448" s="25">
        <f t="shared" si="96"/>
        <v>5</v>
      </c>
      <c r="N448" s="25">
        <f t="shared" si="97"/>
        <v>5</v>
      </c>
      <c r="O448" s="32">
        <f t="shared" si="98"/>
        <v>0.84420266961423651</v>
      </c>
      <c r="P448" s="32">
        <f t="shared" si="99"/>
        <v>-1.2927857385104427</v>
      </c>
      <c r="Q448" s="32">
        <f t="shared" si="100"/>
        <v>0.80698132232978881</v>
      </c>
      <c r="R448" s="32">
        <f t="shared" si="101"/>
        <v>-0.61891576076406762</v>
      </c>
      <c r="S448" s="32">
        <f t="shared" si="102"/>
        <v>2.4129647679270144E-2</v>
      </c>
      <c r="T448" s="32">
        <f t="shared" si="103"/>
        <v>0.81206041627470116</v>
      </c>
      <c r="U448" s="32">
        <f t="shared" si="104"/>
        <v>0.80563658408767735</v>
      </c>
      <c r="V448" s="37">
        <f t="shared" si="105"/>
        <v>0.19732987724445197</v>
      </c>
      <c r="W448"/>
      <c r="AK448" s="45" t="s">
        <v>78</v>
      </c>
      <c r="AL448" s="45">
        <v>7</v>
      </c>
      <c r="AM448" s="45">
        <v>30</v>
      </c>
      <c r="AN448" s="45">
        <v>4.2857142860000002</v>
      </c>
      <c r="AO448" s="45">
        <v>0.571428571</v>
      </c>
      <c r="AP448" s="45"/>
      <c r="AQ448" s="45"/>
      <c r="AR448" s="45"/>
    </row>
    <row r="449" spans="1:44" x14ac:dyDescent="0.35">
      <c r="A449">
        <v>5</v>
      </c>
      <c r="B449">
        <v>1</v>
      </c>
      <c r="C449">
        <v>5</v>
      </c>
      <c r="D449">
        <v>4</v>
      </c>
      <c r="E449">
        <v>2</v>
      </c>
      <c r="F449">
        <v>5</v>
      </c>
      <c r="G449">
        <v>5</v>
      </c>
      <c r="H449" s="25">
        <f t="shared" si="91"/>
        <v>5</v>
      </c>
      <c r="I449" s="25">
        <f t="shared" si="92"/>
        <v>5</v>
      </c>
      <c r="J449" s="25">
        <f t="shared" si="93"/>
        <v>5</v>
      </c>
      <c r="K449" s="25">
        <f t="shared" si="94"/>
        <v>2</v>
      </c>
      <c r="L449" s="25">
        <f t="shared" si="95"/>
        <v>4</v>
      </c>
      <c r="M449" s="25">
        <f t="shared" si="96"/>
        <v>5</v>
      </c>
      <c r="N449" s="25">
        <f t="shared" si="97"/>
        <v>5</v>
      </c>
      <c r="O449" s="32">
        <f t="shared" si="98"/>
        <v>0.84420266961423651</v>
      </c>
      <c r="P449" s="32">
        <f t="shared" si="99"/>
        <v>1.0418053570413823</v>
      </c>
      <c r="Q449" s="32">
        <f t="shared" si="100"/>
        <v>0.80698132232978881</v>
      </c>
      <c r="R449" s="32">
        <f t="shared" si="101"/>
        <v>-1.453693149260562</v>
      </c>
      <c r="S449" s="32">
        <f t="shared" si="102"/>
        <v>2.4129647679270144E-2</v>
      </c>
      <c r="T449" s="32">
        <f t="shared" si="103"/>
        <v>0.81206041627470116</v>
      </c>
      <c r="U449" s="32">
        <f t="shared" si="104"/>
        <v>0.80563658408767735</v>
      </c>
      <c r="V449" s="37">
        <f t="shared" si="105"/>
        <v>0.41158897825235624</v>
      </c>
      <c r="W449"/>
      <c r="AK449" s="45" t="s">
        <v>78</v>
      </c>
      <c r="AL449" s="45">
        <v>7</v>
      </c>
      <c r="AM449" s="45">
        <v>26</v>
      </c>
      <c r="AN449" s="45">
        <v>3.7142857139999998</v>
      </c>
      <c r="AO449" s="45">
        <v>1.904761905</v>
      </c>
      <c r="AP449" s="45"/>
      <c r="AQ449" s="45"/>
      <c r="AR449" s="45"/>
    </row>
    <row r="450" spans="1:44" x14ac:dyDescent="0.35">
      <c r="A450">
        <v>5</v>
      </c>
      <c r="B450">
        <v>1</v>
      </c>
      <c r="C450">
        <v>2</v>
      </c>
      <c r="D450">
        <v>5</v>
      </c>
      <c r="E450">
        <v>2</v>
      </c>
      <c r="F450">
        <v>5</v>
      </c>
      <c r="G450">
        <v>5</v>
      </c>
      <c r="H450" s="25">
        <f t="shared" ref="H450:H490" si="106">IF(ISBLANK(A450),"",A450)</f>
        <v>5</v>
      </c>
      <c r="I450" s="25">
        <f t="shared" ref="I450:I490" si="107">IF(ISBLANK(B450),"",6-B450)</f>
        <v>5</v>
      </c>
      <c r="J450" s="25">
        <f t="shared" ref="J450:J490" si="108">IF(ISBLANK(C450),"",C450)</f>
        <v>2</v>
      </c>
      <c r="K450" s="25">
        <f t="shared" ref="K450:K490" si="109">IF(ISBLANK(D450),"",6-D450)</f>
        <v>1</v>
      </c>
      <c r="L450" s="25">
        <f t="shared" ref="L450:L490" si="110">IF(ISBLANK(E450),"",6-E450)</f>
        <v>4</v>
      </c>
      <c r="M450" s="25">
        <f t="shared" ref="M450:M490" si="111">IF(ISBLANK(F450),"",F450)</f>
        <v>5</v>
      </c>
      <c r="N450" s="25">
        <f t="shared" ref="N450:N490" si="112">IF(ISBLANK(G450),"",G450)</f>
        <v>5</v>
      </c>
      <c r="O450" s="32">
        <f t="shared" ref="O450:O490" si="113">IF(ISTEXT(H450),"",STANDARDIZE(H450,H$500,H$501))</f>
        <v>0.84420266961423651</v>
      </c>
      <c r="P450" s="32">
        <f t="shared" ref="P450:P490" si="114">IF(ISTEXT(I450),"",STANDARDIZE(I450,I$500,I$501))</f>
        <v>1.0418053570413823</v>
      </c>
      <c r="Q450" s="32">
        <f t="shared" ref="Q450:Q490" si="115">IF(ISTEXT(J450),"",STANDARDIZE(J450,J$500,J$501))</f>
        <v>-1.904915094207053</v>
      </c>
      <c r="R450" s="32">
        <f t="shared" ref="R450:R490" si="116">IF(ISTEXT(K450),"",STANDARDIZE(K450,K$500,K$501))</f>
        <v>-2.2884705377570564</v>
      </c>
      <c r="S450" s="32">
        <f t="shared" ref="S450:S490" si="117">IF(ISTEXT(L450),"",STANDARDIZE(L450,L$500,L$501))</f>
        <v>2.4129647679270144E-2</v>
      </c>
      <c r="T450" s="32">
        <f t="shared" ref="T450:T490" si="118">IF(ISTEXT(M450),"",STANDARDIZE(M450,M$500,M$501))</f>
        <v>0.81206041627470116</v>
      </c>
      <c r="U450" s="32">
        <f t="shared" ref="U450:U490" si="119">IF(ISTEXT(N450),"",STANDARDIZE(N450,N$500,N$501))</f>
        <v>0.80563658408767735</v>
      </c>
      <c r="V450" s="37">
        <f t="shared" ref="V450:V490" si="120">AVERAGE(O450:U450)</f>
        <v>-9.5078708180977384E-2</v>
      </c>
      <c r="W450"/>
      <c r="AK450" s="45" t="s">
        <v>78</v>
      </c>
      <c r="AL450" s="45">
        <v>7</v>
      </c>
      <c r="AM450" s="45">
        <v>31</v>
      </c>
      <c r="AN450" s="45">
        <v>4.4285714289999998</v>
      </c>
      <c r="AO450" s="45">
        <v>0.61904761900000005</v>
      </c>
      <c r="AP450" s="45"/>
      <c r="AQ450" s="45"/>
      <c r="AR450" s="45"/>
    </row>
    <row r="451" spans="1:44" x14ac:dyDescent="0.35">
      <c r="A451">
        <v>3</v>
      </c>
      <c r="B451">
        <v>2</v>
      </c>
      <c r="C451">
        <v>4</v>
      </c>
      <c r="D451">
        <v>1</v>
      </c>
      <c r="E451">
        <v>3</v>
      </c>
      <c r="F451">
        <v>5</v>
      </c>
      <c r="G451">
        <v>5</v>
      </c>
      <c r="H451" s="25">
        <f t="shared" si="106"/>
        <v>3</v>
      </c>
      <c r="I451" s="25">
        <f t="shared" si="107"/>
        <v>4</v>
      </c>
      <c r="J451" s="25">
        <f t="shared" si="108"/>
        <v>4</v>
      </c>
      <c r="K451" s="25">
        <f t="shared" si="109"/>
        <v>5</v>
      </c>
      <c r="L451" s="25">
        <f t="shared" si="110"/>
        <v>3</v>
      </c>
      <c r="M451" s="25">
        <f t="shared" si="111"/>
        <v>5</v>
      </c>
      <c r="N451" s="25">
        <f t="shared" si="112"/>
        <v>5</v>
      </c>
      <c r="O451" s="32">
        <f t="shared" si="113"/>
        <v>-0.95700561253682881</v>
      </c>
      <c r="P451" s="32">
        <f t="shared" si="114"/>
        <v>0.26360832519077404</v>
      </c>
      <c r="Q451" s="32">
        <f t="shared" si="115"/>
        <v>-9.6984149849158471E-2</v>
      </c>
      <c r="R451" s="32">
        <f t="shared" si="116"/>
        <v>1.0506390162289212</v>
      </c>
      <c r="S451" s="32">
        <f t="shared" si="117"/>
        <v>-0.82040802109518784</v>
      </c>
      <c r="T451" s="32">
        <f t="shared" si="118"/>
        <v>0.81206041627470116</v>
      </c>
      <c r="U451" s="32">
        <f t="shared" si="119"/>
        <v>0.80563658408767735</v>
      </c>
      <c r="V451" s="37">
        <f t="shared" si="120"/>
        <v>0.15107807975727125</v>
      </c>
      <c r="W451"/>
      <c r="AK451" s="45" t="s">
        <v>78</v>
      </c>
      <c r="AL451" s="45">
        <v>7</v>
      </c>
      <c r="AM451" s="45">
        <v>29</v>
      </c>
      <c r="AN451" s="45">
        <v>4.1428571429999996</v>
      </c>
      <c r="AO451" s="45">
        <v>1.476190476</v>
      </c>
      <c r="AP451" s="45"/>
      <c r="AQ451" s="45"/>
      <c r="AR451" s="45"/>
    </row>
    <row r="452" spans="1:44" x14ac:dyDescent="0.35">
      <c r="A452">
        <v>1</v>
      </c>
      <c r="B452">
        <v>1</v>
      </c>
      <c r="C452">
        <v>5</v>
      </c>
      <c r="D452">
        <v>1</v>
      </c>
      <c r="E452">
        <v>3</v>
      </c>
      <c r="F452">
        <v>5</v>
      </c>
      <c r="G452">
        <v>5</v>
      </c>
      <c r="H452" s="25">
        <f t="shared" si="106"/>
        <v>1</v>
      </c>
      <c r="I452" s="25">
        <f t="shared" si="107"/>
        <v>5</v>
      </c>
      <c r="J452" s="25">
        <f t="shared" si="108"/>
        <v>5</v>
      </c>
      <c r="K452" s="25">
        <f t="shared" si="109"/>
        <v>5</v>
      </c>
      <c r="L452" s="25">
        <f t="shared" si="110"/>
        <v>3</v>
      </c>
      <c r="M452" s="25">
        <f t="shared" si="111"/>
        <v>5</v>
      </c>
      <c r="N452" s="25">
        <f t="shared" si="112"/>
        <v>5</v>
      </c>
      <c r="O452" s="32">
        <f t="shared" si="113"/>
        <v>-2.758213894687894</v>
      </c>
      <c r="P452" s="32">
        <f t="shared" si="114"/>
        <v>1.0418053570413823</v>
      </c>
      <c r="Q452" s="32">
        <f t="shared" si="115"/>
        <v>0.80698132232978881</v>
      </c>
      <c r="R452" s="32">
        <f t="shared" si="116"/>
        <v>1.0506390162289212</v>
      </c>
      <c r="S452" s="32">
        <f t="shared" si="117"/>
        <v>-0.82040802109518784</v>
      </c>
      <c r="T452" s="32">
        <f t="shared" si="118"/>
        <v>0.81206041627470116</v>
      </c>
      <c r="U452" s="32">
        <f t="shared" si="119"/>
        <v>0.80563658408767735</v>
      </c>
      <c r="V452" s="37">
        <f t="shared" si="120"/>
        <v>0.13407154002562699</v>
      </c>
      <c r="W452"/>
      <c r="AK452" s="45" t="s">
        <v>78</v>
      </c>
      <c r="AL452" s="45">
        <v>7</v>
      </c>
      <c r="AM452" s="45">
        <v>31</v>
      </c>
      <c r="AN452" s="45">
        <v>4.4285714289999998</v>
      </c>
      <c r="AO452" s="45">
        <v>1.2857142859999999</v>
      </c>
      <c r="AP452" s="45"/>
      <c r="AQ452" s="45"/>
      <c r="AR452" s="45"/>
    </row>
    <row r="453" spans="1:44" x14ac:dyDescent="0.35">
      <c r="A453">
        <v>2</v>
      </c>
      <c r="B453">
        <v>1</v>
      </c>
      <c r="C453">
        <v>5</v>
      </c>
      <c r="D453">
        <v>1</v>
      </c>
      <c r="E453">
        <v>3</v>
      </c>
      <c r="F453">
        <v>5</v>
      </c>
      <c r="G453">
        <v>5</v>
      </c>
      <c r="H453" s="25">
        <f t="shared" si="106"/>
        <v>2</v>
      </c>
      <c r="I453" s="25">
        <f t="shared" si="107"/>
        <v>5</v>
      </c>
      <c r="J453" s="25">
        <f t="shared" si="108"/>
        <v>5</v>
      </c>
      <c r="K453" s="25">
        <f t="shared" si="109"/>
        <v>5</v>
      </c>
      <c r="L453" s="25">
        <f t="shared" si="110"/>
        <v>3</v>
      </c>
      <c r="M453" s="25">
        <f t="shared" si="111"/>
        <v>5</v>
      </c>
      <c r="N453" s="25">
        <f t="shared" si="112"/>
        <v>5</v>
      </c>
      <c r="O453" s="32">
        <f t="shared" si="113"/>
        <v>-1.8576097536123615</v>
      </c>
      <c r="P453" s="32">
        <f t="shared" si="114"/>
        <v>1.0418053570413823</v>
      </c>
      <c r="Q453" s="32">
        <f t="shared" si="115"/>
        <v>0.80698132232978881</v>
      </c>
      <c r="R453" s="32">
        <f t="shared" si="116"/>
        <v>1.0506390162289212</v>
      </c>
      <c r="S453" s="32">
        <f t="shared" si="117"/>
        <v>-0.82040802109518784</v>
      </c>
      <c r="T453" s="32">
        <f t="shared" si="118"/>
        <v>0.81206041627470116</v>
      </c>
      <c r="U453" s="32">
        <f t="shared" si="119"/>
        <v>0.80563658408767735</v>
      </c>
      <c r="V453" s="37">
        <f t="shared" si="120"/>
        <v>0.26272927446498878</v>
      </c>
      <c r="W453"/>
      <c r="AK453" s="45" t="s">
        <v>78</v>
      </c>
      <c r="AL453" s="45">
        <v>7</v>
      </c>
      <c r="AM453" s="45">
        <v>27</v>
      </c>
      <c r="AN453" s="45">
        <v>3.8571428569999999</v>
      </c>
      <c r="AO453" s="45">
        <v>2.80952381</v>
      </c>
      <c r="AP453" s="45"/>
      <c r="AQ453" s="45"/>
      <c r="AR453" s="45"/>
    </row>
    <row r="454" spans="1:44" x14ac:dyDescent="0.35">
      <c r="A454">
        <v>4</v>
      </c>
      <c r="B454">
        <v>1</v>
      </c>
      <c r="C454">
        <v>5</v>
      </c>
      <c r="D454">
        <v>1</v>
      </c>
      <c r="E454">
        <v>3</v>
      </c>
      <c r="F454">
        <v>5</v>
      </c>
      <c r="G454">
        <v>5</v>
      </c>
      <c r="H454" s="25">
        <f t="shared" si="106"/>
        <v>4</v>
      </c>
      <c r="I454" s="25">
        <f t="shared" si="107"/>
        <v>5</v>
      </c>
      <c r="J454" s="25">
        <f t="shared" si="108"/>
        <v>5</v>
      </c>
      <c r="K454" s="25">
        <f t="shared" si="109"/>
        <v>5</v>
      </c>
      <c r="L454" s="25">
        <f t="shared" si="110"/>
        <v>3</v>
      </c>
      <c r="M454" s="25">
        <f t="shared" si="111"/>
        <v>5</v>
      </c>
      <c r="N454" s="25">
        <f t="shared" si="112"/>
        <v>5</v>
      </c>
      <c r="O454" s="32">
        <f t="shared" si="113"/>
        <v>-5.6401471461296142E-2</v>
      </c>
      <c r="P454" s="32">
        <f t="shared" si="114"/>
        <v>1.0418053570413823</v>
      </c>
      <c r="Q454" s="32">
        <f t="shared" si="115"/>
        <v>0.80698132232978881</v>
      </c>
      <c r="R454" s="32">
        <f t="shared" si="116"/>
        <v>1.0506390162289212</v>
      </c>
      <c r="S454" s="32">
        <f t="shared" si="117"/>
        <v>-0.82040802109518784</v>
      </c>
      <c r="T454" s="32">
        <f t="shared" si="118"/>
        <v>0.81206041627470116</v>
      </c>
      <c r="U454" s="32">
        <f t="shared" si="119"/>
        <v>0.80563658408767735</v>
      </c>
      <c r="V454" s="37">
        <f t="shared" si="120"/>
        <v>0.52004474334371242</v>
      </c>
      <c r="W454"/>
      <c r="AK454" s="45" t="s">
        <v>78</v>
      </c>
      <c r="AL454" s="45">
        <v>7</v>
      </c>
      <c r="AM454" s="45">
        <v>29</v>
      </c>
      <c r="AN454" s="45">
        <v>4.1428571429999996</v>
      </c>
      <c r="AO454" s="45">
        <v>0.80952380999999995</v>
      </c>
      <c r="AP454" s="45"/>
      <c r="AQ454" s="45"/>
      <c r="AR454" s="45"/>
    </row>
    <row r="455" spans="1:44" x14ac:dyDescent="0.35">
      <c r="A455">
        <v>5</v>
      </c>
      <c r="B455">
        <v>1</v>
      </c>
      <c r="C455">
        <v>5</v>
      </c>
      <c r="D455">
        <v>2</v>
      </c>
      <c r="E455">
        <v>3</v>
      </c>
      <c r="F455">
        <v>5</v>
      </c>
      <c r="G455">
        <v>5</v>
      </c>
      <c r="H455" s="25">
        <f t="shared" si="106"/>
        <v>5</v>
      </c>
      <c r="I455" s="25">
        <f t="shared" si="107"/>
        <v>5</v>
      </c>
      <c r="J455" s="25">
        <f t="shared" si="108"/>
        <v>5</v>
      </c>
      <c r="K455" s="25">
        <f t="shared" si="109"/>
        <v>4</v>
      </c>
      <c r="L455" s="25">
        <f t="shared" si="110"/>
        <v>3</v>
      </c>
      <c r="M455" s="25">
        <f t="shared" si="111"/>
        <v>5</v>
      </c>
      <c r="N455" s="25">
        <f t="shared" si="112"/>
        <v>5</v>
      </c>
      <c r="O455" s="32">
        <f t="shared" si="113"/>
        <v>0.84420266961423651</v>
      </c>
      <c r="P455" s="32">
        <f t="shared" si="114"/>
        <v>1.0418053570413823</v>
      </c>
      <c r="Q455" s="32">
        <f t="shared" si="115"/>
        <v>0.80698132232978881</v>
      </c>
      <c r="R455" s="32">
        <f t="shared" si="116"/>
        <v>0.21586162773242673</v>
      </c>
      <c r="S455" s="32">
        <f t="shared" si="117"/>
        <v>-0.82040802109518784</v>
      </c>
      <c r="T455" s="32">
        <f t="shared" si="118"/>
        <v>0.81206041627470116</v>
      </c>
      <c r="U455" s="32">
        <f t="shared" si="119"/>
        <v>0.80563658408767735</v>
      </c>
      <c r="V455" s="37">
        <f t="shared" si="120"/>
        <v>0.52944856514071781</v>
      </c>
      <c r="W455"/>
      <c r="AK455" s="45" t="s">
        <v>78</v>
      </c>
      <c r="AL455" s="45">
        <v>7</v>
      </c>
      <c r="AM455" s="45">
        <v>29</v>
      </c>
      <c r="AN455" s="45">
        <v>4.1428571429999996</v>
      </c>
      <c r="AO455" s="45">
        <v>2.4761904760000002</v>
      </c>
      <c r="AP455" s="45"/>
      <c r="AQ455" s="45"/>
      <c r="AR455" s="45"/>
    </row>
    <row r="456" spans="1:44" x14ac:dyDescent="0.35">
      <c r="A456">
        <v>5</v>
      </c>
      <c r="B456">
        <v>1</v>
      </c>
      <c r="C456">
        <v>5</v>
      </c>
      <c r="D456">
        <v>2</v>
      </c>
      <c r="E456">
        <v>3</v>
      </c>
      <c r="F456">
        <v>5</v>
      </c>
      <c r="G456">
        <v>5</v>
      </c>
      <c r="H456" s="25">
        <f t="shared" si="106"/>
        <v>5</v>
      </c>
      <c r="I456" s="25">
        <f t="shared" si="107"/>
        <v>5</v>
      </c>
      <c r="J456" s="25">
        <f t="shared" si="108"/>
        <v>5</v>
      </c>
      <c r="K456" s="25">
        <f t="shared" si="109"/>
        <v>4</v>
      </c>
      <c r="L456" s="25">
        <f t="shared" si="110"/>
        <v>3</v>
      </c>
      <c r="M456" s="25">
        <f t="shared" si="111"/>
        <v>5</v>
      </c>
      <c r="N456" s="25">
        <f t="shared" si="112"/>
        <v>5</v>
      </c>
      <c r="O456" s="32">
        <f t="shared" si="113"/>
        <v>0.84420266961423651</v>
      </c>
      <c r="P456" s="32">
        <f t="shared" si="114"/>
        <v>1.0418053570413823</v>
      </c>
      <c r="Q456" s="32">
        <f t="shared" si="115"/>
        <v>0.80698132232978881</v>
      </c>
      <c r="R456" s="32">
        <f t="shared" si="116"/>
        <v>0.21586162773242673</v>
      </c>
      <c r="S456" s="32">
        <f t="shared" si="117"/>
        <v>-0.82040802109518784</v>
      </c>
      <c r="T456" s="32">
        <f t="shared" si="118"/>
        <v>0.81206041627470116</v>
      </c>
      <c r="U456" s="32">
        <f t="shared" si="119"/>
        <v>0.80563658408767735</v>
      </c>
      <c r="V456" s="37">
        <f t="shared" si="120"/>
        <v>0.52944856514071781</v>
      </c>
      <c r="W456"/>
      <c r="AK456" s="45" t="s">
        <v>78</v>
      </c>
      <c r="AL456" s="45">
        <v>7</v>
      </c>
      <c r="AM456" s="45">
        <v>30</v>
      </c>
      <c r="AN456" s="45">
        <v>4.2857142860000002</v>
      </c>
      <c r="AO456" s="45">
        <v>1.571428571</v>
      </c>
      <c r="AP456" s="45"/>
      <c r="AQ456" s="45"/>
      <c r="AR456" s="45"/>
    </row>
    <row r="457" spans="1:44" x14ac:dyDescent="0.35">
      <c r="A457">
        <v>4</v>
      </c>
      <c r="B457">
        <v>2</v>
      </c>
      <c r="C457">
        <v>5</v>
      </c>
      <c r="D457">
        <v>2</v>
      </c>
      <c r="E457">
        <v>3</v>
      </c>
      <c r="F457">
        <v>5</v>
      </c>
      <c r="G457">
        <v>5</v>
      </c>
      <c r="H457" s="25">
        <f t="shared" si="106"/>
        <v>4</v>
      </c>
      <c r="I457" s="25">
        <f t="shared" si="107"/>
        <v>4</v>
      </c>
      <c r="J457" s="25">
        <f t="shared" si="108"/>
        <v>5</v>
      </c>
      <c r="K457" s="25">
        <f t="shared" si="109"/>
        <v>4</v>
      </c>
      <c r="L457" s="25">
        <f t="shared" si="110"/>
        <v>3</v>
      </c>
      <c r="M457" s="25">
        <f t="shared" si="111"/>
        <v>5</v>
      </c>
      <c r="N457" s="25">
        <f t="shared" si="112"/>
        <v>5</v>
      </c>
      <c r="O457" s="32">
        <f t="shared" si="113"/>
        <v>-5.6401471461296142E-2</v>
      </c>
      <c r="P457" s="32">
        <f t="shared" si="114"/>
        <v>0.26360832519077404</v>
      </c>
      <c r="Q457" s="32">
        <f t="shared" si="115"/>
        <v>0.80698132232978881</v>
      </c>
      <c r="R457" s="32">
        <f t="shared" si="116"/>
        <v>0.21586162773242673</v>
      </c>
      <c r="S457" s="32">
        <f t="shared" si="117"/>
        <v>-0.82040802109518784</v>
      </c>
      <c r="T457" s="32">
        <f t="shared" si="118"/>
        <v>0.81206041627470116</v>
      </c>
      <c r="U457" s="32">
        <f t="shared" si="119"/>
        <v>0.80563658408767735</v>
      </c>
      <c r="V457" s="37">
        <f t="shared" si="120"/>
        <v>0.28961982615126913</v>
      </c>
      <c r="W457"/>
      <c r="AK457" s="45" t="s">
        <v>78</v>
      </c>
      <c r="AL457" s="45">
        <v>7</v>
      </c>
      <c r="AM457" s="45">
        <v>32</v>
      </c>
      <c r="AN457" s="45">
        <v>4.5714285710000002</v>
      </c>
      <c r="AO457" s="45">
        <v>0.61904761900000005</v>
      </c>
      <c r="AP457" s="45"/>
      <c r="AQ457" s="45"/>
      <c r="AR457" s="45"/>
    </row>
    <row r="458" spans="1:44" x14ac:dyDescent="0.35">
      <c r="A458">
        <v>4</v>
      </c>
      <c r="B458">
        <v>3</v>
      </c>
      <c r="C458">
        <v>5</v>
      </c>
      <c r="D458">
        <v>2</v>
      </c>
      <c r="E458">
        <v>3</v>
      </c>
      <c r="F458">
        <v>5</v>
      </c>
      <c r="G458">
        <v>5</v>
      </c>
      <c r="H458" s="25">
        <f t="shared" si="106"/>
        <v>4</v>
      </c>
      <c r="I458" s="25">
        <f t="shared" si="107"/>
        <v>3</v>
      </c>
      <c r="J458" s="25">
        <f t="shared" si="108"/>
        <v>5</v>
      </c>
      <c r="K458" s="25">
        <f t="shared" si="109"/>
        <v>4</v>
      </c>
      <c r="L458" s="25">
        <f t="shared" si="110"/>
        <v>3</v>
      </c>
      <c r="M458" s="25">
        <f t="shared" si="111"/>
        <v>5</v>
      </c>
      <c r="N458" s="25">
        <f t="shared" si="112"/>
        <v>5</v>
      </c>
      <c r="O458" s="32">
        <f t="shared" si="113"/>
        <v>-5.6401471461296142E-2</v>
      </c>
      <c r="P458" s="32">
        <f t="shared" si="114"/>
        <v>-0.51458870665983425</v>
      </c>
      <c r="Q458" s="32">
        <f t="shared" si="115"/>
        <v>0.80698132232978881</v>
      </c>
      <c r="R458" s="32">
        <f t="shared" si="116"/>
        <v>0.21586162773242673</v>
      </c>
      <c r="S458" s="32">
        <f t="shared" si="117"/>
        <v>-0.82040802109518784</v>
      </c>
      <c r="T458" s="32">
        <f t="shared" si="118"/>
        <v>0.81206041627470116</v>
      </c>
      <c r="U458" s="32">
        <f t="shared" si="119"/>
        <v>0.80563658408767735</v>
      </c>
      <c r="V458" s="37">
        <f t="shared" si="120"/>
        <v>0.17844882160118228</v>
      </c>
      <c r="W458"/>
      <c r="AK458" s="45" t="s">
        <v>78</v>
      </c>
      <c r="AL458" s="45">
        <v>7</v>
      </c>
      <c r="AM458" s="45">
        <v>32</v>
      </c>
      <c r="AN458" s="45">
        <v>4.5714285710000002</v>
      </c>
      <c r="AO458" s="45">
        <v>0.61904761900000005</v>
      </c>
      <c r="AP458" s="45"/>
      <c r="AQ458" s="45"/>
      <c r="AR458" s="45"/>
    </row>
    <row r="459" spans="1:44" x14ac:dyDescent="0.35">
      <c r="A459">
        <v>5</v>
      </c>
      <c r="B459">
        <v>3</v>
      </c>
      <c r="C459">
        <v>5</v>
      </c>
      <c r="D459">
        <v>2</v>
      </c>
      <c r="E459">
        <v>3</v>
      </c>
      <c r="F459">
        <v>5</v>
      </c>
      <c r="G459">
        <v>5</v>
      </c>
      <c r="H459" s="25">
        <f t="shared" si="106"/>
        <v>5</v>
      </c>
      <c r="I459" s="25">
        <f t="shared" si="107"/>
        <v>3</v>
      </c>
      <c r="J459" s="25">
        <f t="shared" si="108"/>
        <v>5</v>
      </c>
      <c r="K459" s="25">
        <f t="shared" si="109"/>
        <v>4</v>
      </c>
      <c r="L459" s="25">
        <f t="shared" si="110"/>
        <v>3</v>
      </c>
      <c r="M459" s="25">
        <f t="shared" si="111"/>
        <v>5</v>
      </c>
      <c r="N459" s="25">
        <f t="shared" si="112"/>
        <v>5</v>
      </c>
      <c r="O459" s="32">
        <f t="shared" si="113"/>
        <v>0.84420266961423651</v>
      </c>
      <c r="P459" s="32">
        <f t="shared" si="114"/>
        <v>-0.51458870665983425</v>
      </c>
      <c r="Q459" s="32">
        <f t="shared" si="115"/>
        <v>0.80698132232978881</v>
      </c>
      <c r="R459" s="32">
        <f t="shared" si="116"/>
        <v>0.21586162773242673</v>
      </c>
      <c r="S459" s="32">
        <f t="shared" si="117"/>
        <v>-0.82040802109518784</v>
      </c>
      <c r="T459" s="32">
        <f t="shared" si="118"/>
        <v>0.81206041627470116</v>
      </c>
      <c r="U459" s="32">
        <f t="shared" si="119"/>
        <v>0.80563658408767735</v>
      </c>
      <c r="V459" s="37">
        <f t="shared" si="120"/>
        <v>0.3071065560405441</v>
      </c>
      <c r="W459"/>
      <c r="AK459" s="45" t="s">
        <v>78</v>
      </c>
      <c r="AL459" s="45">
        <v>7</v>
      </c>
      <c r="AM459" s="45">
        <v>32</v>
      </c>
      <c r="AN459" s="45">
        <v>4.5714285710000002</v>
      </c>
      <c r="AO459" s="45">
        <v>0.61904761900000005</v>
      </c>
      <c r="AP459" s="45"/>
      <c r="AQ459" s="45"/>
      <c r="AR459" s="45"/>
    </row>
    <row r="460" spans="1:44" x14ac:dyDescent="0.35">
      <c r="A460">
        <v>5</v>
      </c>
      <c r="B460">
        <v>3</v>
      </c>
      <c r="C460">
        <v>3</v>
      </c>
      <c r="D460">
        <v>3</v>
      </c>
      <c r="E460">
        <v>3</v>
      </c>
      <c r="F460">
        <v>5</v>
      </c>
      <c r="G460">
        <v>5</v>
      </c>
      <c r="H460" s="25">
        <f t="shared" si="106"/>
        <v>5</v>
      </c>
      <c r="I460" s="25">
        <f t="shared" si="107"/>
        <v>3</v>
      </c>
      <c r="J460" s="25">
        <f t="shared" si="108"/>
        <v>3</v>
      </c>
      <c r="K460" s="25">
        <f t="shared" si="109"/>
        <v>3</v>
      </c>
      <c r="L460" s="25">
        <f t="shared" si="110"/>
        <v>3</v>
      </c>
      <c r="M460" s="25">
        <f t="shared" si="111"/>
        <v>5</v>
      </c>
      <c r="N460" s="25">
        <f t="shared" si="112"/>
        <v>5</v>
      </c>
      <c r="O460" s="32">
        <f t="shared" si="113"/>
        <v>0.84420266961423651</v>
      </c>
      <c r="P460" s="32">
        <f t="shared" si="114"/>
        <v>-0.51458870665983425</v>
      </c>
      <c r="Q460" s="32">
        <f t="shared" si="115"/>
        <v>-1.0009496220281058</v>
      </c>
      <c r="R460" s="32">
        <f t="shared" si="116"/>
        <v>-0.61891576076406762</v>
      </c>
      <c r="S460" s="32">
        <f t="shared" si="117"/>
        <v>-0.82040802109518784</v>
      </c>
      <c r="T460" s="32">
        <f t="shared" si="118"/>
        <v>0.81206041627470116</v>
      </c>
      <c r="U460" s="32">
        <f t="shared" si="119"/>
        <v>0.80563658408767735</v>
      </c>
      <c r="V460" s="37">
        <f t="shared" si="120"/>
        <v>-7.0423205795797222E-2</v>
      </c>
      <c r="W460"/>
      <c r="AK460" s="45" t="s">
        <v>78</v>
      </c>
      <c r="AL460" s="45">
        <v>7</v>
      </c>
      <c r="AM460" s="45">
        <v>30</v>
      </c>
      <c r="AN460" s="45">
        <v>4.2857142860000002</v>
      </c>
      <c r="AO460" s="45">
        <v>0.571428571</v>
      </c>
      <c r="AP460" s="45"/>
      <c r="AQ460" s="45"/>
      <c r="AR460" s="45"/>
    </row>
    <row r="461" spans="1:44" x14ac:dyDescent="0.35">
      <c r="A461">
        <v>5</v>
      </c>
      <c r="B461">
        <v>2</v>
      </c>
      <c r="C461">
        <v>5</v>
      </c>
      <c r="D461">
        <v>3</v>
      </c>
      <c r="E461">
        <v>3</v>
      </c>
      <c r="F461">
        <v>5</v>
      </c>
      <c r="G461">
        <v>5</v>
      </c>
      <c r="H461" s="25">
        <f t="shared" si="106"/>
        <v>5</v>
      </c>
      <c r="I461" s="25">
        <f t="shared" si="107"/>
        <v>4</v>
      </c>
      <c r="J461" s="25">
        <f t="shared" si="108"/>
        <v>5</v>
      </c>
      <c r="K461" s="25">
        <f t="shared" si="109"/>
        <v>3</v>
      </c>
      <c r="L461" s="25">
        <f t="shared" si="110"/>
        <v>3</v>
      </c>
      <c r="M461" s="25">
        <f t="shared" si="111"/>
        <v>5</v>
      </c>
      <c r="N461" s="25">
        <f t="shared" si="112"/>
        <v>5</v>
      </c>
      <c r="O461" s="32">
        <f t="shared" si="113"/>
        <v>0.84420266961423651</v>
      </c>
      <c r="P461" s="32">
        <f t="shared" si="114"/>
        <v>0.26360832519077404</v>
      </c>
      <c r="Q461" s="32">
        <f t="shared" si="115"/>
        <v>0.80698132232978881</v>
      </c>
      <c r="R461" s="32">
        <f t="shared" si="116"/>
        <v>-0.61891576076406762</v>
      </c>
      <c r="S461" s="32">
        <f t="shared" si="117"/>
        <v>-0.82040802109518784</v>
      </c>
      <c r="T461" s="32">
        <f t="shared" si="118"/>
        <v>0.81206041627470116</v>
      </c>
      <c r="U461" s="32">
        <f t="shared" si="119"/>
        <v>0.80563658408767735</v>
      </c>
      <c r="V461" s="37">
        <f t="shared" si="120"/>
        <v>0.29902364794827463</v>
      </c>
      <c r="W461"/>
      <c r="AK461" s="45" t="s">
        <v>78</v>
      </c>
      <c r="AL461" s="45">
        <v>7</v>
      </c>
      <c r="AM461" s="45">
        <v>29</v>
      </c>
      <c r="AN461" s="45">
        <v>4.1428571429999996</v>
      </c>
      <c r="AO461" s="45">
        <v>0.80952380999999995</v>
      </c>
      <c r="AP461" s="45"/>
      <c r="AQ461" s="45"/>
      <c r="AR461" s="45"/>
    </row>
    <row r="462" spans="1:44" x14ac:dyDescent="0.35">
      <c r="A462">
        <v>4</v>
      </c>
      <c r="B462">
        <v>3</v>
      </c>
      <c r="C462">
        <v>5</v>
      </c>
      <c r="D462">
        <v>3</v>
      </c>
      <c r="E462">
        <v>3</v>
      </c>
      <c r="F462">
        <v>5</v>
      </c>
      <c r="G462">
        <v>5</v>
      </c>
      <c r="H462" s="25">
        <f t="shared" si="106"/>
        <v>4</v>
      </c>
      <c r="I462" s="25">
        <f t="shared" si="107"/>
        <v>3</v>
      </c>
      <c r="J462" s="25">
        <f t="shared" si="108"/>
        <v>5</v>
      </c>
      <c r="K462" s="25">
        <f t="shared" si="109"/>
        <v>3</v>
      </c>
      <c r="L462" s="25">
        <f t="shared" si="110"/>
        <v>3</v>
      </c>
      <c r="M462" s="25">
        <f t="shared" si="111"/>
        <v>5</v>
      </c>
      <c r="N462" s="25">
        <f t="shared" si="112"/>
        <v>5</v>
      </c>
      <c r="O462" s="32">
        <f t="shared" si="113"/>
        <v>-5.6401471461296142E-2</v>
      </c>
      <c r="P462" s="32">
        <f t="shared" si="114"/>
        <v>-0.51458870665983425</v>
      </c>
      <c r="Q462" s="32">
        <f t="shared" si="115"/>
        <v>0.80698132232978881</v>
      </c>
      <c r="R462" s="32">
        <f t="shared" si="116"/>
        <v>-0.61891576076406762</v>
      </c>
      <c r="S462" s="32">
        <f t="shared" si="117"/>
        <v>-0.82040802109518784</v>
      </c>
      <c r="T462" s="32">
        <f t="shared" si="118"/>
        <v>0.81206041627470116</v>
      </c>
      <c r="U462" s="32">
        <f t="shared" si="119"/>
        <v>0.80563658408767735</v>
      </c>
      <c r="V462" s="37">
        <f t="shared" si="120"/>
        <v>5.9194908958825919E-2</v>
      </c>
      <c r="W462"/>
      <c r="AK462" s="45" t="s">
        <v>78</v>
      </c>
      <c r="AL462" s="45">
        <v>7</v>
      </c>
      <c r="AM462" s="45">
        <v>30</v>
      </c>
      <c r="AN462" s="45">
        <v>4.2857142860000002</v>
      </c>
      <c r="AO462" s="45">
        <v>0.90476190499999998</v>
      </c>
      <c r="AP462" s="45"/>
      <c r="AQ462" s="45"/>
      <c r="AR462" s="45"/>
    </row>
    <row r="463" spans="1:44" x14ac:dyDescent="0.35">
      <c r="A463">
        <v>5</v>
      </c>
      <c r="B463">
        <v>5</v>
      </c>
      <c r="C463">
        <v>5</v>
      </c>
      <c r="D463">
        <v>3</v>
      </c>
      <c r="E463">
        <v>3</v>
      </c>
      <c r="F463">
        <v>5</v>
      </c>
      <c r="G463">
        <v>5</v>
      </c>
      <c r="H463" s="25">
        <f t="shared" si="106"/>
        <v>5</v>
      </c>
      <c r="I463" s="25">
        <f t="shared" si="107"/>
        <v>1</v>
      </c>
      <c r="J463" s="25">
        <f t="shared" si="108"/>
        <v>5</v>
      </c>
      <c r="K463" s="25">
        <f t="shared" si="109"/>
        <v>3</v>
      </c>
      <c r="L463" s="25">
        <f t="shared" si="110"/>
        <v>3</v>
      </c>
      <c r="M463" s="25">
        <f t="shared" si="111"/>
        <v>5</v>
      </c>
      <c r="N463" s="25">
        <f t="shared" si="112"/>
        <v>5</v>
      </c>
      <c r="O463" s="32">
        <f t="shared" si="113"/>
        <v>0.84420266961423651</v>
      </c>
      <c r="P463" s="32">
        <f t="shared" si="114"/>
        <v>-2.0709827703610508</v>
      </c>
      <c r="Q463" s="32">
        <f t="shared" si="115"/>
        <v>0.80698132232978881</v>
      </c>
      <c r="R463" s="32">
        <f t="shared" si="116"/>
        <v>-0.61891576076406762</v>
      </c>
      <c r="S463" s="32">
        <f t="shared" si="117"/>
        <v>-0.82040802109518784</v>
      </c>
      <c r="T463" s="32">
        <f t="shared" si="118"/>
        <v>0.81206041627470116</v>
      </c>
      <c r="U463" s="32">
        <f t="shared" si="119"/>
        <v>0.80563658408767735</v>
      </c>
      <c r="V463" s="37">
        <f t="shared" si="120"/>
        <v>-3.4489365701986054E-2</v>
      </c>
      <c r="W463"/>
      <c r="AK463" s="45" t="s">
        <v>78</v>
      </c>
      <c r="AL463" s="45">
        <v>7</v>
      </c>
      <c r="AM463" s="45">
        <v>27</v>
      </c>
      <c r="AN463" s="45">
        <v>3.8571428569999999</v>
      </c>
      <c r="AO463" s="45">
        <v>1.1428571430000001</v>
      </c>
      <c r="AP463" s="45"/>
      <c r="AQ463" s="45"/>
      <c r="AR463" s="45"/>
    </row>
    <row r="464" spans="1:44" x14ac:dyDescent="0.35">
      <c r="A464">
        <v>4</v>
      </c>
      <c r="B464">
        <v>2</v>
      </c>
      <c r="C464">
        <v>4</v>
      </c>
      <c r="D464">
        <v>4</v>
      </c>
      <c r="E464">
        <v>3</v>
      </c>
      <c r="F464">
        <v>5</v>
      </c>
      <c r="G464">
        <v>5</v>
      </c>
      <c r="H464" s="25">
        <f t="shared" si="106"/>
        <v>4</v>
      </c>
      <c r="I464" s="25">
        <f t="shared" si="107"/>
        <v>4</v>
      </c>
      <c r="J464" s="25">
        <f t="shared" si="108"/>
        <v>4</v>
      </c>
      <c r="K464" s="25">
        <f t="shared" si="109"/>
        <v>2</v>
      </c>
      <c r="L464" s="25">
        <f t="shared" si="110"/>
        <v>3</v>
      </c>
      <c r="M464" s="25">
        <f t="shared" si="111"/>
        <v>5</v>
      </c>
      <c r="N464" s="25">
        <f t="shared" si="112"/>
        <v>5</v>
      </c>
      <c r="O464" s="32">
        <f t="shared" si="113"/>
        <v>-5.6401471461296142E-2</v>
      </c>
      <c r="P464" s="32">
        <f t="shared" si="114"/>
        <v>0.26360832519077404</v>
      </c>
      <c r="Q464" s="32">
        <f t="shared" si="115"/>
        <v>-9.6984149849158471E-2</v>
      </c>
      <c r="R464" s="32">
        <f t="shared" si="116"/>
        <v>-1.453693149260562</v>
      </c>
      <c r="S464" s="32">
        <f t="shared" si="117"/>
        <v>-0.82040802109518784</v>
      </c>
      <c r="T464" s="32">
        <f t="shared" si="118"/>
        <v>0.81206041627470116</v>
      </c>
      <c r="U464" s="32">
        <f t="shared" si="119"/>
        <v>0.80563658408767735</v>
      </c>
      <c r="V464" s="37">
        <f t="shared" si="120"/>
        <v>-7.8025923730435959E-2</v>
      </c>
      <c r="W464"/>
      <c r="AK464" s="45" t="s">
        <v>78</v>
      </c>
      <c r="AL464" s="45">
        <v>7</v>
      </c>
      <c r="AM464" s="45">
        <v>30</v>
      </c>
      <c r="AN464" s="45">
        <v>4.2857142860000002</v>
      </c>
      <c r="AO464" s="45">
        <v>0.90476190499999998</v>
      </c>
      <c r="AP464" s="45"/>
      <c r="AQ464" s="45"/>
      <c r="AR464" s="45"/>
    </row>
    <row r="465" spans="1:44" x14ac:dyDescent="0.35">
      <c r="A465">
        <v>5</v>
      </c>
      <c r="B465">
        <v>1</v>
      </c>
      <c r="C465">
        <v>5</v>
      </c>
      <c r="D465">
        <v>4</v>
      </c>
      <c r="E465">
        <v>3</v>
      </c>
      <c r="F465">
        <v>5</v>
      </c>
      <c r="G465">
        <v>5</v>
      </c>
      <c r="H465" s="25">
        <f t="shared" si="106"/>
        <v>5</v>
      </c>
      <c r="I465" s="25">
        <f t="shared" si="107"/>
        <v>5</v>
      </c>
      <c r="J465" s="25">
        <f t="shared" si="108"/>
        <v>5</v>
      </c>
      <c r="K465" s="25">
        <f t="shared" si="109"/>
        <v>2</v>
      </c>
      <c r="L465" s="25">
        <f t="shared" si="110"/>
        <v>3</v>
      </c>
      <c r="M465" s="25">
        <f t="shared" si="111"/>
        <v>5</v>
      </c>
      <c r="N465" s="25">
        <f t="shared" si="112"/>
        <v>5</v>
      </c>
      <c r="O465" s="32">
        <f t="shared" si="113"/>
        <v>0.84420266961423651</v>
      </c>
      <c r="P465" s="32">
        <f t="shared" si="114"/>
        <v>1.0418053570413823</v>
      </c>
      <c r="Q465" s="32">
        <f t="shared" si="115"/>
        <v>0.80698132232978881</v>
      </c>
      <c r="R465" s="32">
        <f t="shared" si="116"/>
        <v>-1.453693149260562</v>
      </c>
      <c r="S465" s="32">
        <f t="shared" si="117"/>
        <v>-0.82040802109518784</v>
      </c>
      <c r="T465" s="32">
        <f t="shared" si="118"/>
        <v>0.81206041627470116</v>
      </c>
      <c r="U465" s="32">
        <f t="shared" si="119"/>
        <v>0.80563658408767735</v>
      </c>
      <c r="V465" s="37">
        <f t="shared" si="120"/>
        <v>0.29094073985600516</v>
      </c>
      <c r="W465"/>
      <c r="AK465" s="45" t="s">
        <v>78</v>
      </c>
      <c r="AL465" s="45">
        <v>7</v>
      </c>
      <c r="AM465" s="45">
        <v>28</v>
      </c>
      <c r="AN465" s="45">
        <v>4</v>
      </c>
      <c r="AO465" s="45">
        <v>1</v>
      </c>
      <c r="AP465" s="45"/>
      <c r="AQ465" s="45"/>
      <c r="AR465" s="45"/>
    </row>
    <row r="466" spans="1:44" x14ac:dyDescent="0.35">
      <c r="A466">
        <v>3</v>
      </c>
      <c r="B466">
        <v>3</v>
      </c>
      <c r="C466">
        <v>5</v>
      </c>
      <c r="D466">
        <v>4</v>
      </c>
      <c r="E466">
        <v>3</v>
      </c>
      <c r="F466">
        <v>5</v>
      </c>
      <c r="G466">
        <v>5</v>
      </c>
      <c r="H466" s="25">
        <f t="shared" si="106"/>
        <v>3</v>
      </c>
      <c r="I466" s="25">
        <f t="shared" si="107"/>
        <v>3</v>
      </c>
      <c r="J466" s="25">
        <f t="shared" si="108"/>
        <v>5</v>
      </c>
      <c r="K466" s="25">
        <f t="shared" si="109"/>
        <v>2</v>
      </c>
      <c r="L466" s="25">
        <f t="shared" si="110"/>
        <v>3</v>
      </c>
      <c r="M466" s="25">
        <f t="shared" si="111"/>
        <v>5</v>
      </c>
      <c r="N466" s="25">
        <f t="shared" si="112"/>
        <v>5</v>
      </c>
      <c r="O466" s="32">
        <f t="shared" si="113"/>
        <v>-0.95700561253682881</v>
      </c>
      <c r="P466" s="32">
        <f t="shared" si="114"/>
        <v>-0.51458870665983425</v>
      </c>
      <c r="Q466" s="32">
        <f t="shared" si="115"/>
        <v>0.80698132232978881</v>
      </c>
      <c r="R466" s="32">
        <f t="shared" si="116"/>
        <v>-1.453693149260562</v>
      </c>
      <c r="S466" s="32">
        <f t="shared" si="117"/>
        <v>-0.82040802109518784</v>
      </c>
      <c r="T466" s="32">
        <f t="shared" si="118"/>
        <v>0.81206041627470116</v>
      </c>
      <c r="U466" s="32">
        <f t="shared" si="119"/>
        <v>0.80563658408767735</v>
      </c>
      <c r="V466" s="37">
        <f t="shared" si="120"/>
        <v>-0.18871673812289219</v>
      </c>
      <c r="W466"/>
      <c r="AK466" s="45" t="s">
        <v>78</v>
      </c>
      <c r="AL466" s="45">
        <v>7</v>
      </c>
      <c r="AM466" s="45">
        <v>27</v>
      </c>
      <c r="AN466" s="45">
        <v>3.8571428569999999</v>
      </c>
      <c r="AO466" s="45">
        <v>2.4761904760000002</v>
      </c>
      <c r="AP466" s="45"/>
      <c r="AQ466" s="45"/>
      <c r="AR466" s="45"/>
    </row>
    <row r="467" spans="1:44" x14ac:dyDescent="0.35">
      <c r="A467">
        <v>5</v>
      </c>
      <c r="B467">
        <v>3</v>
      </c>
      <c r="C467">
        <v>5</v>
      </c>
      <c r="D467">
        <v>4</v>
      </c>
      <c r="E467">
        <v>3</v>
      </c>
      <c r="F467">
        <v>5</v>
      </c>
      <c r="G467">
        <v>5</v>
      </c>
      <c r="H467" s="25">
        <f t="shared" si="106"/>
        <v>5</v>
      </c>
      <c r="I467" s="25">
        <f t="shared" si="107"/>
        <v>3</v>
      </c>
      <c r="J467" s="25">
        <f t="shared" si="108"/>
        <v>5</v>
      </c>
      <c r="K467" s="25">
        <f t="shared" si="109"/>
        <v>2</v>
      </c>
      <c r="L467" s="25">
        <f t="shared" si="110"/>
        <v>3</v>
      </c>
      <c r="M467" s="25">
        <f t="shared" si="111"/>
        <v>5</v>
      </c>
      <c r="N467" s="25">
        <f t="shared" si="112"/>
        <v>5</v>
      </c>
      <c r="O467" s="32">
        <f t="shared" si="113"/>
        <v>0.84420266961423651</v>
      </c>
      <c r="P467" s="32">
        <f t="shared" si="114"/>
        <v>-0.51458870665983425</v>
      </c>
      <c r="Q467" s="32">
        <f t="shared" si="115"/>
        <v>0.80698132232978881</v>
      </c>
      <c r="R467" s="32">
        <f t="shared" si="116"/>
        <v>-1.453693149260562</v>
      </c>
      <c r="S467" s="32">
        <f t="shared" si="117"/>
        <v>-0.82040802109518784</v>
      </c>
      <c r="T467" s="32">
        <f t="shared" si="118"/>
        <v>0.81206041627470116</v>
      </c>
      <c r="U467" s="32">
        <f t="shared" si="119"/>
        <v>0.80563658408767735</v>
      </c>
      <c r="V467" s="37">
        <f t="shared" si="120"/>
        <v>6.8598730755831408E-2</v>
      </c>
      <c r="W467"/>
      <c r="AK467" s="45" t="s">
        <v>78</v>
      </c>
      <c r="AL467" s="45">
        <v>7</v>
      </c>
      <c r="AM467" s="45">
        <v>27</v>
      </c>
      <c r="AN467" s="45">
        <v>3.8571428569999999</v>
      </c>
      <c r="AO467" s="45">
        <v>1.1428571430000001</v>
      </c>
      <c r="AP467" s="45"/>
      <c r="AQ467" s="45"/>
      <c r="AR467" s="45"/>
    </row>
    <row r="468" spans="1:44" x14ac:dyDescent="0.35">
      <c r="A468">
        <v>5</v>
      </c>
      <c r="B468">
        <v>3</v>
      </c>
      <c r="C468">
        <v>5</v>
      </c>
      <c r="D468">
        <v>5</v>
      </c>
      <c r="E468">
        <v>3</v>
      </c>
      <c r="F468">
        <v>5</v>
      </c>
      <c r="G468">
        <v>5</v>
      </c>
      <c r="H468" s="25">
        <f t="shared" si="106"/>
        <v>5</v>
      </c>
      <c r="I468" s="25">
        <f t="shared" si="107"/>
        <v>3</v>
      </c>
      <c r="J468" s="25">
        <f t="shared" si="108"/>
        <v>5</v>
      </c>
      <c r="K468" s="25">
        <f t="shared" si="109"/>
        <v>1</v>
      </c>
      <c r="L468" s="25">
        <f t="shared" si="110"/>
        <v>3</v>
      </c>
      <c r="M468" s="25">
        <f t="shared" si="111"/>
        <v>5</v>
      </c>
      <c r="N468" s="25">
        <f t="shared" si="112"/>
        <v>5</v>
      </c>
      <c r="O468" s="32">
        <f t="shared" si="113"/>
        <v>0.84420266961423651</v>
      </c>
      <c r="P468" s="32">
        <f t="shared" si="114"/>
        <v>-0.51458870665983425</v>
      </c>
      <c r="Q468" s="32">
        <f t="shared" si="115"/>
        <v>0.80698132232978881</v>
      </c>
      <c r="R468" s="32">
        <f t="shared" si="116"/>
        <v>-2.2884705377570564</v>
      </c>
      <c r="S468" s="32">
        <f t="shared" si="117"/>
        <v>-0.82040802109518784</v>
      </c>
      <c r="T468" s="32">
        <f t="shared" si="118"/>
        <v>0.81206041627470116</v>
      </c>
      <c r="U468" s="32">
        <f t="shared" si="119"/>
        <v>0.80563658408767735</v>
      </c>
      <c r="V468" s="37">
        <f t="shared" si="120"/>
        <v>-5.0655181886524944E-2</v>
      </c>
      <c r="W468"/>
      <c r="AK468" s="45" t="s">
        <v>78</v>
      </c>
      <c r="AL468" s="45">
        <v>7</v>
      </c>
      <c r="AM468" s="45">
        <v>30</v>
      </c>
      <c r="AN468" s="45">
        <v>4.2857142860000002</v>
      </c>
      <c r="AO468" s="45">
        <v>1.571428571</v>
      </c>
      <c r="AP468" s="45"/>
      <c r="AQ468" s="45"/>
      <c r="AR468" s="45"/>
    </row>
    <row r="469" spans="1:44" x14ac:dyDescent="0.35">
      <c r="A469">
        <v>5</v>
      </c>
      <c r="B469">
        <v>1</v>
      </c>
      <c r="C469">
        <v>1</v>
      </c>
      <c r="D469">
        <v>1</v>
      </c>
      <c r="E469">
        <v>4</v>
      </c>
      <c r="F469">
        <v>5</v>
      </c>
      <c r="G469">
        <v>5</v>
      </c>
      <c r="H469" s="25">
        <f t="shared" si="106"/>
        <v>5</v>
      </c>
      <c r="I469" s="25">
        <f t="shared" si="107"/>
        <v>5</v>
      </c>
      <c r="J469" s="25">
        <f t="shared" si="108"/>
        <v>1</v>
      </c>
      <c r="K469" s="25">
        <f t="shared" si="109"/>
        <v>5</v>
      </c>
      <c r="L469" s="25">
        <f t="shared" si="110"/>
        <v>2</v>
      </c>
      <c r="M469" s="25">
        <f t="shared" si="111"/>
        <v>5</v>
      </c>
      <c r="N469" s="25">
        <f t="shared" si="112"/>
        <v>5</v>
      </c>
      <c r="O469" s="32">
        <f t="shared" si="113"/>
        <v>0.84420266961423651</v>
      </c>
      <c r="P469" s="32">
        <f t="shared" si="114"/>
        <v>1.0418053570413823</v>
      </c>
      <c r="Q469" s="32">
        <f t="shared" si="115"/>
        <v>-2.8088805663860001</v>
      </c>
      <c r="R469" s="32">
        <f t="shared" si="116"/>
        <v>1.0506390162289212</v>
      </c>
      <c r="S469" s="32">
        <f t="shared" si="117"/>
        <v>-1.664945689869646</v>
      </c>
      <c r="T469" s="32">
        <f t="shared" si="118"/>
        <v>0.81206041627470116</v>
      </c>
      <c r="U469" s="32">
        <f t="shared" si="119"/>
        <v>0.80563658408767735</v>
      </c>
      <c r="V469" s="37">
        <f t="shared" si="120"/>
        <v>1.1502540998753221E-2</v>
      </c>
      <c r="W469"/>
      <c r="AK469" s="45" t="s">
        <v>78</v>
      </c>
      <c r="AL469" s="45">
        <v>7</v>
      </c>
      <c r="AM469" s="45">
        <v>26</v>
      </c>
      <c r="AN469" s="45">
        <v>3.7142857139999998</v>
      </c>
      <c r="AO469" s="45">
        <v>1.571428571</v>
      </c>
      <c r="AP469" s="45"/>
      <c r="AQ469" s="45"/>
      <c r="AR469" s="45"/>
    </row>
    <row r="470" spans="1:44" x14ac:dyDescent="0.35">
      <c r="A470">
        <v>2</v>
      </c>
      <c r="B470">
        <v>4</v>
      </c>
      <c r="C470">
        <v>4</v>
      </c>
      <c r="D470">
        <v>1</v>
      </c>
      <c r="E470">
        <v>4</v>
      </c>
      <c r="F470">
        <v>5</v>
      </c>
      <c r="G470">
        <v>5</v>
      </c>
      <c r="H470" s="25">
        <f t="shared" si="106"/>
        <v>2</v>
      </c>
      <c r="I470" s="25">
        <f t="shared" si="107"/>
        <v>2</v>
      </c>
      <c r="J470" s="25">
        <f t="shared" si="108"/>
        <v>4</v>
      </c>
      <c r="K470" s="25">
        <f t="shared" si="109"/>
        <v>5</v>
      </c>
      <c r="L470" s="25">
        <f t="shared" si="110"/>
        <v>2</v>
      </c>
      <c r="M470" s="25">
        <f t="shared" si="111"/>
        <v>5</v>
      </c>
      <c r="N470" s="25">
        <f t="shared" si="112"/>
        <v>5</v>
      </c>
      <c r="O470" s="32">
        <f t="shared" si="113"/>
        <v>-1.8576097536123615</v>
      </c>
      <c r="P470" s="32">
        <f t="shared" si="114"/>
        <v>-1.2927857385104427</v>
      </c>
      <c r="Q470" s="32">
        <f t="shared" si="115"/>
        <v>-9.6984149849158471E-2</v>
      </c>
      <c r="R470" s="32">
        <f t="shared" si="116"/>
        <v>1.0506390162289212</v>
      </c>
      <c r="S470" s="32">
        <f t="shared" si="117"/>
        <v>-1.664945689869646</v>
      </c>
      <c r="T470" s="32">
        <f t="shared" si="118"/>
        <v>0.81206041627470116</v>
      </c>
      <c r="U470" s="32">
        <f t="shared" si="119"/>
        <v>0.80563658408767735</v>
      </c>
      <c r="V470" s="37">
        <f t="shared" si="120"/>
        <v>-0.32056990217861564</v>
      </c>
      <c r="W470"/>
      <c r="AK470" s="45" t="s">
        <v>78</v>
      </c>
      <c r="AL470" s="45">
        <v>7</v>
      </c>
      <c r="AM470" s="45">
        <v>28</v>
      </c>
      <c r="AN470" s="45">
        <v>4</v>
      </c>
      <c r="AO470" s="45">
        <v>1.6666666670000001</v>
      </c>
      <c r="AP470" s="45"/>
      <c r="AQ470" s="45"/>
      <c r="AR470" s="45"/>
    </row>
    <row r="471" spans="1:44" x14ac:dyDescent="0.35">
      <c r="A471">
        <v>1</v>
      </c>
      <c r="B471">
        <v>1</v>
      </c>
      <c r="C471">
        <v>5</v>
      </c>
      <c r="D471">
        <v>1</v>
      </c>
      <c r="E471">
        <v>4</v>
      </c>
      <c r="F471">
        <v>5</v>
      </c>
      <c r="G471">
        <v>5</v>
      </c>
      <c r="H471" s="25">
        <f t="shared" si="106"/>
        <v>1</v>
      </c>
      <c r="I471" s="25">
        <f t="shared" si="107"/>
        <v>5</v>
      </c>
      <c r="J471" s="25">
        <f t="shared" si="108"/>
        <v>5</v>
      </c>
      <c r="K471" s="25">
        <f t="shared" si="109"/>
        <v>5</v>
      </c>
      <c r="L471" s="25">
        <f t="shared" si="110"/>
        <v>2</v>
      </c>
      <c r="M471" s="25">
        <f t="shared" si="111"/>
        <v>5</v>
      </c>
      <c r="N471" s="25">
        <f t="shared" si="112"/>
        <v>5</v>
      </c>
      <c r="O471" s="32">
        <f t="shared" si="113"/>
        <v>-2.758213894687894</v>
      </c>
      <c r="P471" s="32">
        <f t="shared" si="114"/>
        <v>1.0418053570413823</v>
      </c>
      <c r="Q471" s="32">
        <f t="shared" si="115"/>
        <v>0.80698132232978881</v>
      </c>
      <c r="R471" s="32">
        <f t="shared" si="116"/>
        <v>1.0506390162289212</v>
      </c>
      <c r="S471" s="32">
        <f t="shared" si="117"/>
        <v>-1.664945689869646</v>
      </c>
      <c r="T471" s="32">
        <f t="shared" si="118"/>
        <v>0.81206041627470116</v>
      </c>
      <c r="U471" s="32">
        <f t="shared" si="119"/>
        <v>0.80563658408767735</v>
      </c>
      <c r="V471" s="37">
        <f t="shared" si="120"/>
        <v>1.3423301629275837E-2</v>
      </c>
      <c r="W471"/>
      <c r="AK471" s="45" t="s">
        <v>78</v>
      </c>
      <c r="AL471" s="45">
        <v>7</v>
      </c>
      <c r="AM471" s="45">
        <v>27</v>
      </c>
      <c r="AN471" s="45">
        <v>3.8571428569999999</v>
      </c>
      <c r="AO471" s="45">
        <v>2.4761904760000002</v>
      </c>
      <c r="AP471" s="45"/>
      <c r="AQ471" s="45"/>
      <c r="AR471" s="45"/>
    </row>
    <row r="472" spans="1:44" x14ac:dyDescent="0.35">
      <c r="A472">
        <v>5</v>
      </c>
      <c r="B472">
        <v>1</v>
      </c>
      <c r="C472">
        <v>5</v>
      </c>
      <c r="D472">
        <v>3</v>
      </c>
      <c r="E472">
        <v>4</v>
      </c>
      <c r="F472">
        <v>5</v>
      </c>
      <c r="G472">
        <v>5</v>
      </c>
      <c r="H472" s="25">
        <f t="shared" si="106"/>
        <v>5</v>
      </c>
      <c r="I472" s="25">
        <f t="shared" si="107"/>
        <v>5</v>
      </c>
      <c r="J472" s="25">
        <f t="shared" si="108"/>
        <v>5</v>
      </c>
      <c r="K472" s="25">
        <f t="shared" si="109"/>
        <v>3</v>
      </c>
      <c r="L472" s="25">
        <f t="shared" si="110"/>
        <v>2</v>
      </c>
      <c r="M472" s="25">
        <f t="shared" si="111"/>
        <v>5</v>
      </c>
      <c r="N472" s="25">
        <f t="shared" si="112"/>
        <v>5</v>
      </c>
      <c r="O472" s="32">
        <f t="shared" si="113"/>
        <v>0.84420266961423651</v>
      </c>
      <c r="P472" s="32">
        <f t="shared" si="114"/>
        <v>1.0418053570413823</v>
      </c>
      <c r="Q472" s="32">
        <f t="shared" si="115"/>
        <v>0.80698132232978881</v>
      </c>
      <c r="R472" s="32">
        <f t="shared" si="116"/>
        <v>-0.61891576076406762</v>
      </c>
      <c r="S472" s="32">
        <f t="shared" si="117"/>
        <v>-1.664945689869646</v>
      </c>
      <c r="T472" s="32">
        <f t="shared" si="118"/>
        <v>0.81206041627470116</v>
      </c>
      <c r="U472" s="32">
        <f t="shared" si="119"/>
        <v>0.80563658408767735</v>
      </c>
      <c r="V472" s="37">
        <f t="shared" si="120"/>
        <v>0.28954641410201037</v>
      </c>
      <c r="W472"/>
      <c r="AK472" s="45" t="s">
        <v>78</v>
      </c>
      <c r="AL472" s="45">
        <v>7</v>
      </c>
      <c r="AM472" s="45">
        <v>28</v>
      </c>
      <c r="AN472" s="45">
        <v>4</v>
      </c>
      <c r="AO472" s="45">
        <v>3</v>
      </c>
      <c r="AP472" s="45"/>
      <c r="AQ472" s="45"/>
      <c r="AR472" s="45"/>
    </row>
    <row r="473" spans="1:44" x14ac:dyDescent="0.35">
      <c r="A473">
        <v>3</v>
      </c>
      <c r="B473">
        <v>3</v>
      </c>
      <c r="C473">
        <v>5</v>
      </c>
      <c r="D473">
        <v>3</v>
      </c>
      <c r="E473">
        <v>4</v>
      </c>
      <c r="F473">
        <v>5</v>
      </c>
      <c r="G473">
        <v>5</v>
      </c>
      <c r="H473" s="25">
        <f t="shared" si="106"/>
        <v>3</v>
      </c>
      <c r="I473" s="25">
        <f t="shared" si="107"/>
        <v>3</v>
      </c>
      <c r="J473" s="25">
        <f t="shared" si="108"/>
        <v>5</v>
      </c>
      <c r="K473" s="25">
        <f t="shared" si="109"/>
        <v>3</v>
      </c>
      <c r="L473" s="25">
        <f t="shared" si="110"/>
        <v>2</v>
      </c>
      <c r="M473" s="25">
        <f t="shared" si="111"/>
        <v>5</v>
      </c>
      <c r="N473" s="25">
        <f t="shared" si="112"/>
        <v>5</v>
      </c>
      <c r="O473" s="32">
        <f t="shared" si="113"/>
        <v>-0.95700561253682881</v>
      </c>
      <c r="P473" s="32">
        <f t="shared" si="114"/>
        <v>-0.51458870665983425</v>
      </c>
      <c r="Q473" s="32">
        <f t="shared" si="115"/>
        <v>0.80698132232978881</v>
      </c>
      <c r="R473" s="32">
        <f t="shared" si="116"/>
        <v>-0.61891576076406762</v>
      </c>
      <c r="S473" s="32">
        <f t="shared" si="117"/>
        <v>-1.664945689869646</v>
      </c>
      <c r="T473" s="32">
        <f t="shared" si="118"/>
        <v>0.81206041627470116</v>
      </c>
      <c r="U473" s="32">
        <f t="shared" si="119"/>
        <v>0.80563658408767735</v>
      </c>
      <c r="V473" s="37">
        <f t="shared" si="120"/>
        <v>-0.19011106387688703</v>
      </c>
      <c r="W473"/>
      <c r="AK473" s="45" t="s">
        <v>78</v>
      </c>
      <c r="AL473" s="45">
        <v>7</v>
      </c>
      <c r="AM473" s="45">
        <v>25</v>
      </c>
      <c r="AN473" s="45">
        <v>3.5714285710000002</v>
      </c>
      <c r="AO473" s="45">
        <v>2.2857142860000002</v>
      </c>
      <c r="AP473" s="45"/>
      <c r="AQ473" s="45"/>
      <c r="AR473" s="45"/>
    </row>
    <row r="474" spans="1:44" x14ac:dyDescent="0.35">
      <c r="A474">
        <v>5</v>
      </c>
      <c r="B474">
        <v>5</v>
      </c>
      <c r="C474">
        <v>5</v>
      </c>
      <c r="D474">
        <v>3</v>
      </c>
      <c r="E474">
        <v>4</v>
      </c>
      <c r="F474">
        <v>5</v>
      </c>
      <c r="G474">
        <v>5</v>
      </c>
      <c r="H474" s="25">
        <f t="shared" si="106"/>
        <v>5</v>
      </c>
      <c r="I474" s="25">
        <f t="shared" si="107"/>
        <v>1</v>
      </c>
      <c r="J474" s="25">
        <f t="shared" si="108"/>
        <v>5</v>
      </c>
      <c r="K474" s="25">
        <f t="shared" si="109"/>
        <v>3</v>
      </c>
      <c r="L474" s="25">
        <f t="shared" si="110"/>
        <v>2</v>
      </c>
      <c r="M474" s="25">
        <f t="shared" si="111"/>
        <v>5</v>
      </c>
      <c r="N474" s="25">
        <f t="shared" si="112"/>
        <v>5</v>
      </c>
      <c r="O474" s="32">
        <f t="shared" si="113"/>
        <v>0.84420266961423651</v>
      </c>
      <c r="P474" s="32">
        <f t="shared" si="114"/>
        <v>-2.0709827703610508</v>
      </c>
      <c r="Q474" s="32">
        <f t="shared" si="115"/>
        <v>0.80698132232978881</v>
      </c>
      <c r="R474" s="32">
        <f t="shared" si="116"/>
        <v>-0.61891576076406762</v>
      </c>
      <c r="S474" s="32">
        <f t="shared" si="117"/>
        <v>-1.664945689869646</v>
      </c>
      <c r="T474" s="32">
        <f t="shared" si="118"/>
        <v>0.81206041627470116</v>
      </c>
      <c r="U474" s="32">
        <f t="shared" si="119"/>
        <v>0.80563658408767735</v>
      </c>
      <c r="V474" s="37">
        <f t="shared" si="120"/>
        <v>-0.15513760409833721</v>
      </c>
      <c r="W474"/>
      <c r="AK474" s="45" t="s">
        <v>78</v>
      </c>
      <c r="AL474" s="45">
        <v>7</v>
      </c>
      <c r="AM474" s="45">
        <v>28</v>
      </c>
      <c r="AN474" s="45">
        <v>4</v>
      </c>
      <c r="AO474" s="45">
        <v>3</v>
      </c>
      <c r="AP474" s="45"/>
      <c r="AQ474" s="45"/>
      <c r="AR474" s="45"/>
    </row>
    <row r="475" spans="1:44" x14ac:dyDescent="0.35">
      <c r="A475">
        <v>5</v>
      </c>
      <c r="B475">
        <v>5</v>
      </c>
      <c r="C475">
        <v>5</v>
      </c>
      <c r="D475">
        <v>3</v>
      </c>
      <c r="E475">
        <v>4</v>
      </c>
      <c r="F475">
        <v>5</v>
      </c>
      <c r="G475">
        <v>5</v>
      </c>
      <c r="H475" s="25">
        <f t="shared" si="106"/>
        <v>5</v>
      </c>
      <c r="I475" s="25">
        <f t="shared" si="107"/>
        <v>1</v>
      </c>
      <c r="J475" s="25">
        <f t="shared" si="108"/>
        <v>5</v>
      </c>
      <c r="K475" s="25">
        <f t="shared" si="109"/>
        <v>3</v>
      </c>
      <c r="L475" s="25">
        <f t="shared" si="110"/>
        <v>2</v>
      </c>
      <c r="M475" s="25">
        <f t="shared" si="111"/>
        <v>5</v>
      </c>
      <c r="N475" s="25">
        <f t="shared" si="112"/>
        <v>5</v>
      </c>
      <c r="O475" s="32">
        <f t="shared" si="113"/>
        <v>0.84420266961423651</v>
      </c>
      <c r="P475" s="32">
        <f t="shared" si="114"/>
        <v>-2.0709827703610508</v>
      </c>
      <c r="Q475" s="32">
        <f t="shared" si="115"/>
        <v>0.80698132232978881</v>
      </c>
      <c r="R475" s="32">
        <f t="shared" si="116"/>
        <v>-0.61891576076406762</v>
      </c>
      <c r="S475" s="32">
        <f t="shared" si="117"/>
        <v>-1.664945689869646</v>
      </c>
      <c r="T475" s="32">
        <f t="shared" si="118"/>
        <v>0.81206041627470116</v>
      </c>
      <c r="U475" s="32">
        <f t="shared" si="119"/>
        <v>0.80563658408767735</v>
      </c>
      <c r="V475" s="37">
        <f t="shared" si="120"/>
        <v>-0.15513760409833721</v>
      </c>
      <c r="W475"/>
      <c r="AK475" s="45" t="s">
        <v>78</v>
      </c>
      <c r="AL475" s="45">
        <v>7</v>
      </c>
      <c r="AM475" s="45">
        <v>30</v>
      </c>
      <c r="AN475" s="45">
        <v>4.2857142860000002</v>
      </c>
      <c r="AO475" s="45">
        <v>1.571428571</v>
      </c>
      <c r="AP475" s="45"/>
      <c r="AQ475" s="45"/>
      <c r="AR475" s="45"/>
    </row>
    <row r="476" spans="1:44" x14ac:dyDescent="0.35">
      <c r="A476">
        <v>3</v>
      </c>
      <c r="B476">
        <v>3</v>
      </c>
      <c r="C476">
        <v>1</v>
      </c>
      <c r="D476">
        <v>4</v>
      </c>
      <c r="E476">
        <v>4</v>
      </c>
      <c r="F476">
        <v>5</v>
      </c>
      <c r="G476">
        <v>5</v>
      </c>
      <c r="H476" s="25">
        <f t="shared" si="106"/>
        <v>3</v>
      </c>
      <c r="I476" s="25">
        <f t="shared" si="107"/>
        <v>3</v>
      </c>
      <c r="J476" s="25">
        <f t="shared" si="108"/>
        <v>1</v>
      </c>
      <c r="K476" s="25">
        <f t="shared" si="109"/>
        <v>2</v>
      </c>
      <c r="L476" s="25">
        <f t="shared" si="110"/>
        <v>2</v>
      </c>
      <c r="M476" s="25">
        <f t="shared" si="111"/>
        <v>5</v>
      </c>
      <c r="N476" s="25">
        <f t="shared" si="112"/>
        <v>5</v>
      </c>
      <c r="O476" s="32">
        <f t="shared" si="113"/>
        <v>-0.95700561253682881</v>
      </c>
      <c r="P476" s="32">
        <f t="shared" si="114"/>
        <v>-0.51458870665983425</v>
      </c>
      <c r="Q476" s="32">
        <f t="shared" si="115"/>
        <v>-2.8088805663860001</v>
      </c>
      <c r="R476" s="32">
        <f t="shared" si="116"/>
        <v>-1.453693149260562</v>
      </c>
      <c r="S476" s="32">
        <f t="shared" si="117"/>
        <v>-1.664945689869646</v>
      </c>
      <c r="T476" s="32">
        <f t="shared" si="118"/>
        <v>0.81206041627470116</v>
      </c>
      <c r="U476" s="32">
        <f t="shared" si="119"/>
        <v>0.80563658408767735</v>
      </c>
      <c r="V476" s="37">
        <f t="shared" si="120"/>
        <v>-0.82591667490721321</v>
      </c>
      <c r="W476"/>
      <c r="AK476" s="45" t="s">
        <v>78</v>
      </c>
      <c r="AL476" s="45">
        <v>7</v>
      </c>
      <c r="AM476" s="45">
        <v>26</v>
      </c>
      <c r="AN476" s="45">
        <v>3.7142857139999998</v>
      </c>
      <c r="AO476" s="45">
        <v>1.571428571</v>
      </c>
      <c r="AP476" s="45"/>
      <c r="AQ476" s="45"/>
      <c r="AR476" s="45"/>
    </row>
    <row r="477" spans="1:44" x14ac:dyDescent="0.35">
      <c r="A477">
        <v>4</v>
      </c>
      <c r="B477">
        <v>4</v>
      </c>
      <c r="C477">
        <v>4</v>
      </c>
      <c r="D477">
        <v>4</v>
      </c>
      <c r="E477">
        <v>4</v>
      </c>
      <c r="F477">
        <v>5</v>
      </c>
      <c r="G477">
        <v>5</v>
      </c>
      <c r="H477" s="25">
        <f t="shared" si="106"/>
        <v>4</v>
      </c>
      <c r="I477" s="25">
        <f t="shared" si="107"/>
        <v>2</v>
      </c>
      <c r="J477" s="25">
        <f t="shared" si="108"/>
        <v>4</v>
      </c>
      <c r="K477" s="25">
        <f t="shared" si="109"/>
        <v>2</v>
      </c>
      <c r="L477" s="25">
        <f t="shared" si="110"/>
        <v>2</v>
      </c>
      <c r="M477" s="25">
        <f t="shared" si="111"/>
        <v>5</v>
      </c>
      <c r="N477" s="25">
        <f t="shared" si="112"/>
        <v>5</v>
      </c>
      <c r="O477" s="32">
        <f t="shared" si="113"/>
        <v>-5.6401471461296142E-2</v>
      </c>
      <c r="P477" s="32">
        <f t="shared" si="114"/>
        <v>-1.2927857385104427</v>
      </c>
      <c r="Q477" s="32">
        <f t="shared" si="115"/>
        <v>-9.6984149849158471E-2</v>
      </c>
      <c r="R477" s="32">
        <f t="shared" si="116"/>
        <v>-1.453693149260562</v>
      </c>
      <c r="S477" s="32">
        <f t="shared" si="117"/>
        <v>-1.664945689869646</v>
      </c>
      <c r="T477" s="32">
        <f t="shared" si="118"/>
        <v>0.81206041627470116</v>
      </c>
      <c r="U477" s="32">
        <f t="shared" si="119"/>
        <v>0.80563658408767735</v>
      </c>
      <c r="V477" s="37">
        <f t="shared" si="120"/>
        <v>-0.42101617122696094</v>
      </c>
      <c r="W477"/>
      <c r="AK477" s="45" t="s">
        <v>78</v>
      </c>
      <c r="AL477" s="45">
        <v>7</v>
      </c>
      <c r="AM477" s="45">
        <v>26</v>
      </c>
      <c r="AN477" s="45">
        <v>3.7142857139999998</v>
      </c>
      <c r="AO477" s="45">
        <v>2.904761905</v>
      </c>
      <c r="AP477" s="45"/>
      <c r="AQ477" s="45"/>
      <c r="AR477" s="45"/>
    </row>
    <row r="478" spans="1:44" x14ac:dyDescent="0.35">
      <c r="A478">
        <v>5</v>
      </c>
      <c r="B478">
        <v>5</v>
      </c>
      <c r="C478">
        <v>4</v>
      </c>
      <c r="D478">
        <v>4</v>
      </c>
      <c r="E478">
        <v>4</v>
      </c>
      <c r="F478">
        <v>5</v>
      </c>
      <c r="G478">
        <v>5</v>
      </c>
      <c r="H478" s="25">
        <f t="shared" si="106"/>
        <v>5</v>
      </c>
      <c r="I478" s="25">
        <f t="shared" si="107"/>
        <v>1</v>
      </c>
      <c r="J478" s="25">
        <f t="shared" si="108"/>
        <v>4</v>
      </c>
      <c r="K478" s="25">
        <f t="shared" si="109"/>
        <v>2</v>
      </c>
      <c r="L478" s="25">
        <f t="shared" si="110"/>
        <v>2</v>
      </c>
      <c r="M478" s="25">
        <f t="shared" si="111"/>
        <v>5</v>
      </c>
      <c r="N478" s="25">
        <f t="shared" si="112"/>
        <v>5</v>
      </c>
      <c r="O478" s="32">
        <f t="shared" si="113"/>
        <v>0.84420266961423651</v>
      </c>
      <c r="P478" s="32">
        <f t="shared" si="114"/>
        <v>-2.0709827703610508</v>
      </c>
      <c r="Q478" s="32">
        <f t="shared" si="115"/>
        <v>-9.6984149849158471E-2</v>
      </c>
      <c r="R478" s="32">
        <f t="shared" si="116"/>
        <v>-1.453693149260562</v>
      </c>
      <c r="S478" s="32">
        <f t="shared" si="117"/>
        <v>-1.664945689869646</v>
      </c>
      <c r="T478" s="32">
        <f t="shared" si="118"/>
        <v>0.81206041627470116</v>
      </c>
      <c r="U478" s="32">
        <f t="shared" si="119"/>
        <v>0.80563658408767735</v>
      </c>
      <c r="V478" s="37">
        <f t="shared" si="120"/>
        <v>-0.40352944133768609</v>
      </c>
      <c r="W478"/>
      <c r="AK478" s="45" t="s">
        <v>78</v>
      </c>
      <c r="AL478" s="45">
        <v>7</v>
      </c>
      <c r="AM478" s="45">
        <v>26</v>
      </c>
      <c r="AN478" s="45">
        <v>3.7142857139999998</v>
      </c>
      <c r="AO478" s="45">
        <v>2.904761905</v>
      </c>
      <c r="AP478" s="45"/>
      <c r="AQ478" s="45"/>
      <c r="AR478" s="45"/>
    </row>
    <row r="479" spans="1:44" x14ac:dyDescent="0.35">
      <c r="A479">
        <v>5</v>
      </c>
      <c r="B479">
        <v>1</v>
      </c>
      <c r="C479">
        <v>5</v>
      </c>
      <c r="D479">
        <v>1</v>
      </c>
      <c r="E479">
        <v>5</v>
      </c>
      <c r="F479">
        <v>5</v>
      </c>
      <c r="G479">
        <v>5</v>
      </c>
      <c r="H479" s="25">
        <f t="shared" si="106"/>
        <v>5</v>
      </c>
      <c r="I479" s="25">
        <f t="shared" si="107"/>
        <v>5</v>
      </c>
      <c r="J479" s="25">
        <f t="shared" si="108"/>
        <v>5</v>
      </c>
      <c r="K479" s="25">
        <f t="shared" si="109"/>
        <v>5</v>
      </c>
      <c r="L479" s="25">
        <f t="shared" si="110"/>
        <v>1</v>
      </c>
      <c r="M479" s="25">
        <f t="shared" si="111"/>
        <v>5</v>
      </c>
      <c r="N479" s="25">
        <f t="shared" si="112"/>
        <v>5</v>
      </c>
      <c r="O479" s="32">
        <f t="shared" si="113"/>
        <v>0.84420266961423651</v>
      </c>
      <c r="P479" s="32">
        <f t="shared" si="114"/>
        <v>1.0418053570413823</v>
      </c>
      <c r="Q479" s="32">
        <f t="shared" si="115"/>
        <v>0.80698132232978881</v>
      </c>
      <c r="R479" s="32">
        <f t="shared" si="116"/>
        <v>1.0506390162289212</v>
      </c>
      <c r="S479" s="32">
        <f t="shared" si="117"/>
        <v>-2.5094833586441041</v>
      </c>
      <c r="T479" s="32">
        <f t="shared" si="118"/>
        <v>0.81206041627470116</v>
      </c>
      <c r="U479" s="32">
        <f t="shared" si="119"/>
        <v>0.80563658408767735</v>
      </c>
      <c r="V479" s="37">
        <f t="shared" si="120"/>
        <v>0.40740600099037189</v>
      </c>
      <c r="W479"/>
      <c r="AK479" s="45" t="s">
        <v>78</v>
      </c>
      <c r="AL479" s="45">
        <v>7</v>
      </c>
      <c r="AM479" s="45">
        <v>21</v>
      </c>
      <c r="AN479" s="45">
        <v>3</v>
      </c>
      <c r="AO479" s="45">
        <v>2.3333333330000001</v>
      </c>
      <c r="AP479" s="45"/>
      <c r="AQ479" s="45"/>
      <c r="AR479" s="45"/>
    </row>
    <row r="480" spans="1:44" x14ac:dyDescent="0.35">
      <c r="A480">
        <v>5</v>
      </c>
      <c r="B480">
        <v>1</v>
      </c>
      <c r="C480">
        <v>5</v>
      </c>
      <c r="D480">
        <v>1</v>
      </c>
      <c r="E480">
        <v>5</v>
      </c>
      <c r="F480">
        <v>5</v>
      </c>
      <c r="G480">
        <v>5</v>
      </c>
      <c r="H480" s="25">
        <f t="shared" si="106"/>
        <v>5</v>
      </c>
      <c r="I480" s="25">
        <f t="shared" si="107"/>
        <v>5</v>
      </c>
      <c r="J480" s="25">
        <f t="shared" si="108"/>
        <v>5</v>
      </c>
      <c r="K480" s="25">
        <f t="shared" si="109"/>
        <v>5</v>
      </c>
      <c r="L480" s="25">
        <f t="shared" si="110"/>
        <v>1</v>
      </c>
      <c r="M480" s="25">
        <f t="shared" si="111"/>
        <v>5</v>
      </c>
      <c r="N480" s="25">
        <f t="shared" si="112"/>
        <v>5</v>
      </c>
      <c r="O480" s="32">
        <f t="shared" si="113"/>
        <v>0.84420266961423651</v>
      </c>
      <c r="P480" s="32">
        <f t="shared" si="114"/>
        <v>1.0418053570413823</v>
      </c>
      <c r="Q480" s="32">
        <f t="shared" si="115"/>
        <v>0.80698132232978881</v>
      </c>
      <c r="R480" s="32">
        <f t="shared" si="116"/>
        <v>1.0506390162289212</v>
      </c>
      <c r="S480" s="32">
        <f t="shared" si="117"/>
        <v>-2.5094833586441041</v>
      </c>
      <c r="T480" s="32">
        <f t="shared" si="118"/>
        <v>0.81206041627470116</v>
      </c>
      <c r="U480" s="32">
        <f t="shared" si="119"/>
        <v>0.80563658408767735</v>
      </c>
      <c r="V480" s="37">
        <f t="shared" si="120"/>
        <v>0.40740600099037189</v>
      </c>
      <c r="W480"/>
      <c r="AK480" s="45" t="s">
        <v>78</v>
      </c>
      <c r="AL480" s="45">
        <v>7</v>
      </c>
      <c r="AM480" s="45">
        <v>24</v>
      </c>
      <c r="AN480" s="45">
        <v>3.4285714289999998</v>
      </c>
      <c r="AO480" s="45">
        <v>1.9523809519999999</v>
      </c>
      <c r="AP480" s="45"/>
      <c r="AQ480" s="45"/>
      <c r="AR480" s="45"/>
    </row>
    <row r="481" spans="1:44" x14ac:dyDescent="0.35">
      <c r="A481">
        <v>5</v>
      </c>
      <c r="B481">
        <v>5</v>
      </c>
      <c r="C481">
        <v>5</v>
      </c>
      <c r="D481">
        <v>1</v>
      </c>
      <c r="E481">
        <v>5</v>
      </c>
      <c r="F481">
        <v>5</v>
      </c>
      <c r="G481">
        <v>5</v>
      </c>
      <c r="H481" s="25">
        <f t="shared" si="106"/>
        <v>5</v>
      </c>
      <c r="I481" s="25">
        <f t="shared" si="107"/>
        <v>1</v>
      </c>
      <c r="J481" s="25">
        <f t="shared" si="108"/>
        <v>5</v>
      </c>
      <c r="K481" s="25">
        <f t="shared" si="109"/>
        <v>5</v>
      </c>
      <c r="L481" s="25">
        <f t="shared" si="110"/>
        <v>1</v>
      </c>
      <c r="M481" s="25">
        <f t="shared" si="111"/>
        <v>5</v>
      </c>
      <c r="N481" s="25">
        <f t="shared" si="112"/>
        <v>5</v>
      </c>
      <c r="O481" s="32">
        <f t="shared" si="113"/>
        <v>0.84420266961423651</v>
      </c>
      <c r="P481" s="32">
        <f t="shared" si="114"/>
        <v>-2.0709827703610508</v>
      </c>
      <c r="Q481" s="32">
        <f t="shared" si="115"/>
        <v>0.80698132232978881</v>
      </c>
      <c r="R481" s="32">
        <f t="shared" si="116"/>
        <v>1.0506390162289212</v>
      </c>
      <c r="S481" s="32">
        <f t="shared" si="117"/>
        <v>-2.5094833586441041</v>
      </c>
      <c r="T481" s="32">
        <f t="shared" si="118"/>
        <v>0.81206041627470116</v>
      </c>
      <c r="U481" s="32">
        <f t="shared" si="119"/>
        <v>0.80563658408767735</v>
      </c>
      <c r="V481" s="37">
        <f t="shared" si="120"/>
        <v>-3.7278017209975686E-2</v>
      </c>
      <c r="W481"/>
      <c r="AK481" s="45" t="s">
        <v>78</v>
      </c>
      <c r="AL481" s="45">
        <v>7</v>
      </c>
      <c r="AM481" s="45">
        <v>24</v>
      </c>
      <c r="AN481" s="45">
        <v>3.4285714289999998</v>
      </c>
      <c r="AO481" s="45">
        <v>2.9523809519999999</v>
      </c>
      <c r="AP481" s="45"/>
      <c r="AQ481" s="45"/>
      <c r="AR481" s="45"/>
    </row>
    <row r="482" spans="1:44" x14ac:dyDescent="0.35">
      <c r="A482">
        <v>5</v>
      </c>
      <c r="B482">
        <v>1</v>
      </c>
      <c r="C482">
        <v>4</v>
      </c>
      <c r="D482">
        <v>2</v>
      </c>
      <c r="E482">
        <v>5</v>
      </c>
      <c r="F482">
        <v>5</v>
      </c>
      <c r="G482">
        <v>5</v>
      </c>
      <c r="H482" s="25">
        <f t="shared" si="106"/>
        <v>5</v>
      </c>
      <c r="I482" s="25">
        <f t="shared" si="107"/>
        <v>5</v>
      </c>
      <c r="J482" s="25">
        <f t="shared" si="108"/>
        <v>4</v>
      </c>
      <c r="K482" s="25">
        <f t="shared" si="109"/>
        <v>4</v>
      </c>
      <c r="L482" s="25">
        <f t="shared" si="110"/>
        <v>1</v>
      </c>
      <c r="M482" s="25">
        <f t="shared" si="111"/>
        <v>5</v>
      </c>
      <c r="N482" s="25">
        <f t="shared" si="112"/>
        <v>5</v>
      </c>
      <c r="O482" s="32">
        <f t="shared" si="113"/>
        <v>0.84420266961423651</v>
      </c>
      <c r="P482" s="32">
        <f t="shared" si="114"/>
        <v>1.0418053570413823</v>
      </c>
      <c r="Q482" s="32">
        <f t="shared" si="115"/>
        <v>-9.6984149849158471E-2</v>
      </c>
      <c r="R482" s="32">
        <f t="shared" si="116"/>
        <v>0.21586162773242673</v>
      </c>
      <c r="S482" s="32">
        <f t="shared" si="117"/>
        <v>-2.5094833586441041</v>
      </c>
      <c r="T482" s="32">
        <f t="shared" si="118"/>
        <v>0.81206041627470116</v>
      </c>
      <c r="U482" s="32">
        <f t="shared" si="119"/>
        <v>0.80563658408767735</v>
      </c>
      <c r="V482" s="37">
        <f t="shared" si="120"/>
        <v>0.15901416375102312</v>
      </c>
      <c r="W482"/>
      <c r="AK482" s="45" t="s">
        <v>78</v>
      </c>
      <c r="AL482" s="45">
        <v>7</v>
      </c>
      <c r="AM482" s="45">
        <v>31</v>
      </c>
      <c r="AN482" s="45">
        <v>4.4285714289999998</v>
      </c>
      <c r="AO482" s="45">
        <v>2.2857142860000002</v>
      </c>
      <c r="AP482" s="45"/>
      <c r="AQ482" s="45"/>
      <c r="AR482" s="45"/>
    </row>
    <row r="483" spans="1:44" x14ac:dyDescent="0.35">
      <c r="A483">
        <v>5</v>
      </c>
      <c r="B483">
        <v>1</v>
      </c>
      <c r="C483">
        <v>5</v>
      </c>
      <c r="D483">
        <v>2</v>
      </c>
      <c r="E483">
        <v>5</v>
      </c>
      <c r="F483">
        <v>5</v>
      </c>
      <c r="G483">
        <v>5</v>
      </c>
      <c r="H483" s="25">
        <f t="shared" si="106"/>
        <v>5</v>
      </c>
      <c r="I483" s="25">
        <f t="shared" si="107"/>
        <v>5</v>
      </c>
      <c r="J483" s="25">
        <f t="shared" si="108"/>
        <v>5</v>
      </c>
      <c r="K483" s="25">
        <f t="shared" si="109"/>
        <v>4</v>
      </c>
      <c r="L483" s="25">
        <f t="shared" si="110"/>
        <v>1</v>
      </c>
      <c r="M483" s="25">
        <f t="shared" si="111"/>
        <v>5</v>
      </c>
      <c r="N483" s="25">
        <f t="shared" si="112"/>
        <v>5</v>
      </c>
      <c r="O483" s="32">
        <f t="shared" si="113"/>
        <v>0.84420266961423651</v>
      </c>
      <c r="P483" s="32">
        <f t="shared" si="114"/>
        <v>1.0418053570413823</v>
      </c>
      <c r="Q483" s="32">
        <f t="shared" si="115"/>
        <v>0.80698132232978881</v>
      </c>
      <c r="R483" s="32">
        <f t="shared" si="116"/>
        <v>0.21586162773242673</v>
      </c>
      <c r="S483" s="32">
        <f t="shared" si="117"/>
        <v>-2.5094833586441041</v>
      </c>
      <c r="T483" s="32">
        <f t="shared" si="118"/>
        <v>0.81206041627470116</v>
      </c>
      <c r="U483" s="32">
        <f t="shared" si="119"/>
        <v>0.80563658408767735</v>
      </c>
      <c r="V483" s="37">
        <f t="shared" si="120"/>
        <v>0.28815208834801559</v>
      </c>
      <c r="W483"/>
      <c r="AK483" s="45" t="s">
        <v>78</v>
      </c>
      <c r="AL483" s="45">
        <v>7</v>
      </c>
      <c r="AM483" s="45">
        <v>31</v>
      </c>
      <c r="AN483" s="45">
        <v>4.4285714289999998</v>
      </c>
      <c r="AO483" s="45">
        <v>2.2857142860000002</v>
      </c>
      <c r="AP483" s="45"/>
      <c r="AQ483" s="45"/>
      <c r="AR483" s="45"/>
    </row>
    <row r="484" spans="1:44" x14ac:dyDescent="0.35">
      <c r="A484">
        <v>5</v>
      </c>
      <c r="B484">
        <v>4</v>
      </c>
      <c r="C484">
        <v>4</v>
      </c>
      <c r="D484">
        <v>4</v>
      </c>
      <c r="E484">
        <v>5</v>
      </c>
      <c r="F484">
        <v>5</v>
      </c>
      <c r="G484">
        <v>5</v>
      </c>
      <c r="H484" s="25">
        <f t="shared" si="106"/>
        <v>5</v>
      </c>
      <c r="I484" s="25">
        <f t="shared" si="107"/>
        <v>2</v>
      </c>
      <c r="J484" s="25">
        <f t="shared" si="108"/>
        <v>4</v>
      </c>
      <c r="K484" s="25">
        <f t="shared" si="109"/>
        <v>2</v>
      </c>
      <c r="L484" s="25">
        <f t="shared" si="110"/>
        <v>1</v>
      </c>
      <c r="M484" s="25">
        <f t="shared" si="111"/>
        <v>5</v>
      </c>
      <c r="N484" s="25">
        <f t="shared" si="112"/>
        <v>5</v>
      </c>
      <c r="O484" s="32">
        <f t="shared" si="113"/>
        <v>0.84420266961423651</v>
      </c>
      <c r="P484" s="32">
        <f t="shared" si="114"/>
        <v>-1.2927857385104427</v>
      </c>
      <c r="Q484" s="32">
        <f t="shared" si="115"/>
        <v>-9.6984149849158471E-2</v>
      </c>
      <c r="R484" s="32">
        <f t="shared" si="116"/>
        <v>-1.453693149260562</v>
      </c>
      <c r="S484" s="32">
        <f t="shared" si="117"/>
        <v>-2.5094833586441041</v>
      </c>
      <c r="T484" s="32">
        <f t="shared" si="118"/>
        <v>0.81206041627470116</v>
      </c>
      <c r="U484" s="32">
        <f t="shared" si="119"/>
        <v>0.80563658408767735</v>
      </c>
      <c r="V484" s="37">
        <f t="shared" si="120"/>
        <v>-0.41300667518395034</v>
      </c>
      <c r="W484"/>
      <c r="AK484" s="45" t="s">
        <v>78</v>
      </c>
      <c r="AL484" s="45">
        <v>7</v>
      </c>
      <c r="AM484" s="45">
        <v>27</v>
      </c>
      <c r="AN484" s="45">
        <v>3.8571428569999999</v>
      </c>
      <c r="AO484" s="45">
        <v>3.80952381</v>
      </c>
      <c r="AP484" s="45"/>
      <c r="AQ484" s="45"/>
      <c r="AR484" s="45"/>
    </row>
    <row r="485" spans="1:44" x14ac:dyDescent="0.35">
      <c r="A485">
        <v>5</v>
      </c>
      <c r="B485">
        <v>1</v>
      </c>
      <c r="C485">
        <v>1</v>
      </c>
      <c r="D485">
        <v>5</v>
      </c>
      <c r="E485">
        <v>5</v>
      </c>
      <c r="F485">
        <v>5</v>
      </c>
      <c r="G485">
        <v>5</v>
      </c>
      <c r="H485" s="25">
        <f t="shared" si="106"/>
        <v>5</v>
      </c>
      <c r="I485" s="25">
        <f t="shared" si="107"/>
        <v>5</v>
      </c>
      <c r="J485" s="25">
        <f t="shared" si="108"/>
        <v>1</v>
      </c>
      <c r="K485" s="25">
        <f t="shared" si="109"/>
        <v>1</v>
      </c>
      <c r="L485" s="25">
        <f t="shared" si="110"/>
        <v>1</v>
      </c>
      <c r="M485" s="25">
        <f t="shared" si="111"/>
        <v>5</v>
      </c>
      <c r="N485" s="25">
        <f t="shared" si="112"/>
        <v>5</v>
      </c>
      <c r="O485" s="32">
        <f t="shared" si="113"/>
        <v>0.84420266961423651</v>
      </c>
      <c r="P485" s="32">
        <f t="shared" si="114"/>
        <v>1.0418053570413823</v>
      </c>
      <c r="Q485" s="32">
        <f t="shared" si="115"/>
        <v>-2.8088805663860001</v>
      </c>
      <c r="R485" s="32">
        <f t="shared" si="116"/>
        <v>-2.2884705377570564</v>
      </c>
      <c r="S485" s="32">
        <f t="shared" si="117"/>
        <v>-2.5094833586441041</v>
      </c>
      <c r="T485" s="32">
        <f t="shared" si="118"/>
        <v>0.81206041627470116</v>
      </c>
      <c r="U485" s="32">
        <f t="shared" si="119"/>
        <v>0.80563658408767735</v>
      </c>
      <c r="V485" s="37">
        <f t="shared" si="120"/>
        <v>-0.58616134796702346</v>
      </c>
      <c r="W485"/>
      <c r="AK485" s="45" t="s">
        <v>78</v>
      </c>
      <c r="AL485" s="45">
        <v>7</v>
      </c>
      <c r="AM485" s="45">
        <v>29</v>
      </c>
      <c r="AN485" s="45">
        <v>4.1428571429999996</v>
      </c>
      <c r="AO485" s="45">
        <v>2.1428571430000001</v>
      </c>
      <c r="AP485" s="45"/>
      <c r="AQ485" s="45"/>
      <c r="AR485" s="45"/>
    </row>
    <row r="486" spans="1:44" x14ac:dyDescent="0.35">
      <c r="A486">
        <v>5</v>
      </c>
      <c r="B486">
        <v>5</v>
      </c>
      <c r="C486">
        <v>1</v>
      </c>
      <c r="D486">
        <v>5</v>
      </c>
      <c r="E486">
        <v>5</v>
      </c>
      <c r="F486">
        <v>5</v>
      </c>
      <c r="G486">
        <v>5</v>
      </c>
      <c r="H486" s="25">
        <f t="shared" si="106"/>
        <v>5</v>
      </c>
      <c r="I486" s="25">
        <f t="shared" si="107"/>
        <v>1</v>
      </c>
      <c r="J486" s="25">
        <f t="shared" si="108"/>
        <v>1</v>
      </c>
      <c r="K486" s="25">
        <f t="shared" si="109"/>
        <v>1</v>
      </c>
      <c r="L486" s="25">
        <f t="shared" si="110"/>
        <v>1</v>
      </c>
      <c r="M486" s="25">
        <f t="shared" si="111"/>
        <v>5</v>
      </c>
      <c r="N486" s="25">
        <f t="shared" si="112"/>
        <v>5</v>
      </c>
      <c r="O486" s="32">
        <f t="shared" si="113"/>
        <v>0.84420266961423651</v>
      </c>
      <c r="P486" s="32">
        <f t="shared" si="114"/>
        <v>-2.0709827703610508</v>
      </c>
      <c r="Q486" s="32">
        <f t="shared" si="115"/>
        <v>-2.8088805663860001</v>
      </c>
      <c r="R486" s="32">
        <f t="shared" si="116"/>
        <v>-2.2884705377570564</v>
      </c>
      <c r="S486" s="32">
        <f t="shared" si="117"/>
        <v>-2.5094833586441041</v>
      </c>
      <c r="T486" s="32">
        <f t="shared" si="118"/>
        <v>0.81206041627470116</v>
      </c>
      <c r="U486" s="32">
        <f t="shared" si="119"/>
        <v>0.80563658408767735</v>
      </c>
      <c r="V486" s="37">
        <f t="shared" si="120"/>
        <v>-1.0308453661673711</v>
      </c>
      <c r="W486"/>
      <c r="AK486" s="45" t="s">
        <v>78</v>
      </c>
      <c r="AL486" s="45">
        <v>7</v>
      </c>
      <c r="AM486" s="45">
        <v>30</v>
      </c>
      <c r="AN486" s="45">
        <v>4.2857142860000002</v>
      </c>
      <c r="AO486" s="45">
        <v>2.2380952380000001</v>
      </c>
      <c r="AP486" s="45"/>
      <c r="AQ486" s="45"/>
      <c r="AR486" s="45"/>
    </row>
    <row r="487" spans="1:44" x14ac:dyDescent="0.35">
      <c r="A487">
        <v>5</v>
      </c>
      <c r="B487">
        <v>1</v>
      </c>
      <c r="C487">
        <v>3</v>
      </c>
      <c r="D487">
        <v>5</v>
      </c>
      <c r="E487">
        <v>5</v>
      </c>
      <c r="F487">
        <v>5</v>
      </c>
      <c r="G487">
        <v>5</v>
      </c>
      <c r="H487" s="25">
        <f t="shared" si="106"/>
        <v>5</v>
      </c>
      <c r="I487" s="25">
        <f t="shared" si="107"/>
        <v>5</v>
      </c>
      <c r="J487" s="25">
        <f t="shared" si="108"/>
        <v>3</v>
      </c>
      <c r="K487" s="25">
        <f t="shared" si="109"/>
        <v>1</v>
      </c>
      <c r="L487" s="25">
        <f t="shared" si="110"/>
        <v>1</v>
      </c>
      <c r="M487" s="25">
        <f t="shared" si="111"/>
        <v>5</v>
      </c>
      <c r="N487" s="25">
        <f t="shared" si="112"/>
        <v>5</v>
      </c>
      <c r="O487" s="32">
        <f t="shared" si="113"/>
        <v>0.84420266961423651</v>
      </c>
      <c r="P487" s="32">
        <f t="shared" si="114"/>
        <v>1.0418053570413823</v>
      </c>
      <c r="Q487" s="32">
        <f t="shared" si="115"/>
        <v>-1.0009496220281058</v>
      </c>
      <c r="R487" s="32">
        <f t="shared" si="116"/>
        <v>-2.2884705377570564</v>
      </c>
      <c r="S487" s="32">
        <f t="shared" si="117"/>
        <v>-2.5094833586441041</v>
      </c>
      <c r="T487" s="32">
        <f t="shared" si="118"/>
        <v>0.81206041627470116</v>
      </c>
      <c r="U487" s="32">
        <f t="shared" si="119"/>
        <v>0.80563658408767735</v>
      </c>
      <c r="V487" s="37">
        <f t="shared" si="120"/>
        <v>-0.32788549877303846</v>
      </c>
      <c r="W487"/>
      <c r="AK487" s="45" t="s">
        <v>78</v>
      </c>
      <c r="AL487" s="45">
        <v>7</v>
      </c>
      <c r="AM487" s="45">
        <v>24</v>
      </c>
      <c r="AN487" s="45">
        <v>3.4285714289999998</v>
      </c>
      <c r="AO487" s="45">
        <v>2.9523809519999999</v>
      </c>
      <c r="AP487" s="45"/>
      <c r="AQ487" s="45"/>
      <c r="AR487" s="45"/>
    </row>
    <row r="488" spans="1:44" x14ac:dyDescent="0.35">
      <c r="A488">
        <v>3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 s="25">
        <f t="shared" si="106"/>
        <v>3</v>
      </c>
      <c r="I488" s="25">
        <f t="shared" si="107"/>
        <v>1</v>
      </c>
      <c r="J488" s="25">
        <f t="shared" si="108"/>
        <v>5</v>
      </c>
      <c r="K488" s="25">
        <f t="shared" si="109"/>
        <v>1</v>
      </c>
      <c r="L488" s="25">
        <f t="shared" si="110"/>
        <v>1</v>
      </c>
      <c r="M488" s="25">
        <f t="shared" si="111"/>
        <v>5</v>
      </c>
      <c r="N488" s="25">
        <f t="shared" si="112"/>
        <v>5</v>
      </c>
      <c r="O488" s="32">
        <f t="shared" si="113"/>
        <v>-0.95700561253682881</v>
      </c>
      <c r="P488" s="32">
        <f t="shared" si="114"/>
        <v>-2.0709827703610508</v>
      </c>
      <c r="Q488" s="32">
        <f t="shared" si="115"/>
        <v>0.80698132232978881</v>
      </c>
      <c r="R488" s="32">
        <f t="shared" si="116"/>
        <v>-2.2884705377570564</v>
      </c>
      <c r="S488" s="32">
        <f t="shared" si="117"/>
        <v>-2.5094833586441041</v>
      </c>
      <c r="T488" s="32">
        <f t="shared" si="118"/>
        <v>0.81206041627470116</v>
      </c>
      <c r="U488" s="32">
        <f t="shared" si="119"/>
        <v>0.80563658408767735</v>
      </c>
      <c r="V488" s="37">
        <f t="shared" si="120"/>
        <v>-0.77160913665812481</v>
      </c>
      <c r="W488"/>
      <c r="AK488" s="45" t="s">
        <v>78</v>
      </c>
      <c r="AL488" s="45">
        <v>7</v>
      </c>
      <c r="AM488" s="45">
        <v>23</v>
      </c>
      <c r="AN488" s="45">
        <v>3.2857142860000002</v>
      </c>
      <c r="AO488" s="45">
        <v>4.5714285710000002</v>
      </c>
      <c r="AP488" s="45"/>
      <c r="AQ488" s="45"/>
      <c r="AR488" s="45"/>
    </row>
    <row r="489" spans="1:44" x14ac:dyDescent="0.35">
      <c r="A489">
        <v>4</v>
      </c>
      <c r="B489">
        <v>5</v>
      </c>
      <c r="C489">
        <v>5</v>
      </c>
      <c r="D489">
        <v>5</v>
      </c>
      <c r="E489">
        <v>5</v>
      </c>
      <c r="F489">
        <v>5</v>
      </c>
      <c r="G489">
        <v>5</v>
      </c>
      <c r="H489" s="25">
        <f t="shared" si="106"/>
        <v>4</v>
      </c>
      <c r="I489" s="25">
        <f t="shared" si="107"/>
        <v>1</v>
      </c>
      <c r="J489" s="25">
        <f t="shared" si="108"/>
        <v>5</v>
      </c>
      <c r="K489" s="25">
        <f t="shared" si="109"/>
        <v>1</v>
      </c>
      <c r="L489" s="25">
        <f t="shared" si="110"/>
        <v>1</v>
      </c>
      <c r="M489" s="25">
        <f t="shared" si="111"/>
        <v>5</v>
      </c>
      <c r="N489" s="25">
        <f t="shared" si="112"/>
        <v>5</v>
      </c>
      <c r="O489" s="32">
        <f t="shared" si="113"/>
        <v>-5.6401471461296142E-2</v>
      </c>
      <c r="P489" s="32">
        <f t="shared" si="114"/>
        <v>-2.0709827703610508</v>
      </c>
      <c r="Q489" s="32">
        <f t="shared" si="115"/>
        <v>0.80698132232978881</v>
      </c>
      <c r="R489" s="32">
        <f t="shared" si="116"/>
        <v>-2.2884705377570564</v>
      </c>
      <c r="S489" s="32">
        <f t="shared" si="117"/>
        <v>-2.5094833586441041</v>
      </c>
      <c r="T489" s="32">
        <f t="shared" si="118"/>
        <v>0.81206041627470116</v>
      </c>
      <c r="U489" s="32">
        <f t="shared" si="119"/>
        <v>0.80563658408767735</v>
      </c>
      <c r="V489" s="37">
        <f t="shared" si="120"/>
        <v>-0.64295140221876268</v>
      </c>
      <c r="W489"/>
      <c r="AK489" s="45" t="s">
        <v>78</v>
      </c>
      <c r="AL489" s="45">
        <v>7</v>
      </c>
      <c r="AM489" s="45">
        <v>19</v>
      </c>
      <c r="AN489" s="45">
        <v>2.7142857139999998</v>
      </c>
      <c r="AO489" s="45">
        <v>4.5714285710000002</v>
      </c>
      <c r="AP489" s="45"/>
      <c r="AQ489" s="45"/>
      <c r="AR489" s="45"/>
    </row>
    <row r="490" spans="1:44" x14ac:dyDescent="0.35">
      <c r="A490">
        <v>5</v>
      </c>
      <c r="B490">
        <v>5</v>
      </c>
      <c r="C490">
        <v>5</v>
      </c>
      <c r="D490">
        <v>5</v>
      </c>
      <c r="E490">
        <v>5</v>
      </c>
      <c r="F490">
        <v>5</v>
      </c>
      <c r="G490">
        <v>5</v>
      </c>
      <c r="H490" s="25">
        <f t="shared" si="106"/>
        <v>5</v>
      </c>
      <c r="I490" s="25">
        <f t="shared" si="107"/>
        <v>1</v>
      </c>
      <c r="J490" s="25">
        <f t="shared" si="108"/>
        <v>5</v>
      </c>
      <c r="K490" s="25">
        <f t="shared" si="109"/>
        <v>1</v>
      </c>
      <c r="L490" s="25">
        <f t="shared" si="110"/>
        <v>1</v>
      </c>
      <c r="M490" s="25">
        <f t="shared" si="111"/>
        <v>5</v>
      </c>
      <c r="N490" s="25">
        <f t="shared" si="112"/>
        <v>5</v>
      </c>
      <c r="O490" s="32">
        <f t="shared" si="113"/>
        <v>0.84420266961423651</v>
      </c>
      <c r="P490" s="32">
        <f t="shared" si="114"/>
        <v>-2.0709827703610508</v>
      </c>
      <c r="Q490" s="32">
        <f t="shared" si="115"/>
        <v>0.80698132232978881</v>
      </c>
      <c r="R490" s="32">
        <f t="shared" si="116"/>
        <v>-2.2884705377570564</v>
      </c>
      <c r="S490" s="32">
        <f t="shared" si="117"/>
        <v>-2.5094833586441041</v>
      </c>
      <c r="T490" s="32">
        <f t="shared" si="118"/>
        <v>0.81206041627470116</v>
      </c>
      <c r="U490" s="32">
        <f t="shared" si="119"/>
        <v>0.80563658408767735</v>
      </c>
      <c r="V490" s="37">
        <f t="shared" si="120"/>
        <v>-0.51429366777940111</v>
      </c>
      <c r="W490"/>
      <c r="AK490" s="45" t="s">
        <v>78</v>
      </c>
      <c r="AL490" s="45">
        <v>7</v>
      </c>
      <c r="AM490" s="45">
        <v>25</v>
      </c>
      <c r="AN490" s="45">
        <v>3.5714285710000002</v>
      </c>
      <c r="AO490" s="45">
        <v>3.6190476189999998</v>
      </c>
      <c r="AP490" s="45"/>
      <c r="AQ490" s="45"/>
      <c r="AR490" s="45"/>
    </row>
    <row r="491" spans="1:44" x14ac:dyDescent="0.35">
      <c r="H491" s="25"/>
      <c r="I491" s="25"/>
      <c r="J491" s="25"/>
      <c r="K491" s="25"/>
      <c r="L491" s="25"/>
      <c r="M491" s="25"/>
      <c r="N491" s="25"/>
      <c r="O491" s="32"/>
      <c r="P491" s="32"/>
      <c r="Q491" s="32"/>
      <c r="R491" s="32"/>
      <c r="S491" s="32"/>
      <c r="T491" s="32"/>
      <c r="U491" s="32"/>
      <c r="V491" s="37"/>
      <c r="W491"/>
      <c r="AK491" s="45" t="s">
        <v>78</v>
      </c>
      <c r="AL491" s="45">
        <v>7</v>
      </c>
      <c r="AM491" s="45">
        <v>21</v>
      </c>
      <c r="AN491" s="45">
        <v>3</v>
      </c>
      <c r="AO491" s="45">
        <v>4</v>
      </c>
      <c r="AP491" s="45"/>
      <c r="AQ491" s="45"/>
      <c r="AR491" s="45"/>
    </row>
    <row r="492" spans="1:44" x14ac:dyDescent="0.35">
      <c r="A492">
        <v>5</v>
      </c>
      <c r="B492">
        <v>1</v>
      </c>
      <c r="C492">
        <v>5</v>
      </c>
      <c r="D492">
        <v>1</v>
      </c>
      <c r="F492">
        <v>5</v>
      </c>
      <c r="G492">
        <v>5</v>
      </c>
      <c r="H492" s="25">
        <f>IF(ISBLANK(A492),"",A492)</f>
        <v>5</v>
      </c>
      <c r="I492" s="25">
        <f>IF(ISBLANK(B492),"",6-B492)</f>
        <v>5</v>
      </c>
      <c r="J492" s="25">
        <f>IF(ISBLANK(C492),"",C492)</f>
        <v>5</v>
      </c>
      <c r="K492" s="25">
        <f t="shared" ref="K492:L495" si="121">IF(ISBLANK(D492),"",6-D492)</f>
        <v>5</v>
      </c>
      <c r="L492" s="25" t="str">
        <f t="shared" si="121"/>
        <v/>
      </c>
      <c r="M492" s="25">
        <f t="shared" ref="M492:N495" si="122">IF(ISBLANK(F492),"",F492)</f>
        <v>5</v>
      </c>
      <c r="N492" s="25">
        <f t="shared" si="122"/>
        <v>5</v>
      </c>
      <c r="O492" s="32">
        <f t="shared" ref="O492:U495" si="123">IF(ISTEXT(H492),"",STANDARDIZE(H492,H$500,H$501))</f>
        <v>0.84420266961423651</v>
      </c>
      <c r="P492" s="32">
        <f t="shared" si="123"/>
        <v>1.0418053570413823</v>
      </c>
      <c r="Q492" s="32">
        <f t="shared" si="123"/>
        <v>0.80698132232978881</v>
      </c>
      <c r="R492" s="32">
        <f t="shared" si="123"/>
        <v>1.0506390162289212</v>
      </c>
      <c r="S492" s="32" t="str">
        <f t="shared" si="123"/>
        <v/>
      </c>
      <c r="T492" s="32">
        <f t="shared" si="123"/>
        <v>0.81206041627470116</v>
      </c>
      <c r="U492" s="32">
        <f t="shared" si="123"/>
        <v>0.80563658408767735</v>
      </c>
      <c r="V492" s="37">
        <f>AVERAGE(O492:U492)</f>
        <v>0.89355422759611791</v>
      </c>
      <c r="W492"/>
      <c r="AK492" s="45" t="s">
        <v>78</v>
      </c>
      <c r="AL492" s="45">
        <v>7</v>
      </c>
      <c r="AM492" s="45">
        <v>22</v>
      </c>
      <c r="AN492" s="45">
        <v>3.1428571430000001</v>
      </c>
      <c r="AO492" s="45">
        <v>4.1428571429999996</v>
      </c>
      <c r="AP492" s="45"/>
      <c r="AQ492" s="45"/>
      <c r="AR492" s="45"/>
    </row>
    <row r="493" spans="1:44" x14ac:dyDescent="0.35">
      <c r="A493">
        <v>5</v>
      </c>
      <c r="B493">
        <v>1</v>
      </c>
      <c r="C493">
        <v>5</v>
      </c>
      <c r="D493">
        <v>1</v>
      </c>
      <c r="F493">
        <v>5</v>
      </c>
      <c r="G493">
        <v>5</v>
      </c>
      <c r="H493" s="25">
        <f>IF(ISBLANK(A493),"",A493)</f>
        <v>5</v>
      </c>
      <c r="I493" s="25">
        <f>IF(ISBLANK(B493),"",6-B493)</f>
        <v>5</v>
      </c>
      <c r="J493" s="25">
        <f>IF(ISBLANK(C493),"",C493)</f>
        <v>5</v>
      </c>
      <c r="K493" s="25">
        <f t="shared" si="121"/>
        <v>5</v>
      </c>
      <c r="L493" s="25" t="str">
        <f t="shared" si="121"/>
        <v/>
      </c>
      <c r="M493" s="25">
        <f t="shared" si="122"/>
        <v>5</v>
      </c>
      <c r="N493" s="25">
        <f t="shared" si="122"/>
        <v>5</v>
      </c>
      <c r="O493" s="32">
        <f t="shared" si="123"/>
        <v>0.84420266961423651</v>
      </c>
      <c r="P493" s="32">
        <f t="shared" si="123"/>
        <v>1.0418053570413823</v>
      </c>
      <c r="Q493" s="32">
        <f t="shared" si="123"/>
        <v>0.80698132232978881</v>
      </c>
      <c r="R493" s="32">
        <f t="shared" si="123"/>
        <v>1.0506390162289212</v>
      </c>
      <c r="S493" s="32" t="str">
        <f t="shared" si="123"/>
        <v/>
      </c>
      <c r="T493" s="32">
        <f t="shared" si="123"/>
        <v>0.81206041627470116</v>
      </c>
      <c r="U493" s="32">
        <f t="shared" si="123"/>
        <v>0.80563658408767735</v>
      </c>
      <c r="V493" s="37">
        <f>AVERAGE(O493:U493)</f>
        <v>0.89355422759611791</v>
      </c>
      <c r="W493"/>
      <c r="AK493" s="45" t="s">
        <v>78</v>
      </c>
      <c r="AL493" s="45">
        <v>7</v>
      </c>
      <c r="AM493" s="45">
        <v>23</v>
      </c>
      <c r="AN493" s="45">
        <v>3.2857142860000002</v>
      </c>
      <c r="AO493" s="45">
        <v>4.5714285710000002</v>
      </c>
      <c r="AP493" s="45"/>
      <c r="AQ493" s="45"/>
      <c r="AR493" s="45"/>
    </row>
    <row r="494" spans="1:44" x14ac:dyDescent="0.35">
      <c r="A494">
        <v>3</v>
      </c>
      <c r="B494">
        <v>4</v>
      </c>
      <c r="C494">
        <v>3</v>
      </c>
      <c r="D494">
        <v>3</v>
      </c>
      <c r="G494">
        <v>5</v>
      </c>
      <c r="H494" s="25">
        <f>IF(ISBLANK(A494),"",A494)</f>
        <v>3</v>
      </c>
      <c r="I494" s="25">
        <f>IF(ISBLANK(B494),"",6-B494)</f>
        <v>2</v>
      </c>
      <c r="J494" s="25">
        <f>IF(ISBLANK(C494),"",C494)</f>
        <v>3</v>
      </c>
      <c r="K494" s="25">
        <f t="shared" si="121"/>
        <v>3</v>
      </c>
      <c r="L494" s="25" t="str">
        <f t="shared" si="121"/>
        <v/>
      </c>
      <c r="M494" s="25" t="str">
        <f t="shared" si="122"/>
        <v/>
      </c>
      <c r="N494" s="25">
        <f t="shared" si="122"/>
        <v>5</v>
      </c>
      <c r="O494" s="32">
        <f t="shared" si="123"/>
        <v>-0.95700561253682881</v>
      </c>
      <c r="P494" s="32">
        <f t="shared" si="123"/>
        <v>-1.2927857385104427</v>
      </c>
      <c r="Q494" s="32">
        <f t="shared" si="123"/>
        <v>-1.0009496220281058</v>
      </c>
      <c r="R494" s="32">
        <f t="shared" si="123"/>
        <v>-0.61891576076406762</v>
      </c>
      <c r="S494" s="32" t="str">
        <f t="shared" si="123"/>
        <v/>
      </c>
      <c r="T494" s="32" t="str">
        <f t="shared" si="123"/>
        <v/>
      </c>
      <c r="U494" s="32">
        <f t="shared" si="123"/>
        <v>0.80563658408767735</v>
      </c>
      <c r="V494" s="37">
        <f>AVERAGE(O494:U494)</f>
        <v>-0.61280402995035355</v>
      </c>
      <c r="W494"/>
      <c r="AK494" s="45"/>
      <c r="AL494" s="45"/>
      <c r="AM494" s="45"/>
      <c r="AN494" s="45"/>
      <c r="AO494" s="45"/>
      <c r="AP494" s="45"/>
      <c r="AQ494" s="45"/>
      <c r="AR494" s="45"/>
    </row>
    <row r="495" spans="1:44" x14ac:dyDescent="0.35">
      <c r="A495">
        <v>4</v>
      </c>
      <c r="B495">
        <v>3</v>
      </c>
      <c r="C495">
        <v>4</v>
      </c>
      <c r="D495">
        <v>3</v>
      </c>
      <c r="F495">
        <v>4</v>
      </c>
      <c r="G495">
        <v>3</v>
      </c>
      <c r="H495" s="25">
        <f>IF(ISBLANK(A495),"",A495)</f>
        <v>4</v>
      </c>
      <c r="I495" s="25">
        <f>IF(ISBLANK(B495),"",6-B495)</f>
        <v>3</v>
      </c>
      <c r="J495" s="25">
        <f>IF(ISBLANK(C495),"",C495)</f>
        <v>4</v>
      </c>
      <c r="K495" s="25">
        <f t="shared" si="121"/>
        <v>3</v>
      </c>
      <c r="L495" s="25" t="str">
        <f t="shared" si="121"/>
        <v/>
      </c>
      <c r="M495" s="25">
        <f t="shared" si="122"/>
        <v>4</v>
      </c>
      <c r="N495" s="25">
        <f t="shared" si="122"/>
        <v>3</v>
      </c>
      <c r="O495" s="32">
        <f t="shared" si="123"/>
        <v>-5.6401471461296142E-2</v>
      </c>
      <c r="P495" s="32">
        <f t="shared" si="123"/>
        <v>-0.51458870665983425</v>
      </c>
      <c r="Q495" s="32">
        <f t="shared" si="123"/>
        <v>-9.6984149849158471E-2</v>
      </c>
      <c r="R495" s="32">
        <f t="shared" si="123"/>
        <v>-0.61891576076406762</v>
      </c>
      <c r="S495" s="32" t="str">
        <f t="shared" si="123"/>
        <v/>
      </c>
      <c r="T495" s="32">
        <f t="shared" si="123"/>
        <v>-0.12522426979936985</v>
      </c>
      <c r="U495" s="32">
        <f t="shared" si="123"/>
        <v>-1.002935339374456</v>
      </c>
      <c r="V495" s="37">
        <f>AVERAGE(O495:U495)</f>
        <v>-0.40250828298469704</v>
      </c>
      <c r="W495"/>
      <c r="AK495" s="45" t="s">
        <v>183</v>
      </c>
      <c r="AL495" s="45">
        <v>489</v>
      </c>
      <c r="AM495" s="45">
        <v>1986</v>
      </c>
      <c r="AN495" s="45">
        <v>4.0613496930000004</v>
      </c>
      <c r="AO495" s="45">
        <v>1.2380317810000001</v>
      </c>
      <c r="AP495" s="45"/>
      <c r="AQ495" s="45"/>
      <c r="AR495" s="45"/>
    </row>
    <row r="496" spans="1:44" x14ac:dyDescent="0.35">
      <c r="H496" s="25"/>
      <c r="I496" s="25"/>
      <c r="J496" s="25"/>
      <c r="K496" s="25"/>
      <c r="L496" s="25"/>
      <c r="M496" s="25"/>
      <c r="N496" s="25"/>
      <c r="O496" s="32"/>
      <c r="P496" s="32"/>
      <c r="Q496" s="32"/>
      <c r="R496" s="32"/>
      <c r="S496" s="32"/>
      <c r="T496" s="32"/>
      <c r="U496" s="32"/>
      <c r="V496" s="37"/>
      <c r="W496"/>
      <c r="AK496" s="45" t="s">
        <v>184</v>
      </c>
      <c r="AL496" s="45">
        <v>489</v>
      </c>
      <c r="AM496" s="45">
        <v>1790</v>
      </c>
      <c r="AN496" s="45">
        <v>3.6605316970000001</v>
      </c>
      <c r="AO496" s="45">
        <v>1.6509185689999999</v>
      </c>
      <c r="AP496" s="45"/>
      <c r="AQ496" s="45"/>
      <c r="AR496" s="45"/>
    </row>
    <row r="497" spans="1:44" x14ac:dyDescent="0.35">
      <c r="A497">
        <v>3</v>
      </c>
      <c r="C497">
        <v>3</v>
      </c>
      <c r="D497">
        <v>4</v>
      </c>
      <c r="F497">
        <v>4</v>
      </c>
      <c r="G497">
        <v>5</v>
      </c>
      <c r="H497" s="25">
        <f>IF(ISBLANK(A497),"",A497)</f>
        <v>3</v>
      </c>
      <c r="I497" s="25" t="str">
        <f>IF(ISBLANK(B497),"",6-B497)</f>
        <v/>
      </c>
      <c r="J497" s="25">
        <f>IF(ISBLANK(C497),"",C497)</f>
        <v>3</v>
      </c>
      <c r="K497" s="25">
        <f>IF(ISBLANK(D497),"",6-D497)</f>
        <v>2</v>
      </c>
      <c r="L497" s="25" t="str">
        <f>IF(ISBLANK(E497),"",6-E497)</f>
        <v/>
      </c>
      <c r="M497" s="25">
        <f>IF(ISBLANK(F497),"",F497)</f>
        <v>4</v>
      </c>
      <c r="N497" s="25">
        <f>IF(ISBLANK(G497),"",G497)</f>
        <v>5</v>
      </c>
      <c r="O497" s="32">
        <f t="shared" ref="O497:U498" si="124">IF(ISTEXT(H497),"",STANDARDIZE(H497,H$500,H$501))</f>
        <v>-0.95700561253682881</v>
      </c>
      <c r="P497" s="32" t="str">
        <f t="shared" si="124"/>
        <v/>
      </c>
      <c r="Q497" s="32">
        <f t="shared" si="124"/>
        <v>-1.0009496220281058</v>
      </c>
      <c r="R497" s="32">
        <f t="shared" si="124"/>
        <v>-1.453693149260562</v>
      </c>
      <c r="S497" s="32" t="str">
        <f t="shared" si="124"/>
        <v/>
      </c>
      <c r="T497" s="32">
        <f t="shared" si="124"/>
        <v>-0.12522426979936985</v>
      </c>
      <c r="U497" s="32">
        <f t="shared" si="124"/>
        <v>0.80563658408767735</v>
      </c>
      <c r="V497" s="37">
        <f>AVERAGE(O497:U497)</f>
        <v>-0.54624721390743791</v>
      </c>
      <c r="W497"/>
      <c r="AK497" s="45" t="s">
        <v>185</v>
      </c>
      <c r="AL497" s="45">
        <v>489</v>
      </c>
      <c r="AM497" s="47">
        <v>2010</v>
      </c>
      <c r="AN497" s="47">
        <v>4.1100000000000003</v>
      </c>
      <c r="AO497" s="45">
        <v>1.2279828349999999</v>
      </c>
      <c r="AP497" s="45"/>
      <c r="AQ497" s="45"/>
      <c r="AR497" s="45"/>
    </row>
    <row r="498" spans="1:44" x14ac:dyDescent="0.35">
      <c r="A498">
        <v>5</v>
      </c>
      <c r="D498">
        <v>1</v>
      </c>
      <c r="E498">
        <v>3</v>
      </c>
      <c r="F498">
        <v>4</v>
      </c>
      <c r="G498">
        <v>4</v>
      </c>
      <c r="H498" s="25">
        <f>IF(ISBLANK(A498),"",A498)</f>
        <v>5</v>
      </c>
      <c r="I498" s="25" t="str">
        <f>IF(ISBLANK(B498),"",6-B498)</f>
        <v/>
      </c>
      <c r="J498" s="25" t="str">
        <f>IF(ISBLANK(C498),"",C498)</f>
        <v/>
      </c>
      <c r="K498" s="25">
        <f>IF(ISBLANK(D498),"",6-D498)</f>
        <v>5</v>
      </c>
      <c r="L498" s="25">
        <f>IF(ISBLANK(E498),"",6-E498)</f>
        <v>3</v>
      </c>
      <c r="M498" s="25">
        <f>IF(ISBLANK(F498),"",F498)</f>
        <v>4</v>
      </c>
      <c r="N498" s="25">
        <f>IF(ISBLANK(G498),"",G498)</f>
        <v>4</v>
      </c>
      <c r="O498" s="32">
        <f t="shared" si="124"/>
        <v>0.84420266961423651</v>
      </c>
      <c r="P498" s="32" t="str">
        <f t="shared" si="124"/>
        <v/>
      </c>
      <c r="Q498" s="32" t="str">
        <f t="shared" si="124"/>
        <v/>
      </c>
      <c r="R498" s="32">
        <f t="shared" si="124"/>
        <v>1.0506390162289212</v>
      </c>
      <c r="S498" s="32">
        <f t="shared" si="124"/>
        <v>-0.82040802109518784</v>
      </c>
      <c r="T498" s="32">
        <f t="shared" si="124"/>
        <v>-0.12522426979936985</v>
      </c>
      <c r="U498" s="32">
        <f t="shared" si="124"/>
        <v>-9.8649377643389324E-2</v>
      </c>
      <c r="V498" s="37">
        <f>AVERAGE(O498:U498)</f>
        <v>0.17011200346104216</v>
      </c>
      <c r="W498"/>
      <c r="AK498" s="45" t="s">
        <v>186</v>
      </c>
      <c r="AL498" s="45">
        <v>489</v>
      </c>
      <c r="AM498" s="45">
        <v>1829</v>
      </c>
      <c r="AN498" s="45">
        <v>3.7402862990000001</v>
      </c>
      <c r="AO498" s="45">
        <v>1.4344597539999999</v>
      </c>
      <c r="AP498" s="45"/>
      <c r="AQ498" s="45"/>
      <c r="AR498" s="45"/>
    </row>
    <row r="499" spans="1:44" ht="20.25" customHeight="1" x14ac:dyDescent="0.35">
      <c r="H499"/>
      <c r="I499"/>
      <c r="J499"/>
      <c r="K499"/>
      <c r="L499"/>
      <c r="M499"/>
      <c r="N499"/>
      <c r="W499"/>
      <c r="AK499" s="45" t="s">
        <v>187</v>
      </c>
      <c r="AL499" s="45">
        <v>489</v>
      </c>
      <c r="AM499" s="47">
        <v>1940</v>
      </c>
      <c r="AN499" s="47">
        <v>3.97</v>
      </c>
      <c r="AO499" s="45">
        <v>1.402980321</v>
      </c>
      <c r="AP499" s="45"/>
      <c r="AQ499" s="45"/>
      <c r="AR499" s="45"/>
    </row>
    <row r="500" spans="1:44" x14ac:dyDescent="0.35">
      <c r="B500" s="5"/>
      <c r="C500" s="5"/>
      <c r="D500" s="5"/>
      <c r="E500" s="5"/>
      <c r="F500" s="5"/>
      <c r="G500" s="5"/>
      <c r="H500">
        <f t="shared" ref="H500:N500" si="125">AVERAGE(H2:H498)</f>
        <v>4.0626262626262628</v>
      </c>
      <c r="I500">
        <f t="shared" si="125"/>
        <v>3.6612576064908722</v>
      </c>
      <c r="J500">
        <f t="shared" si="125"/>
        <v>4.1072874493927127</v>
      </c>
      <c r="K500">
        <f t="shared" si="125"/>
        <v>3.7414141414141415</v>
      </c>
      <c r="L500">
        <f t="shared" si="125"/>
        <v>3.9714285714285715</v>
      </c>
      <c r="M500">
        <f t="shared" si="125"/>
        <v>4.1336032388663968</v>
      </c>
      <c r="N500">
        <f t="shared" si="125"/>
        <v>4.1090909090909093</v>
      </c>
      <c r="W500"/>
      <c r="AK500" s="45" t="s">
        <v>188</v>
      </c>
      <c r="AL500" s="45">
        <v>489</v>
      </c>
      <c r="AM500" s="47">
        <v>2020</v>
      </c>
      <c r="AN500" s="47">
        <v>4.13</v>
      </c>
      <c r="AO500" s="45">
        <v>1.1467699220000001</v>
      </c>
      <c r="AP500" s="45"/>
      <c r="AQ500" s="45"/>
      <c r="AR500" s="45"/>
    </row>
    <row r="501" spans="1:44" x14ac:dyDescent="0.35">
      <c r="B501" s="5"/>
      <c r="C501" s="5"/>
      <c r="D501" s="5"/>
      <c r="E501" s="5"/>
      <c r="F501" s="5"/>
      <c r="G501" s="5"/>
      <c r="H501" s="3">
        <f t="shared" ref="H501:N501" si="126">STDEV(H2:H498)</f>
        <v>1.1103657582628539</v>
      </c>
      <c r="I501" s="3">
        <f t="shared" si="126"/>
        <v>1.2850216064457716</v>
      </c>
      <c r="J501" s="3">
        <f t="shared" si="126"/>
        <v>1.1062369424238827</v>
      </c>
      <c r="K501" s="3">
        <f t="shared" si="126"/>
        <v>1.1979241577219595</v>
      </c>
      <c r="L501" s="3">
        <f t="shared" si="126"/>
        <v>1.1840798071815311</v>
      </c>
      <c r="M501" s="3">
        <f t="shared" si="126"/>
        <v>1.0669117023437347</v>
      </c>
      <c r="N501" s="3">
        <f t="shared" si="126"/>
        <v>1.105844879075319</v>
      </c>
      <c r="W501"/>
      <c r="AK501" s="45" t="s">
        <v>189</v>
      </c>
      <c r="AL501" s="45">
        <v>489</v>
      </c>
      <c r="AM501" s="45">
        <v>2007</v>
      </c>
      <c r="AN501" s="45">
        <v>4.104294479</v>
      </c>
      <c r="AO501" s="45">
        <v>1.2288544699999999</v>
      </c>
      <c r="AP501" s="45"/>
      <c r="AQ501" s="45"/>
      <c r="AR501" s="45"/>
    </row>
    <row r="502" spans="1:44" x14ac:dyDescent="0.35">
      <c r="J502"/>
      <c r="K502"/>
      <c r="L502"/>
      <c r="M502"/>
      <c r="N502"/>
      <c r="W502"/>
      <c r="AK502" s="45"/>
      <c r="AL502" s="45"/>
      <c r="AM502" s="45"/>
      <c r="AN502" s="45"/>
      <c r="AO502" s="45"/>
      <c r="AP502" s="45"/>
      <c r="AQ502" s="45"/>
      <c r="AR502" s="45"/>
    </row>
    <row r="503" spans="1:44" x14ac:dyDescent="0.35">
      <c r="J503"/>
      <c r="K503"/>
      <c r="L503"/>
      <c r="M503"/>
      <c r="N503"/>
      <c r="W503"/>
      <c r="AK503" s="45"/>
      <c r="AL503" s="45"/>
      <c r="AM503" s="45"/>
      <c r="AN503" s="45"/>
      <c r="AO503" s="45"/>
      <c r="AP503" s="45"/>
      <c r="AQ503" s="45"/>
      <c r="AR503" s="45"/>
    </row>
    <row r="504" spans="1:44" x14ac:dyDescent="0.35">
      <c r="J504"/>
      <c r="K504"/>
      <c r="L504"/>
      <c r="M504"/>
      <c r="N504"/>
      <c r="W504"/>
      <c r="AK504" s="45" t="s">
        <v>90</v>
      </c>
      <c r="AL504" s="45"/>
      <c r="AM504" s="45"/>
      <c r="AN504" s="45"/>
      <c r="AO504" s="45"/>
      <c r="AP504" s="45"/>
      <c r="AQ504" s="45"/>
      <c r="AR504" s="45"/>
    </row>
    <row r="505" spans="1:44" x14ac:dyDescent="0.35">
      <c r="J505"/>
      <c r="K505"/>
      <c r="L505"/>
      <c r="M505"/>
      <c r="N505"/>
      <c r="W505"/>
      <c r="AK505" s="45" t="s">
        <v>91</v>
      </c>
      <c r="AL505" s="45" t="s">
        <v>92</v>
      </c>
      <c r="AM505" s="45" t="s">
        <v>93</v>
      </c>
      <c r="AN505" s="45" t="s">
        <v>94</v>
      </c>
      <c r="AO505" s="45" t="s">
        <v>95</v>
      </c>
      <c r="AP505" s="45" t="s">
        <v>96</v>
      </c>
      <c r="AQ505" s="45" t="s">
        <v>97</v>
      </c>
      <c r="AR505" s="45"/>
    </row>
    <row r="506" spans="1:44" x14ac:dyDescent="0.35">
      <c r="J506"/>
      <c r="K506"/>
      <c r="L506"/>
      <c r="M506"/>
      <c r="N506"/>
      <c r="W506"/>
      <c r="AK506" s="45" t="s">
        <v>98</v>
      </c>
      <c r="AL506" s="45">
        <v>1924.592463</v>
      </c>
      <c r="AM506" s="45">
        <v>488</v>
      </c>
      <c r="AN506" s="48">
        <v>3.9438370140000001</v>
      </c>
      <c r="AO506" s="45">
        <v>4.393300473</v>
      </c>
      <c r="AP506" s="45">
        <v>0</v>
      </c>
      <c r="AQ506" s="45">
        <v>1.117560305</v>
      </c>
      <c r="AR506" s="45"/>
    </row>
    <row r="507" spans="1:44" x14ac:dyDescent="0.35">
      <c r="J507"/>
      <c r="K507"/>
      <c r="L507"/>
      <c r="M507"/>
      <c r="N507"/>
      <c r="W507"/>
      <c r="AK507" s="45" t="s">
        <v>99</v>
      </c>
      <c r="AL507" s="45">
        <v>107.5536079</v>
      </c>
      <c r="AM507" s="45">
        <v>6</v>
      </c>
      <c r="AN507" s="45">
        <v>17.925601319999998</v>
      </c>
      <c r="AO507" s="45">
        <v>19.968510989999999</v>
      </c>
      <c r="AP507" s="45">
        <v>0</v>
      </c>
      <c r="AQ507" s="45">
        <v>2.1016789409999999</v>
      </c>
      <c r="AR507" s="45"/>
    </row>
    <row r="508" spans="1:44" x14ac:dyDescent="0.35">
      <c r="J508"/>
      <c r="K508"/>
      <c r="L508"/>
      <c r="M508"/>
      <c r="N508"/>
      <c r="W508"/>
      <c r="AK508" s="45" t="s">
        <v>100</v>
      </c>
      <c r="AL508" s="45">
        <v>2628.4463919999998</v>
      </c>
      <c r="AM508" s="45">
        <v>2928</v>
      </c>
      <c r="AN508" s="48">
        <v>0.89769343999999995</v>
      </c>
      <c r="AO508" s="45"/>
      <c r="AP508" s="45"/>
      <c r="AQ508" s="45"/>
      <c r="AR508" s="45"/>
    </row>
    <row r="509" spans="1:44" x14ac:dyDescent="0.35">
      <c r="J509"/>
      <c r="K509"/>
      <c r="L509"/>
      <c r="M509"/>
      <c r="N509"/>
      <c r="W509"/>
      <c r="AK509" s="45"/>
      <c r="AL509" s="45"/>
      <c r="AM509" s="45"/>
      <c r="AN509" s="45"/>
      <c r="AO509" s="45"/>
      <c r="AP509" s="45"/>
      <c r="AQ509" s="45"/>
      <c r="AR509" s="45"/>
    </row>
    <row r="510" spans="1:44" x14ac:dyDescent="0.35">
      <c r="J510"/>
      <c r="K510"/>
      <c r="L510"/>
      <c r="M510"/>
      <c r="N510"/>
      <c r="W510"/>
      <c r="AK510" s="45" t="s">
        <v>101</v>
      </c>
      <c r="AL510" s="45">
        <v>4660.592463</v>
      </c>
      <c r="AM510" s="45">
        <v>3422</v>
      </c>
      <c r="AN510" s="45"/>
      <c r="AO510" s="45"/>
      <c r="AP510" s="45"/>
      <c r="AQ510" s="45"/>
      <c r="AR510" s="45"/>
    </row>
    <row r="511" spans="1:44" x14ac:dyDescent="0.35">
      <c r="J511"/>
      <c r="K511"/>
      <c r="L511"/>
      <c r="M511"/>
      <c r="N511"/>
      <c r="W511"/>
      <c r="AK511" s="45"/>
      <c r="AL511" s="45"/>
      <c r="AM511" s="45"/>
      <c r="AN511" s="45"/>
      <c r="AO511" s="45"/>
      <c r="AP511" s="45"/>
      <c r="AQ511" s="45"/>
      <c r="AR511" s="45"/>
    </row>
    <row r="512" spans="1:44" x14ac:dyDescent="0.35">
      <c r="H512"/>
      <c r="I512"/>
      <c r="J512"/>
      <c r="K512"/>
      <c r="L512"/>
      <c r="M512"/>
      <c r="N512"/>
      <c r="W512"/>
      <c r="AK512" s="45"/>
      <c r="AL512" s="45"/>
      <c r="AM512" s="45" t="s">
        <v>190</v>
      </c>
      <c r="AN512" s="45">
        <v>0.77238069499999995</v>
      </c>
      <c r="AO512" s="45"/>
      <c r="AP512" s="45"/>
      <c r="AQ512" s="45"/>
      <c r="AR512" s="45"/>
    </row>
    <row r="513" spans="8:44" x14ac:dyDescent="0.35">
      <c r="H513"/>
      <c r="I513"/>
      <c r="J513"/>
      <c r="K513"/>
      <c r="L513"/>
      <c r="M513"/>
      <c r="N513"/>
      <c r="W513"/>
      <c r="AK513" s="45"/>
      <c r="AL513" s="45"/>
      <c r="AM513" s="45"/>
      <c r="AN513" s="45"/>
      <c r="AO513" s="45"/>
      <c r="AP513" s="45"/>
      <c r="AQ513" s="45"/>
      <c r="AR513" s="45"/>
    </row>
    <row r="514" spans="8:44" x14ac:dyDescent="0.35">
      <c r="H514"/>
      <c r="I514"/>
      <c r="J514"/>
      <c r="K514"/>
      <c r="L514"/>
      <c r="M514"/>
      <c r="N514"/>
      <c r="W514"/>
      <c r="AK514" s="46"/>
      <c r="AL514" s="46"/>
      <c r="AM514" s="46"/>
      <c r="AN514" s="46"/>
      <c r="AO514" s="46"/>
      <c r="AP514" s="46"/>
      <c r="AQ514" s="46"/>
      <c r="AR514" s="46"/>
    </row>
    <row r="515" spans="8:44" x14ac:dyDescent="0.35">
      <c r="H515"/>
      <c r="I515"/>
      <c r="J515"/>
      <c r="K515"/>
      <c r="L515"/>
      <c r="M515"/>
      <c r="N515"/>
      <c r="W515"/>
      <c r="AK515" s="28" t="s">
        <v>191</v>
      </c>
      <c r="AL515" s="46"/>
      <c r="AM515" s="46"/>
      <c r="AN515" s="46"/>
      <c r="AO515" s="46"/>
      <c r="AP515" s="46"/>
      <c r="AQ515" s="46"/>
      <c r="AR515" s="46"/>
    </row>
    <row r="516" spans="8:44" x14ac:dyDescent="0.35">
      <c r="H516"/>
      <c r="I516"/>
      <c r="J516"/>
      <c r="K516"/>
      <c r="L516"/>
      <c r="M516"/>
      <c r="N516"/>
      <c r="W516"/>
      <c r="AK516" s="46"/>
      <c r="AL516" s="46"/>
      <c r="AM516" s="46"/>
      <c r="AN516" s="46"/>
      <c r="AO516" s="46"/>
      <c r="AP516" s="46"/>
      <c r="AQ516" s="46"/>
      <c r="AR516" s="46"/>
    </row>
    <row r="517" spans="8:44" x14ac:dyDescent="0.35">
      <c r="H517"/>
      <c r="I517"/>
      <c r="J517"/>
      <c r="K517"/>
      <c r="L517"/>
      <c r="M517"/>
      <c r="N517"/>
      <c r="W517"/>
      <c r="AK517" s="46" t="s">
        <v>192</v>
      </c>
      <c r="AL517" s="46"/>
      <c r="AM517" s="46"/>
      <c r="AN517" s="46"/>
      <c r="AO517" s="46"/>
      <c r="AP517" s="46"/>
      <c r="AQ517" s="46"/>
      <c r="AR517" s="46"/>
    </row>
    <row r="518" spans="8:44" x14ac:dyDescent="0.35">
      <c r="H518"/>
      <c r="I518"/>
      <c r="J518"/>
      <c r="K518"/>
      <c r="L518"/>
      <c r="M518"/>
      <c r="N518"/>
      <c r="W518"/>
    </row>
    <row r="519" spans="8:44" x14ac:dyDescent="0.35">
      <c r="H519"/>
      <c r="I519"/>
      <c r="J519"/>
      <c r="K519"/>
      <c r="L519"/>
      <c r="M519"/>
      <c r="N519"/>
      <c r="W519"/>
    </row>
    <row r="520" spans="8:44" x14ac:dyDescent="0.35">
      <c r="H520"/>
      <c r="I520"/>
      <c r="J520"/>
      <c r="K520"/>
      <c r="L520"/>
      <c r="M520"/>
      <c r="N520"/>
      <c r="W520"/>
    </row>
    <row r="521" spans="8:44" x14ac:dyDescent="0.35">
      <c r="H521"/>
      <c r="I521"/>
      <c r="J521"/>
      <c r="K521"/>
      <c r="L521"/>
      <c r="M521"/>
      <c r="N521"/>
      <c r="W521"/>
    </row>
    <row r="522" spans="8:44" x14ac:dyDescent="0.35">
      <c r="H522"/>
      <c r="I522"/>
      <c r="J522"/>
      <c r="K522"/>
      <c r="L522"/>
      <c r="M522"/>
      <c r="N522"/>
      <c r="W522"/>
    </row>
    <row r="523" spans="8:44" x14ac:dyDescent="0.35">
      <c r="H523"/>
      <c r="I523"/>
      <c r="J523"/>
      <c r="K523"/>
      <c r="L523"/>
      <c r="M523"/>
      <c r="N523"/>
      <c r="W523"/>
    </row>
    <row r="524" spans="8:44" x14ac:dyDescent="0.35">
      <c r="H524"/>
      <c r="I524"/>
      <c r="J524"/>
      <c r="K524"/>
      <c r="L524"/>
      <c r="M524"/>
      <c r="N524"/>
      <c r="W524"/>
    </row>
    <row r="525" spans="8:44" x14ac:dyDescent="0.35">
      <c r="H525"/>
      <c r="I525"/>
      <c r="J525"/>
      <c r="K525"/>
      <c r="L525"/>
      <c r="M525"/>
      <c r="N525"/>
      <c r="W525"/>
    </row>
    <row r="526" spans="8:44" x14ac:dyDescent="0.35">
      <c r="H526"/>
      <c r="I526"/>
      <c r="J526"/>
      <c r="K526"/>
      <c r="L526"/>
      <c r="M526"/>
      <c r="N526"/>
      <c r="W526"/>
    </row>
    <row r="527" spans="8:44" x14ac:dyDescent="0.35">
      <c r="H527"/>
      <c r="I527"/>
      <c r="J527"/>
      <c r="K527"/>
      <c r="L527"/>
      <c r="M527"/>
      <c r="N527"/>
      <c r="W527"/>
    </row>
    <row r="528" spans="8:44" x14ac:dyDescent="0.35">
      <c r="H528"/>
      <c r="I528"/>
      <c r="J528"/>
      <c r="K528"/>
      <c r="L528"/>
      <c r="M528"/>
      <c r="N528"/>
      <c r="W528"/>
    </row>
    <row r="529" spans="8:23" x14ac:dyDescent="0.35">
      <c r="H529"/>
      <c r="I529"/>
      <c r="J529"/>
      <c r="K529"/>
      <c r="L529"/>
      <c r="M529"/>
      <c r="N529"/>
      <c r="W529"/>
    </row>
    <row r="530" spans="8:23" x14ac:dyDescent="0.35">
      <c r="H530"/>
      <c r="I530"/>
      <c r="J530"/>
      <c r="K530"/>
      <c r="L530"/>
      <c r="M530"/>
      <c r="N530"/>
      <c r="W530"/>
    </row>
    <row r="531" spans="8:23" x14ac:dyDescent="0.35">
      <c r="H531"/>
      <c r="I531"/>
      <c r="J531"/>
      <c r="K531"/>
      <c r="L531"/>
      <c r="M531"/>
      <c r="N531"/>
      <c r="W531"/>
    </row>
    <row r="532" spans="8:23" x14ac:dyDescent="0.35">
      <c r="H532"/>
      <c r="I532"/>
      <c r="J532"/>
      <c r="K532"/>
      <c r="L532"/>
      <c r="M532"/>
      <c r="N532"/>
      <c r="W532"/>
    </row>
    <row r="533" spans="8:23" x14ac:dyDescent="0.35">
      <c r="H533"/>
      <c r="I533"/>
      <c r="J533"/>
      <c r="K533"/>
      <c r="L533"/>
      <c r="M533"/>
      <c r="N533"/>
      <c r="W533"/>
    </row>
    <row r="534" spans="8:23" x14ac:dyDescent="0.35">
      <c r="H534"/>
      <c r="I534"/>
      <c r="J534"/>
      <c r="K534"/>
      <c r="L534"/>
      <c r="M534"/>
      <c r="N534"/>
      <c r="W534"/>
    </row>
    <row r="535" spans="8:23" x14ac:dyDescent="0.35">
      <c r="H535"/>
      <c r="I535"/>
      <c r="J535"/>
      <c r="K535"/>
      <c r="L535"/>
      <c r="M535"/>
      <c r="N535"/>
      <c r="W535"/>
    </row>
    <row r="536" spans="8:23" x14ac:dyDescent="0.35">
      <c r="H536"/>
      <c r="I536"/>
      <c r="J536"/>
      <c r="K536"/>
      <c r="L536"/>
      <c r="M536"/>
      <c r="N536"/>
      <c r="W536"/>
    </row>
    <row r="537" spans="8:23" x14ac:dyDescent="0.35">
      <c r="H537"/>
      <c r="I537"/>
      <c r="J537"/>
      <c r="K537"/>
      <c r="L537"/>
      <c r="M537"/>
      <c r="N537"/>
      <c r="W537"/>
    </row>
    <row r="538" spans="8:23" x14ac:dyDescent="0.35">
      <c r="H538"/>
      <c r="I538"/>
      <c r="J538"/>
      <c r="K538"/>
      <c r="L538"/>
      <c r="M538"/>
      <c r="N538"/>
      <c r="W538"/>
    </row>
    <row r="539" spans="8:23" x14ac:dyDescent="0.35">
      <c r="H539"/>
      <c r="I539"/>
      <c r="J539"/>
      <c r="K539"/>
      <c r="L539"/>
      <c r="M539"/>
      <c r="N539"/>
      <c r="W539"/>
    </row>
    <row r="540" spans="8:23" x14ac:dyDescent="0.35">
      <c r="H540"/>
      <c r="I540"/>
      <c r="J540"/>
      <c r="K540"/>
      <c r="L540"/>
      <c r="M540"/>
      <c r="N540"/>
      <c r="W540"/>
    </row>
    <row r="541" spans="8:23" x14ac:dyDescent="0.35">
      <c r="H541"/>
      <c r="I541"/>
      <c r="J541"/>
      <c r="K541"/>
      <c r="L541"/>
      <c r="M541"/>
      <c r="N541"/>
      <c r="W541"/>
    </row>
    <row r="542" spans="8:23" x14ac:dyDescent="0.35">
      <c r="H542"/>
      <c r="I542"/>
      <c r="J542"/>
      <c r="K542"/>
      <c r="L542"/>
      <c r="M542"/>
      <c r="N542"/>
      <c r="W542"/>
    </row>
    <row r="543" spans="8:23" x14ac:dyDescent="0.35">
      <c r="H543"/>
      <c r="I543"/>
      <c r="J543"/>
      <c r="K543"/>
      <c r="L543"/>
      <c r="M543"/>
      <c r="N543"/>
      <c r="W543"/>
    </row>
    <row r="544" spans="8:23" x14ac:dyDescent="0.35">
      <c r="H544"/>
      <c r="I544"/>
      <c r="J544"/>
      <c r="K544"/>
      <c r="L544"/>
      <c r="M544"/>
      <c r="N544"/>
      <c r="W544"/>
    </row>
    <row r="545" spans="8:23" x14ac:dyDescent="0.35">
      <c r="H545"/>
      <c r="I545"/>
      <c r="J545"/>
      <c r="K545"/>
      <c r="L545"/>
      <c r="M545"/>
      <c r="N545"/>
      <c r="W545"/>
    </row>
    <row r="546" spans="8:23" x14ac:dyDescent="0.35">
      <c r="H546"/>
      <c r="I546"/>
      <c r="J546"/>
      <c r="K546"/>
      <c r="L546"/>
      <c r="M546"/>
      <c r="N546"/>
      <c r="W546"/>
    </row>
    <row r="547" spans="8:23" x14ac:dyDescent="0.35">
      <c r="H547"/>
      <c r="I547"/>
      <c r="J547"/>
      <c r="K547"/>
      <c r="L547"/>
      <c r="M547"/>
      <c r="N547"/>
      <c r="W547"/>
    </row>
    <row r="548" spans="8:23" x14ac:dyDescent="0.35">
      <c r="H548"/>
      <c r="I548"/>
      <c r="J548"/>
      <c r="K548"/>
      <c r="L548"/>
      <c r="M548"/>
      <c r="N548"/>
      <c r="W548"/>
    </row>
    <row r="549" spans="8:23" x14ac:dyDescent="0.35">
      <c r="H549"/>
      <c r="I549"/>
      <c r="J549"/>
      <c r="K549"/>
      <c r="L549"/>
      <c r="M549"/>
      <c r="N549"/>
      <c r="W549"/>
    </row>
    <row r="550" spans="8:23" x14ac:dyDescent="0.35">
      <c r="H550"/>
      <c r="I550"/>
      <c r="J550"/>
      <c r="K550"/>
      <c r="L550"/>
      <c r="M550"/>
      <c r="N550"/>
      <c r="W550"/>
    </row>
    <row r="551" spans="8:23" x14ac:dyDescent="0.35">
      <c r="H551"/>
      <c r="I551"/>
      <c r="J551"/>
      <c r="K551"/>
      <c r="L551"/>
      <c r="M551"/>
      <c r="N551"/>
      <c r="W551"/>
    </row>
    <row r="552" spans="8:23" x14ac:dyDescent="0.35">
      <c r="H552"/>
      <c r="I552"/>
      <c r="J552"/>
      <c r="K552"/>
      <c r="L552"/>
      <c r="M552"/>
      <c r="N552"/>
      <c r="W552"/>
    </row>
    <row r="553" spans="8:23" x14ac:dyDescent="0.35">
      <c r="H553"/>
      <c r="I553"/>
      <c r="J553"/>
      <c r="K553"/>
      <c r="L553"/>
      <c r="M553"/>
      <c r="N553"/>
      <c r="W553"/>
    </row>
    <row r="554" spans="8:23" x14ac:dyDescent="0.35">
      <c r="H554"/>
      <c r="I554"/>
      <c r="J554"/>
      <c r="K554"/>
      <c r="L554"/>
      <c r="M554"/>
      <c r="N554"/>
      <c r="W554"/>
    </row>
    <row r="555" spans="8:23" x14ac:dyDescent="0.35">
      <c r="H555"/>
      <c r="I555"/>
      <c r="J555"/>
      <c r="K555"/>
      <c r="L555"/>
      <c r="M555"/>
      <c r="N555"/>
      <c r="W555"/>
    </row>
    <row r="556" spans="8:23" x14ac:dyDescent="0.35">
      <c r="H556"/>
      <c r="I556"/>
      <c r="J556"/>
      <c r="K556"/>
      <c r="L556"/>
      <c r="M556"/>
      <c r="N556"/>
      <c r="W556"/>
    </row>
    <row r="557" spans="8:23" x14ac:dyDescent="0.35">
      <c r="H557"/>
      <c r="I557"/>
      <c r="J557"/>
      <c r="K557"/>
      <c r="L557"/>
      <c r="M557"/>
      <c r="N557"/>
      <c r="W557"/>
    </row>
    <row r="558" spans="8:23" x14ac:dyDescent="0.35">
      <c r="H558"/>
      <c r="I558"/>
      <c r="J558"/>
      <c r="K558"/>
      <c r="L558"/>
      <c r="M558"/>
      <c r="N558"/>
      <c r="W558"/>
    </row>
    <row r="559" spans="8:23" x14ac:dyDescent="0.35">
      <c r="H559"/>
      <c r="I559"/>
      <c r="J559"/>
      <c r="K559"/>
      <c r="L559"/>
      <c r="M559"/>
      <c r="N559"/>
      <c r="W559"/>
    </row>
    <row r="560" spans="8:23" x14ac:dyDescent="0.35">
      <c r="H560"/>
      <c r="I560"/>
      <c r="J560"/>
      <c r="K560"/>
      <c r="L560"/>
      <c r="M560"/>
      <c r="N560"/>
      <c r="W560"/>
    </row>
    <row r="561" spans="8:23" x14ac:dyDescent="0.35">
      <c r="H561"/>
      <c r="I561"/>
      <c r="J561"/>
      <c r="K561"/>
      <c r="L561"/>
      <c r="M561"/>
      <c r="N561"/>
      <c r="W561"/>
    </row>
    <row r="562" spans="8:23" x14ac:dyDescent="0.35">
      <c r="H562"/>
      <c r="I562"/>
      <c r="J562"/>
      <c r="K562"/>
      <c r="L562"/>
      <c r="M562"/>
      <c r="N562"/>
      <c r="W562"/>
    </row>
    <row r="563" spans="8:23" x14ac:dyDescent="0.35">
      <c r="H563"/>
      <c r="I563"/>
      <c r="J563"/>
      <c r="K563"/>
      <c r="L563"/>
      <c r="M563"/>
      <c r="N563"/>
      <c r="W563"/>
    </row>
    <row r="564" spans="8:23" x14ac:dyDescent="0.35">
      <c r="H564"/>
      <c r="I564"/>
      <c r="J564"/>
      <c r="K564"/>
      <c r="L564"/>
      <c r="M564"/>
      <c r="N564"/>
      <c r="W564"/>
    </row>
    <row r="565" spans="8:23" x14ac:dyDescent="0.35">
      <c r="H565"/>
      <c r="I565"/>
      <c r="J565"/>
      <c r="K565"/>
      <c r="L565"/>
      <c r="M565"/>
      <c r="N565"/>
      <c r="W565"/>
    </row>
    <row r="566" spans="8:23" x14ac:dyDescent="0.35">
      <c r="H566"/>
      <c r="I566"/>
      <c r="J566"/>
      <c r="K566"/>
      <c r="L566"/>
      <c r="M566"/>
      <c r="N566"/>
      <c r="W566"/>
    </row>
    <row r="567" spans="8:23" x14ac:dyDescent="0.35">
      <c r="H567"/>
      <c r="I567"/>
      <c r="J567"/>
      <c r="K567"/>
      <c r="L567"/>
      <c r="M567"/>
      <c r="N567"/>
      <c r="W567"/>
    </row>
    <row r="568" spans="8:23" x14ac:dyDescent="0.35">
      <c r="H568"/>
      <c r="I568"/>
      <c r="J568"/>
      <c r="K568"/>
      <c r="L568"/>
      <c r="M568"/>
      <c r="N568"/>
      <c r="W568"/>
    </row>
    <row r="569" spans="8:23" x14ac:dyDescent="0.35">
      <c r="H569"/>
      <c r="I569"/>
      <c r="J569"/>
      <c r="K569"/>
      <c r="L569"/>
      <c r="M569"/>
      <c r="N569"/>
      <c r="W569"/>
    </row>
    <row r="570" spans="8:23" x14ac:dyDescent="0.35">
      <c r="H570"/>
      <c r="I570"/>
      <c r="J570"/>
      <c r="K570"/>
      <c r="L570"/>
      <c r="M570"/>
      <c r="N570"/>
      <c r="W570"/>
    </row>
    <row r="571" spans="8:23" x14ac:dyDescent="0.35">
      <c r="H571"/>
      <c r="I571"/>
      <c r="J571"/>
      <c r="K571"/>
      <c r="L571"/>
      <c r="M571"/>
      <c r="N571"/>
      <c r="W571"/>
    </row>
    <row r="572" spans="8:23" x14ac:dyDescent="0.35">
      <c r="H572"/>
      <c r="I572"/>
      <c r="J572"/>
      <c r="K572"/>
      <c r="L572"/>
      <c r="M572"/>
      <c r="N572"/>
      <c r="W572"/>
    </row>
    <row r="573" spans="8:23" x14ac:dyDescent="0.35">
      <c r="H573"/>
      <c r="I573"/>
      <c r="J573"/>
      <c r="K573"/>
      <c r="L573"/>
      <c r="M573"/>
      <c r="N573"/>
      <c r="W573"/>
    </row>
    <row r="574" spans="8:23" x14ac:dyDescent="0.35">
      <c r="H574"/>
      <c r="I574"/>
      <c r="J574"/>
      <c r="K574"/>
      <c r="L574"/>
      <c r="M574"/>
      <c r="N574"/>
      <c r="W574"/>
    </row>
    <row r="575" spans="8:23" x14ac:dyDescent="0.35">
      <c r="H575"/>
      <c r="I575"/>
      <c r="J575"/>
      <c r="K575"/>
      <c r="L575"/>
      <c r="M575"/>
      <c r="N575"/>
      <c r="W575"/>
    </row>
    <row r="576" spans="8:23" x14ac:dyDescent="0.35">
      <c r="H576"/>
      <c r="I576"/>
      <c r="J576"/>
      <c r="K576"/>
      <c r="L576"/>
      <c r="M576"/>
      <c r="N576"/>
      <c r="W576"/>
    </row>
    <row r="577" spans="8:23" x14ac:dyDescent="0.35">
      <c r="H577"/>
      <c r="I577"/>
      <c r="J577"/>
      <c r="K577"/>
      <c r="L577"/>
      <c r="M577"/>
      <c r="N577"/>
      <c r="W577"/>
    </row>
    <row r="578" spans="8:23" x14ac:dyDescent="0.35">
      <c r="H578"/>
      <c r="I578"/>
      <c r="J578"/>
      <c r="K578"/>
      <c r="L578"/>
      <c r="M578"/>
      <c r="N578"/>
      <c r="W578"/>
    </row>
    <row r="579" spans="8:23" x14ac:dyDescent="0.35">
      <c r="H579"/>
      <c r="I579"/>
      <c r="J579"/>
      <c r="K579"/>
      <c r="L579"/>
      <c r="M579"/>
      <c r="N579"/>
      <c r="W579"/>
    </row>
    <row r="580" spans="8:23" x14ac:dyDescent="0.35">
      <c r="H580"/>
      <c r="I580"/>
      <c r="J580"/>
      <c r="K580"/>
      <c r="L580"/>
      <c r="M580"/>
      <c r="N580"/>
      <c r="W580"/>
    </row>
    <row r="581" spans="8:23" x14ac:dyDescent="0.35">
      <c r="H581"/>
      <c r="I581"/>
      <c r="J581"/>
      <c r="K581"/>
      <c r="L581"/>
      <c r="M581"/>
      <c r="N581"/>
      <c r="W581"/>
    </row>
    <row r="582" spans="8:23" x14ac:dyDescent="0.35">
      <c r="H582"/>
      <c r="I582"/>
      <c r="J582"/>
      <c r="K582"/>
      <c r="L582"/>
      <c r="M582"/>
      <c r="N582"/>
      <c r="W582"/>
    </row>
    <row r="583" spans="8:23" x14ac:dyDescent="0.35">
      <c r="H583"/>
      <c r="I583"/>
      <c r="J583"/>
      <c r="K583"/>
      <c r="L583"/>
      <c r="M583"/>
      <c r="N583"/>
      <c r="W583"/>
    </row>
    <row r="584" spans="8:23" x14ac:dyDescent="0.35">
      <c r="H584"/>
      <c r="I584"/>
      <c r="J584"/>
      <c r="K584"/>
      <c r="L584"/>
      <c r="M584"/>
      <c r="N584"/>
      <c r="W584"/>
    </row>
    <row r="585" spans="8:23" x14ac:dyDescent="0.35">
      <c r="H585"/>
      <c r="I585"/>
      <c r="J585"/>
      <c r="K585"/>
      <c r="L585"/>
      <c r="M585"/>
      <c r="N585"/>
      <c r="W585"/>
    </row>
    <row r="586" spans="8:23" x14ac:dyDescent="0.35">
      <c r="H586"/>
      <c r="I586"/>
      <c r="J586"/>
      <c r="K586"/>
      <c r="L586"/>
      <c r="M586"/>
      <c r="N586"/>
      <c r="W586"/>
    </row>
    <row r="587" spans="8:23" x14ac:dyDescent="0.35">
      <c r="H587"/>
      <c r="I587"/>
      <c r="J587"/>
      <c r="K587"/>
      <c r="L587"/>
      <c r="M587"/>
      <c r="N587"/>
      <c r="W587"/>
    </row>
    <row r="588" spans="8:23" x14ac:dyDescent="0.35">
      <c r="H588"/>
      <c r="I588"/>
      <c r="J588"/>
      <c r="K588"/>
      <c r="L588"/>
      <c r="M588"/>
      <c r="N588"/>
      <c r="W588"/>
    </row>
    <row r="589" spans="8:23" x14ac:dyDescent="0.35">
      <c r="H589"/>
      <c r="I589"/>
      <c r="J589"/>
      <c r="K589"/>
      <c r="L589"/>
      <c r="M589"/>
      <c r="N589"/>
      <c r="W589"/>
    </row>
    <row r="590" spans="8:23" x14ac:dyDescent="0.35">
      <c r="H590"/>
      <c r="I590"/>
      <c r="J590"/>
      <c r="K590"/>
      <c r="L590"/>
      <c r="M590"/>
      <c r="N590"/>
      <c r="W590"/>
    </row>
    <row r="591" spans="8:23" x14ac:dyDescent="0.35">
      <c r="H591"/>
      <c r="I591"/>
      <c r="J591"/>
      <c r="K591"/>
      <c r="L591"/>
      <c r="M591"/>
      <c r="N591"/>
      <c r="W591"/>
    </row>
    <row r="592" spans="8:23" x14ac:dyDescent="0.35">
      <c r="H592"/>
      <c r="I592"/>
      <c r="J592"/>
      <c r="K592"/>
      <c r="L592"/>
      <c r="M592"/>
      <c r="N592"/>
      <c r="W592"/>
    </row>
    <row r="593" spans="8:23" x14ac:dyDescent="0.35">
      <c r="H593"/>
      <c r="I593"/>
      <c r="J593"/>
      <c r="K593"/>
      <c r="L593"/>
      <c r="M593"/>
      <c r="N593"/>
      <c r="W593"/>
    </row>
    <row r="594" spans="8:23" x14ac:dyDescent="0.35">
      <c r="H594"/>
      <c r="I594"/>
      <c r="J594"/>
      <c r="K594"/>
      <c r="L594"/>
      <c r="M594"/>
      <c r="N594"/>
      <c r="W594"/>
    </row>
    <row r="595" spans="8:23" x14ac:dyDescent="0.35">
      <c r="H595"/>
      <c r="I595"/>
      <c r="J595"/>
      <c r="K595"/>
      <c r="L595"/>
      <c r="M595"/>
      <c r="N595"/>
      <c r="W595"/>
    </row>
    <row r="596" spans="8:23" x14ac:dyDescent="0.35">
      <c r="H596"/>
      <c r="I596"/>
      <c r="J596"/>
      <c r="K596"/>
      <c r="L596"/>
      <c r="M596"/>
      <c r="N596"/>
      <c r="W596"/>
    </row>
    <row r="597" spans="8:23" x14ac:dyDescent="0.35">
      <c r="H597"/>
      <c r="I597"/>
      <c r="J597"/>
      <c r="K597"/>
      <c r="L597"/>
      <c r="M597"/>
      <c r="N597"/>
      <c r="W597"/>
    </row>
    <row r="598" spans="8:23" x14ac:dyDescent="0.35">
      <c r="H598"/>
      <c r="I598"/>
      <c r="J598"/>
      <c r="K598"/>
      <c r="L598"/>
      <c r="M598"/>
      <c r="N598"/>
      <c r="W598"/>
    </row>
    <row r="599" spans="8:23" x14ac:dyDescent="0.35">
      <c r="H599"/>
      <c r="I599"/>
      <c r="J599"/>
      <c r="K599"/>
      <c r="L599"/>
      <c r="M599"/>
      <c r="N599"/>
      <c r="W599"/>
    </row>
    <row r="600" spans="8:23" x14ac:dyDescent="0.35">
      <c r="H600"/>
      <c r="I600"/>
      <c r="J600"/>
      <c r="K600"/>
      <c r="L600"/>
      <c r="M600"/>
      <c r="N600"/>
      <c r="W600"/>
    </row>
    <row r="601" spans="8:23" x14ac:dyDescent="0.35">
      <c r="H601"/>
      <c r="I601"/>
      <c r="J601"/>
      <c r="K601"/>
      <c r="L601"/>
      <c r="M601"/>
      <c r="N601"/>
      <c r="W601"/>
    </row>
    <row r="602" spans="8:23" x14ac:dyDescent="0.35">
      <c r="H602"/>
      <c r="I602"/>
      <c r="J602"/>
      <c r="K602"/>
      <c r="L602"/>
      <c r="M602"/>
      <c r="N602"/>
      <c r="W602"/>
    </row>
    <row r="603" spans="8:23" x14ac:dyDescent="0.35">
      <c r="H603"/>
      <c r="I603"/>
      <c r="J603"/>
      <c r="K603"/>
      <c r="L603"/>
      <c r="M603"/>
      <c r="N603"/>
      <c r="W603"/>
    </row>
    <row r="604" spans="8:23" x14ac:dyDescent="0.35">
      <c r="H604"/>
      <c r="I604"/>
      <c r="J604"/>
      <c r="K604"/>
      <c r="L604"/>
      <c r="M604"/>
      <c r="N604"/>
      <c r="W604"/>
    </row>
    <row r="605" spans="8:23" x14ac:dyDescent="0.35">
      <c r="H605"/>
      <c r="I605"/>
      <c r="J605"/>
      <c r="K605"/>
      <c r="L605"/>
      <c r="M605"/>
      <c r="N605"/>
      <c r="W605"/>
    </row>
    <row r="606" spans="8:23" x14ac:dyDescent="0.35">
      <c r="H606"/>
      <c r="I606"/>
      <c r="J606"/>
      <c r="K606"/>
      <c r="L606"/>
      <c r="M606"/>
      <c r="N606"/>
      <c r="W606"/>
    </row>
    <row r="607" spans="8:23" x14ac:dyDescent="0.35">
      <c r="H607"/>
      <c r="I607"/>
      <c r="J607"/>
      <c r="K607"/>
      <c r="L607"/>
      <c r="M607"/>
      <c r="N607"/>
      <c r="W607"/>
    </row>
    <row r="608" spans="8:23" x14ac:dyDescent="0.35">
      <c r="H608"/>
      <c r="I608"/>
      <c r="J608"/>
      <c r="K608"/>
      <c r="L608"/>
      <c r="M608"/>
      <c r="N608"/>
      <c r="W608"/>
    </row>
    <row r="609" spans="8:23" x14ac:dyDescent="0.35">
      <c r="H609"/>
      <c r="I609"/>
      <c r="J609"/>
      <c r="K609"/>
      <c r="L609"/>
      <c r="M609"/>
      <c r="N609"/>
      <c r="W609"/>
    </row>
    <row r="610" spans="8:23" x14ac:dyDescent="0.35">
      <c r="H610"/>
      <c r="I610"/>
      <c r="J610"/>
      <c r="K610"/>
      <c r="L610"/>
      <c r="M610"/>
      <c r="N610"/>
      <c r="W610"/>
    </row>
    <row r="611" spans="8:23" x14ac:dyDescent="0.35">
      <c r="H611"/>
      <c r="I611"/>
      <c r="J611"/>
      <c r="K611"/>
      <c r="L611"/>
      <c r="M611"/>
      <c r="N611"/>
      <c r="W611"/>
    </row>
    <row r="612" spans="8:23" x14ac:dyDescent="0.35">
      <c r="H612"/>
      <c r="I612"/>
      <c r="J612"/>
      <c r="K612"/>
      <c r="L612"/>
      <c r="M612"/>
      <c r="N612"/>
      <c r="W612"/>
    </row>
    <row r="613" spans="8:23" x14ac:dyDescent="0.35">
      <c r="H613"/>
      <c r="I613"/>
      <c r="J613"/>
      <c r="K613"/>
      <c r="L613"/>
      <c r="M613"/>
      <c r="N613"/>
      <c r="W613"/>
    </row>
    <row r="614" spans="8:23" x14ac:dyDescent="0.35">
      <c r="H614"/>
      <c r="I614"/>
      <c r="J614"/>
      <c r="K614"/>
      <c r="L614"/>
      <c r="M614"/>
      <c r="N614"/>
      <c r="W614"/>
    </row>
    <row r="615" spans="8:23" x14ac:dyDescent="0.35">
      <c r="H615"/>
      <c r="I615"/>
      <c r="J615"/>
      <c r="K615"/>
      <c r="L615"/>
      <c r="M615"/>
      <c r="N615"/>
      <c r="W615"/>
    </row>
    <row r="616" spans="8:23" x14ac:dyDescent="0.35">
      <c r="H616"/>
      <c r="I616"/>
      <c r="J616"/>
      <c r="K616"/>
      <c r="L616"/>
      <c r="M616"/>
      <c r="N616"/>
      <c r="W616"/>
    </row>
    <row r="617" spans="8:23" x14ac:dyDescent="0.35">
      <c r="H617"/>
      <c r="I617"/>
      <c r="J617"/>
      <c r="K617"/>
      <c r="L617"/>
      <c r="M617"/>
      <c r="N617"/>
      <c r="W617"/>
    </row>
    <row r="618" spans="8:23" x14ac:dyDescent="0.35">
      <c r="H618"/>
      <c r="I618"/>
      <c r="J618"/>
      <c r="K618"/>
      <c r="L618"/>
      <c r="M618"/>
      <c r="N618"/>
      <c r="W618"/>
    </row>
    <row r="619" spans="8:23" x14ac:dyDescent="0.35">
      <c r="H619"/>
      <c r="I619"/>
      <c r="J619"/>
      <c r="K619"/>
      <c r="L619"/>
      <c r="M619"/>
      <c r="N619"/>
      <c r="W619"/>
    </row>
    <row r="620" spans="8:23" x14ac:dyDescent="0.35">
      <c r="H620"/>
      <c r="I620"/>
      <c r="J620"/>
      <c r="K620"/>
      <c r="L620"/>
      <c r="M620"/>
      <c r="N620"/>
      <c r="W620"/>
    </row>
    <row r="621" spans="8:23" x14ac:dyDescent="0.35">
      <c r="H621"/>
      <c r="I621"/>
      <c r="J621"/>
      <c r="K621"/>
      <c r="L621"/>
      <c r="M621"/>
      <c r="N621"/>
      <c r="W621"/>
    </row>
    <row r="622" spans="8:23" x14ac:dyDescent="0.35">
      <c r="H622"/>
      <c r="I622"/>
      <c r="J622"/>
      <c r="K622"/>
      <c r="L622"/>
      <c r="M622"/>
      <c r="N622"/>
      <c r="W622"/>
    </row>
    <row r="623" spans="8:23" x14ac:dyDescent="0.35">
      <c r="H623"/>
      <c r="I623"/>
      <c r="J623"/>
      <c r="K623"/>
      <c r="L623"/>
      <c r="M623"/>
      <c r="N623"/>
      <c r="W623"/>
    </row>
    <row r="624" spans="8:23" x14ac:dyDescent="0.35">
      <c r="H624"/>
      <c r="I624"/>
      <c r="J624"/>
      <c r="K624"/>
      <c r="L624"/>
      <c r="M624"/>
      <c r="N624"/>
      <c r="W624"/>
    </row>
    <row r="625" spans="8:23" x14ac:dyDescent="0.35">
      <c r="H625"/>
      <c r="I625"/>
      <c r="J625"/>
      <c r="K625"/>
      <c r="L625"/>
      <c r="M625"/>
      <c r="N625"/>
      <c r="W625"/>
    </row>
    <row r="626" spans="8:23" x14ac:dyDescent="0.35">
      <c r="H626"/>
      <c r="I626"/>
      <c r="J626"/>
      <c r="K626"/>
      <c r="L626"/>
      <c r="M626"/>
      <c r="N626"/>
      <c r="W626"/>
    </row>
    <row r="627" spans="8:23" x14ac:dyDescent="0.35">
      <c r="H627"/>
      <c r="I627"/>
      <c r="J627"/>
      <c r="K627"/>
      <c r="L627"/>
      <c r="M627"/>
      <c r="N627"/>
      <c r="W627"/>
    </row>
    <row r="628" spans="8:23" x14ac:dyDescent="0.35">
      <c r="H628"/>
      <c r="I628"/>
      <c r="J628"/>
      <c r="K628"/>
      <c r="L628"/>
      <c r="M628"/>
      <c r="N628"/>
      <c r="W628"/>
    </row>
    <row r="629" spans="8:23" x14ac:dyDescent="0.35">
      <c r="H629"/>
      <c r="I629"/>
      <c r="J629"/>
      <c r="K629"/>
      <c r="L629"/>
      <c r="M629"/>
      <c r="N629"/>
      <c r="W629"/>
    </row>
    <row r="630" spans="8:23" x14ac:dyDescent="0.35">
      <c r="H630"/>
      <c r="I630"/>
      <c r="J630"/>
      <c r="K630"/>
      <c r="L630"/>
      <c r="M630"/>
      <c r="N630"/>
      <c r="W630"/>
    </row>
    <row r="631" spans="8:23" x14ac:dyDescent="0.35">
      <c r="H631"/>
      <c r="I631"/>
      <c r="J631"/>
      <c r="K631"/>
      <c r="L631"/>
      <c r="M631"/>
      <c r="N631"/>
      <c r="W631"/>
    </row>
    <row r="632" spans="8:23" x14ac:dyDescent="0.35">
      <c r="H632"/>
      <c r="I632"/>
      <c r="J632"/>
      <c r="K632"/>
      <c r="L632"/>
      <c r="M632"/>
      <c r="N632"/>
      <c r="W632"/>
    </row>
    <row r="633" spans="8:23" x14ac:dyDescent="0.35">
      <c r="H633"/>
      <c r="I633"/>
      <c r="J633"/>
      <c r="K633"/>
      <c r="L633"/>
      <c r="M633"/>
      <c r="N633"/>
      <c r="W633"/>
    </row>
    <row r="634" spans="8:23" x14ac:dyDescent="0.35">
      <c r="H634"/>
      <c r="I634"/>
      <c r="J634"/>
      <c r="K634"/>
      <c r="L634"/>
      <c r="M634"/>
      <c r="N634"/>
      <c r="W634"/>
    </row>
    <row r="635" spans="8:23" x14ac:dyDescent="0.35">
      <c r="H635"/>
      <c r="I635"/>
      <c r="J635"/>
      <c r="K635"/>
      <c r="L635"/>
      <c r="M635"/>
      <c r="N635"/>
      <c r="W635"/>
    </row>
    <row r="636" spans="8:23" x14ac:dyDescent="0.35">
      <c r="H636"/>
      <c r="I636"/>
      <c r="J636"/>
      <c r="K636"/>
      <c r="L636"/>
      <c r="M636"/>
      <c r="N636"/>
      <c r="W636"/>
    </row>
    <row r="637" spans="8:23" x14ac:dyDescent="0.35">
      <c r="H637"/>
      <c r="I637"/>
      <c r="J637"/>
      <c r="K637"/>
      <c r="L637"/>
      <c r="M637"/>
      <c r="N637"/>
      <c r="W637"/>
    </row>
    <row r="638" spans="8:23" x14ac:dyDescent="0.35">
      <c r="H638"/>
      <c r="I638"/>
      <c r="J638"/>
      <c r="K638"/>
      <c r="L638"/>
      <c r="M638"/>
      <c r="N638"/>
      <c r="W638"/>
    </row>
    <row r="639" spans="8:23" x14ac:dyDescent="0.35">
      <c r="H639"/>
      <c r="I639"/>
      <c r="J639"/>
      <c r="K639"/>
      <c r="L639"/>
      <c r="M639"/>
      <c r="N639"/>
      <c r="W639"/>
    </row>
    <row r="640" spans="8:23" x14ac:dyDescent="0.35">
      <c r="H640"/>
      <c r="I640"/>
      <c r="J640"/>
      <c r="K640"/>
      <c r="L640"/>
      <c r="M640"/>
      <c r="N640"/>
      <c r="W640"/>
    </row>
    <row r="641" spans="8:23" x14ac:dyDescent="0.35">
      <c r="H641"/>
      <c r="I641"/>
      <c r="J641"/>
      <c r="K641"/>
      <c r="L641"/>
      <c r="M641"/>
      <c r="N641"/>
      <c r="W641"/>
    </row>
    <row r="642" spans="8:23" x14ac:dyDescent="0.35">
      <c r="H642"/>
      <c r="I642"/>
      <c r="J642"/>
      <c r="K642"/>
      <c r="L642"/>
      <c r="M642"/>
      <c r="N642"/>
      <c r="W642"/>
    </row>
    <row r="643" spans="8:23" x14ac:dyDescent="0.35">
      <c r="H643"/>
      <c r="I643"/>
      <c r="J643"/>
      <c r="K643"/>
      <c r="L643"/>
      <c r="M643"/>
      <c r="N643"/>
      <c r="W643"/>
    </row>
    <row r="644" spans="8:23" x14ac:dyDescent="0.35">
      <c r="H644"/>
      <c r="I644"/>
      <c r="J644"/>
      <c r="K644"/>
      <c r="L644"/>
      <c r="M644"/>
      <c r="N644"/>
      <c r="W644"/>
    </row>
    <row r="645" spans="8:23" x14ac:dyDescent="0.35">
      <c r="H645"/>
      <c r="I645"/>
      <c r="J645"/>
      <c r="K645"/>
      <c r="L645"/>
      <c r="M645"/>
      <c r="N645"/>
      <c r="W645"/>
    </row>
    <row r="646" spans="8:23" x14ac:dyDescent="0.35">
      <c r="H646"/>
      <c r="I646"/>
      <c r="J646"/>
      <c r="K646"/>
      <c r="L646"/>
      <c r="M646"/>
      <c r="N646"/>
      <c r="W646"/>
    </row>
    <row r="647" spans="8:23" x14ac:dyDescent="0.35">
      <c r="H647"/>
      <c r="I647"/>
      <c r="J647"/>
      <c r="K647"/>
      <c r="L647"/>
      <c r="M647"/>
      <c r="N647"/>
      <c r="W647"/>
    </row>
    <row r="648" spans="8:23" x14ac:dyDescent="0.35">
      <c r="H648"/>
      <c r="I648"/>
      <c r="J648"/>
      <c r="K648"/>
      <c r="L648"/>
      <c r="M648"/>
      <c r="N648"/>
      <c r="W648"/>
    </row>
    <row r="649" spans="8:23" x14ac:dyDescent="0.35">
      <c r="H649"/>
      <c r="I649"/>
      <c r="J649"/>
      <c r="K649"/>
      <c r="L649"/>
      <c r="M649"/>
      <c r="N649"/>
      <c r="W649"/>
    </row>
    <row r="650" spans="8:23" x14ac:dyDescent="0.35">
      <c r="H650"/>
      <c r="I650"/>
      <c r="J650"/>
      <c r="K650"/>
      <c r="L650"/>
      <c r="M650"/>
      <c r="N650"/>
      <c r="W650"/>
    </row>
    <row r="651" spans="8:23" x14ac:dyDescent="0.35">
      <c r="H651"/>
      <c r="I651"/>
      <c r="J651"/>
      <c r="K651"/>
      <c r="L651"/>
      <c r="M651"/>
      <c r="N651"/>
      <c r="W651"/>
    </row>
    <row r="652" spans="8:23" x14ac:dyDescent="0.35">
      <c r="H652"/>
      <c r="I652"/>
      <c r="J652"/>
      <c r="K652"/>
      <c r="L652"/>
      <c r="M652"/>
      <c r="N652"/>
      <c r="W652"/>
    </row>
    <row r="653" spans="8:23" x14ac:dyDescent="0.35">
      <c r="H653"/>
      <c r="I653"/>
      <c r="J653"/>
      <c r="K653"/>
      <c r="L653"/>
      <c r="M653"/>
      <c r="N653"/>
      <c r="W653"/>
    </row>
    <row r="654" spans="8:23" x14ac:dyDescent="0.35">
      <c r="H654"/>
      <c r="I654"/>
      <c r="J654"/>
      <c r="K654"/>
      <c r="L654"/>
      <c r="M654"/>
      <c r="N654"/>
      <c r="W654"/>
    </row>
    <row r="655" spans="8:23" x14ac:dyDescent="0.35">
      <c r="H655"/>
      <c r="I655"/>
      <c r="J655"/>
      <c r="K655"/>
      <c r="L655"/>
      <c r="M655"/>
      <c r="N655"/>
      <c r="W655"/>
    </row>
    <row r="656" spans="8:23" x14ac:dyDescent="0.35">
      <c r="H656"/>
      <c r="I656"/>
      <c r="J656"/>
      <c r="K656"/>
      <c r="L656"/>
      <c r="M656"/>
      <c r="N656"/>
      <c r="W656"/>
    </row>
    <row r="657" spans="8:23" x14ac:dyDescent="0.35">
      <c r="H657"/>
      <c r="I657"/>
      <c r="J657"/>
      <c r="K657"/>
      <c r="L657"/>
      <c r="M657"/>
      <c r="N657"/>
      <c r="W657"/>
    </row>
    <row r="658" spans="8:23" x14ac:dyDescent="0.35">
      <c r="H658"/>
      <c r="I658"/>
      <c r="J658"/>
      <c r="K658"/>
      <c r="L658"/>
      <c r="M658"/>
      <c r="N658"/>
      <c r="W658"/>
    </row>
    <row r="659" spans="8:23" x14ac:dyDescent="0.35">
      <c r="H659"/>
      <c r="I659"/>
      <c r="J659"/>
      <c r="K659"/>
      <c r="L659"/>
      <c r="M659"/>
      <c r="N659"/>
      <c r="W659"/>
    </row>
    <row r="660" spans="8:23" x14ac:dyDescent="0.35">
      <c r="H660"/>
      <c r="I660"/>
      <c r="J660"/>
      <c r="K660"/>
      <c r="L660"/>
      <c r="M660"/>
      <c r="N660"/>
      <c r="W660"/>
    </row>
    <row r="661" spans="8:23" x14ac:dyDescent="0.35">
      <c r="H661"/>
      <c r="I661"/>
      <c r="J661"/>
      <c r="K661"/>
      <c r="L661"/>
      <c r="M661"/>
      <c r="N661"/>
      <c r="W661"/>
    </row>
    <row r="662" spans="8:23" x14ac:dyDescent="0.35">
      <c r="H662"/>
      <c r="I662"/>
      <c r="J662"/>
      <c r="K662"/>
      <c r="L662"/>
      <c r="M662"/>
      <c r="N662"/>
      <c r="W662"/>
    </row>
    <row r="663" spans="8:23" x14ac:dyDescent="0.35">
      <c r="H663"/>
      <c r="I663"/>
      <c r="J663"/>
      <c r="K663"/>
      <c r="L663"/>
      <c r="M663"/>
      <c r="N663"/>
      <c r="W663"/>
    </row>
    <row r="664" spans="8:23" x14ac:dyDescent="0.35">
      <c r="H664"/>
      <c r="I664"/>
      <c r="J664"/>
      <c r="K664"/>
      <c r="L664"/>
      <c r="M664"/>
      <c r="N664"/>
      <c r="W664"/>
    </row>
    <row r="665" spans="8:23" x14ac:dyDescent="0.35">
      <c r="H665"/>
      <c r="I665"/>
      <c r="J665"/>
      <c r="K665"/>
      <c r="L665"/>
      <c r="M665"/>
      <c r="N665"/>
      <c r="W665"/>
    </row>
    <row r="666" spans="8:23" x14ac:dyDescent="0.35">
      <c r="H666"/>
      <c r="I666"/>
      <c r="J666"/>
      <c r="K666"/>
      <c r="L666"/>
      <c r="M666"/>
      <c r="N666"/>
      <c r="W666"/>
    </row>
    <row r="667" spans="8:23" x14ac:dyDescent="0.35">
      <c r="H667"/>
      <c r="I667"/>
      <c r="J667"/>
      <c r="K667"/>
      <c r="L667"/>
      <c r="M667"/>
      <c r="N667"/>
      <c r="W667"/>
    </row>
    <row r="668" spans="8:23" x14ac:dyDescent="0.35">
      <c r="H668"/>
      <c r="I668"/>
      <c r="J668"/>
      <c r="K668"/>
      <c r="L668"/>
      <c r="M668"/>
      <c r="N668"/>
      <c r="W668"/>
    </row>
    <row r="669" spans="8:23" x14ac:dyDescent="0.35">
      <c r="H669"/>
      <c r="I669"/>
      <c r="J669"/>
      <c r="K669"/>
      <c r="L669"/>
      <c r="M669"/>
      <c r="N669"/>
      <c r="W669"/>
    </row>
    <row r="670" spans="8:23" x14ac:dyDescent="0.35">
      <c r="H670"/>
      <c r="I670"/>
      <c r="J670"/>
      <c r="K670"/>
      <c r="L670"/>
      <c r="M670"/>
      <c r="N670"/>
      <c r="W670"/>
    </row>
    <row r="671" spans="8:23" x14ac:dyDescent="0.35">
      <c r="H671"/>
      <c r="I671"/>
      <c r="J671"/>
      <c r="K671"/>
      <c r="L671"/>
      <c r="M671"/>
      <c r="N671"/>
      <c r="W671"/>
    </row>
    <row r="672" spans="8:23" x14ac:dyDescent="0.35">
      <c r="H672"/>
      <c r="I672"/>
      <c r="J672"/>
      <c r="K672"/>
      <c r="L672"/>
      <c r="M672"/>
      <c r="N672"/>
      <c r="W672"/>
    </row>
    <row r="673" spans="8:23" x14ac:dyDescent="0.35">
      <c r="H673"/>
      <c r="I673"/>
      <c r="J673"/>
      <c r="K673"/>
      <c r="L673"/>
      <c r="M673"/>
      <c r="N673"/>
      <c r="W673"/>
    </row>
    <row r="674" spans="8:23" x14ac:dyDescent="0.35">
      <c r="H674"/>
      <c r="I674"/>
      <c r="J674"/>
      <c r="K674"/>
      <c r="L674"/>
      <c r="M674"/>
      <c r="N674"/>
      <c r="W674"/>
    </row>
    <row r="675" spans="8:23" x14ac:dyDescent="0.35">
      <c r="H675"/>
      <c r="I675"/>
      <c r="J675"/>
      <c r="K675"/>
      <c r="L675"/>
      <c r="M675"/>
      <c r="N675"/>
      <c r="W675"/>
    </row>
    <row r="676" spans="8:23" x14ac:dyDescent="0.35">
      <c r="H676"/>
      <c r="I676"/>
      <c r="J676"/>
      <c r="K676"/>
      <c r="L676"/>
      <c r="M676"/>
      <c r="N676"/>
      <c r="W676"/>
    </row>
    <row r="677" spans="8:23" x14ac:dyDescent="0.35">
      <c r="H677"/>
      <c r="I677"/>
      <c r="J677"/>
      <c r="K677"/>
      <c r="L677"/>
      <c r="M677"/>
      <c r="N677"/>
      <c r="W677"/>
    </row>
    <row r="678" spans="8:23" x14ac:dyDescent="0.35">
      <c r="H678"/>
      <c r="I678"/>
      <c r="J678"/>
      <c r="K678"/>
      <c r="L678"/>
      <c r="M678"/>
      <c r="N678"/>
      <c r="W678"/>
    </row>
    <row r="679" spans="8:23" x14ac:dyDescent="0.35">
      <c r="H679"/>
      <c r="I679"/>
      <c r="J679"/>
      <c r="K679"/>
      <c r="L679"/>
      <c r="M679"/>
      <c r="N679"/>
      <c r="W679"/>
    </row>
    <row r="680" spans="8:23" x14ac:dyDescent="0.35">
      <c r="H680"/>
      <c r="I680"/>
      <c r="J680"/>
      <c r="K680"/>
      <c r="L680"/>
      <c r="M680"/>
      <c r="N680"/>
      <c r="W680"/>
    </row>
    <row r="681" spans="8:23" x14ac:dyDescent="0.35">
      <c r="H681"/>
      <c r="I681"/>
      <c r="J681"/>
      <c r="K681"/>
      <c r="L681"/>
      <c r="M681"/>
      <c r="N681"/>
      <c r="W681"/>
    </row>
    <row r="682" spans="8:23" x14ac:dyDescent="0.35">
      <c r="H682"/>
      <c r="I682"/>
      <c r="J682"/>
      <c r="K682"/>
      <c r="L682"/>
      <c r="M682"/>
      <c r="N682"/>
      <c r="W682"/>
    </row>
    <row r="683" spans="8:23" x14ac:dyDescent="0.35">
      <c r="H683"/>
      <c r="I683"/>
      <c r="J683"/>
      <c r="K683"/>
      <c r="L683"/>
      <c r="M683"/>
      <c r="N683"/>
      <c r="W683"/>
    </row>
    <row r="684" spans="8:23" x14ac:dyDescent="0.35">
      <c r="H684"/>
      <c r="I684"/>
      <c r="J684"/>
      <c r="K684"/>
      <c r="L684"/>
      <c r="M684"/>
      <c r="N684"/>
      <c r="W684"/>
    </row>
    <row r="685" spans="8:23" x14ac:dyDescent="0.35">
      <c r="H685"/>
      <c r="I685"/>
      <c r="J685"/>
      <c r="K685"/>
      <c r="L685"/>
      <c r="M685"/>
      <c r="N685"/>
      <c r="W685"/>
    </row>
    <row r="686" spans="8:23" x14ac:dyDescent="0.35">
      <c r="H686"/>
      <c r="I686"/>
      <c r="J686"/>
      <c r="K686"/>
      <c r="L686"/>
      <c r="M686"/>
      <c r="N686"/>
      <c r="W686"/>
    </row>
    <row r="687" spans="8:23" x14ac:dyDescent="0.35">
      <c r="H687"/>
      <c r="I687"/>
      <c r="J687"/>
      <c r="K687"/>
      <c r="L687"/>
      <c r="M687"/>
      <c r="N687"/>
      <c r="W687"/>
    </row>
    <row r="688" spans="8:23" x14ac:dyDescent="0.35">
      <c r="H688"/>
      <c r="I688"/>
      <c r="J688"/>
      <c r="K688"/>
      <c r="L688"/>
      <c r="M688"/>
      <c r="N688"/>
      <c r="W688"/>
    </row>
    <row r="689" spans="8:23" x14ac:dyDescent="0.35">
      <c r="H689"/>
      <c r="I689"/>
      <c r="J689"/>
      <c r="K689"/>
      <c r="L689"/>
      <c r="M689"/>
      <c r="N689"/>
      <c r="W689"/>
    </row>
    <row r="690" spans="8:23" x14ac:dyDescent="0.35">
      <c r="H690"/>
      <c r="I690"/>
      <c r="J690"/>
      <c r="K690"/>
      <c r="L690"/>
      <c r="M690"/>
      <c r="N690"/>
      <c r="W690"/>
    </row>
    <row r="691" spans="8:23" x14ac:dyDescent="0.35">
      <c r="H691"/>
      <c r="I691"/>
      <c r="J691"/>
      <c r="K691"/>
      <c r="L691"/>
      <c r="M691"/>
      <c r="N691"/>
      <c r="W691"/>
    </row>
    <row r="692" spans="8:23" x14ac:dyDescent="0.35">
      <c r="H692"/>
      <c r="I692"/>
      <c r="J692"/>
      <c r="K692"/>
      <c r="L692"/>
      <c r="M692"/>
      <c r="N692"/>
      <c r="W692"/>
    </row>
    <row r="693" spans="8:23" x14ac:dyDescent="0.35">
      <c r="H693"/>
      <c r="I693"/>
      <c r="J693"/>
      <c r="K693"/>
      <c r="L693"/>
      <c r="M693"/>
      <c r="N693"/>
      <c r="W693"/>
    </row>
    <row r="694" spans="8:23" x14ac:dyDescent="0.35">
      <c r="H694"/>
      <c r="I694"/>
      <c r="J694"/>
      <c r="K694"/>
      <c r="L694"/>
      <c r="M694"/>
      <c r="N694"/>
      <c r="W694"/>
    </row>
    <row r="695" spans="8:23" x14ac:dyDescent="0.35">
      <c r="H695"/>
      <c r="I695"/>
      <c r="J695"/>
      <c r="K695"/>
      <c r="L695"/>
      <c r="M695"/>
      <c r="N695"/>
      <c r="W695"/>
    </row>
    <row r="696" spans="8:23" x14ac:dyDescent="0.35">
      <c r="H696"/>
      <c r="I696"/>
      <c r="J696"/>
      <c r="K696"/>
      <c r="L696"/>
      <c r="M696"/>
      <c r="N696"/>
      <c r="W696"/>
    </row>
    <row r="697" spans="8:23" x14ac:dyDescent="0.35">
      <c r="H697"/>
      <c r="I697"/>
      <c r="J697"/>
      <c r="K697"/>
      <c r="L697"/>
      <c r="M697"/>
      <c r="N697"/>
      <c r="W697"/>
    </row>
    <row r="698" spans="8:23" x14ac:dyDescent="0.35">
      <c r="H698"/>
      <c r="I698"/>
      <c r="J698"/>
      <c r="K698"/>
      <c r="L698"/>
      <c r="M698"/>
      <c r="N698"/>
      <c r="W698"/>
    </row>
    <row r="699" spans="8:23" x14ac:dyDescent="0.35">
      <c r="H699"/>
      <c r="I699"/>
      <c r="J699"/>
      <c r="K699"/>
      <c r="L699"/>
      <c r="M699"/>
      <c r="N699"/>
      <c r="W699"/>
    </row>
    <row r="700" spans="8:23" x14ac:dyDescent="0.35">
      <c r="H700"/>
      <c r="I700"/>
      <c r="J700"/>
      <c r="K700"/>
      <c r="L700"/>
      <c r="M700"/>
      <c r="N700"/>
      <c r="W700"/>
    </row>
    <row r="701" spans="8:23" x14ac:dyDescent="0.35">
      <c r="H701"/>
      <c r="I701"/>
      <c r="J701"/>
      <c r="K701"/>
      <c r="L701"/>
      <c r="M701"/>
      <c r="N701"/>
      <c r="W701"/>
    </row>
    <row r="702" spans="8:23" x14ac:dyDescent="0.35">
      <c r="H702"/>
      <c r="I702"/>
      <c r="J702"/>
      <c r="K702"/>
      <c r="L702"/>
      <c r="M702"/>
      <c r="N702"/>
      <c r="W702"/>
    </row>
    <row r="703" spans="8:23" x14ac:dyDescent="0.35">
      <c r="H703"/>
      <c r="I703"/>
      <c r="J703"/>
      <c r="K703"/>
      <c r="L703"/>
      <c r="M703"/>
      <c r="N703"/>
      <c r="W703"/>
    </row>
    <row r="704" spans="8:23" x14ac:dyDescent="0.35">
      <c r="H704"/>
      <c r="I704"/>
      <c r="J704"/>
      <c r="K704"/>
      <c r="L704"/>
      <c r="M704"/>
      <c r="N704"/>
      <c r="W704"/>
    </row>
    <row r="705" spans="8:23" x14ac:dyDescent="0.35">
      <c r="H705"/>
      <c r="I705"/>
      <c r="J705"/>
      <c r="K705"/>
      <c r="L705"/>
      <c r="M705"/>
      <c r="N705"/>
      <c r="W705"/>
    </row>
    <row r="706" spans="8:23" x14ac:dyDescent="0.35">
      <c r="H706"/>
      <c r="I706"/>
      <c r="J706"/>
      <c r="K706"/>
      <c r="L706"/>
      <c r="M706"/>
      <c r="N706"/>
      <c r="W706"/>
    </row>
    <row r="707" spans="8:23" x14ac:dyDescent="0.35">
      <c r="H707"/>
      <c r="I707"/>
      <c r="J707"/>
      <c r="K707"/>
      <c r="L707"/>
      <c r="M707"/>
      <c r="N707"/>
      <c r="W707"/>
    </row>
    <row r="708" spans="8:23" x14ac:dyDescent="0.35">
      <c r="H708"/>
      <c r="I708"/>
      <c r="J708"/>
      <c r="K708"/>
      <c r="L708"/>
      <c r="M708"/>
      <c r="N708"/>
      <c r="W708"/>
    </row>
    <row r="709" spans="8:23" x14ac:dyDescent="0.35">
      <c r="H709"/>
      <c r="I709"/>
      <c r="J709"/>
      <c r="K709"/>
      <c r="L709"/>
      <c r="M709"/>
      <c r="N709"/>
      <c r="W709"/>
    </row>
    <row r="710" spans="8:23" x14ac:dyDescent="0.35">
      <c r="H710"/>
      <c r="I710"/>
      <c r="J710"/>
      <c r="K710"/>
      <c r="L710"/>
      <c r="M710"/>
      <c r="N710"/>
      <c r="W710"/>
    </row>
    <row r="711" spans="8:23" x14ac:dyDescent="0.35">
      <c r="H711"/>
      <c r="I711"/>
      <c r="J711"/>
      <c r="K711"/>
      <c r="L711"/>
      <c r="M711"/>
      <c r="N711"/>
      <c r="W711"/>
    </row>
    <row r="712" spans="8:23" x14ac:dyDescent="0.35">
      <c r="H712"/>
      <c r="I712"/>
      <c r="J712"/>
      <c r="K712"/>
      <c r="L712"/>
      <c r="M712"/>
      <c r="N712"/>
      <c r="W712"/>
    </row>
    <row r="713" spans="8:23" x14ac:dyDescent="0.35">
      <c r="H713"/>
      <c r="I713"/>
      <c r="J713"/>
      <c r="K713"/>
      <c r="L713"/>
      <c r="M713"/>
      <c r="N713"/>
      <c r="W713"/>
    </row>
    <row r="714" spans="8:23" x14ac:dyDescent="0.35">
      <c r="H714"/>
      <c r="I714"/>
      <c r="J714"/>
      <c r="K714"/>
      <c r="L714"/>
      <c r="M714"/>
      <c r="N714"/>
      <c r="W714"/>
    </row>
    <row r="715" spans="8:23" x14ac:dyDescent="0.35">
      <c r="H715"/>
      <c r="I715"/>
      <c r="J715"/>
      <c r="K715"/>
      <c r="L715"/>
      <c r="M715"/>
      <c r="N715"/>
      <c r="W715"/>
    </row>
    <row r="716" spans="8:23" x14ac:dyDescent="0.35">
      <c r="H716"/>
      <c r="I716"/>
      <c r="J716"/>
      <c r="K716"/>
      <c r="L716"/>
      <c r="M716"/>
      <c r="N716"/>
      <c r="W716"/>
    </row>
    <row r="717" spans="8:23" x14ac:dyDescent="0.35">
      <c r="H717"/>
      <c r="I717"/>
      <c r="J717"/>
      <c r="K717"/>
      <c r="L717"/>
      <c r="M717"/>
      <c r="N717"/>
      <c r="W717"/>
    </row>
    <row r="718" spans="8:23" x14ac:dyDescent="0.35">
      <c r="H718"/>
      <c r="I718"/>
      <c r="J718"/>
      <c r="K718"/>
      <c r="L718"/>
      <c r="M718"/>
      <c r="N718"/>
      <c r="W718"/>
    </row>
    <row r="719" spans="8:23" x14ac:dyDescent="0.35">
      <c r="H719"/>
      <c r="I719"/>
      <c r="J719"/>
      <c r="K719"/>
      <c r="L719"/>
      <c r="M719"/>
      <c r="N719"/>
      <c r="W719"/>
    </row>
    <row r="720" spans="8:23" x14ac:dyDescent="0.35">
      <c r="H720"/>
      <c r="I720"/>
      <c r="J720"/>
      <c r="K720"/>
      <c r="L720"/>
      <c r="M720"/>
      <c r="N720"/>
      <c r="W720"/>
    </row>
    <row r="721" spans="8:23" x14ac:dyDescent="0.35">
      <c r="H721"/>
      <c r="I721"/>
      <c r="J721"/>
      <c r="K721"/>
      <c r="L721"/>
      <c r="M721"/>
      <c r="N721"/>
      <c r="W721"/>
    </row>
    <row r="722" spans="8:23" x14ac:dyDescent="0.35">
      <c r="H722"/>
      <c r="I722"/>
      <c r="J722"/>
      <c r="K722"/>
      <c r="L722"/>
      <c r="M722"/>
      <c r="N722"/>
      <c r="W722"/>
    </row>
    <row r="723" spans="8:23" x14ac:dyDescent="0.35">
      <c r="H723"/>
      <c r="I723"/>
      <c r="J723"/>
      <c r="K723"/>
      <c r="L723"/>
      <c r="M723"/>
      <c r="N723"/>
      <c r="W723"/>
    </row>
    <row r="724" spans="8:23" x14ac:dyDescent="0.35">
      <c r="H724"/>
      <c r="I724"/>
      <c r="J724"/>
      <c r="K724"/>
      <c r="L724"/>
      <c r="M724"/>
      <c r="N724"/>
      <c r="W724"/>
    </row>
    <row r="725" spans="8:23" x14ac:dyDescent="0.35">
      <c r="H725"/>
      <c r="I725"/>
      <c r="J725"/>
      <c r="K725"/>
      <c r="L725"/>
      <c r="M725"/>
      <c r="N725"/>
      <c r="W725"/>
    </row>
    <row r="726" spans="8:23" x14ac:dyDescent="0.35">
      <c r="H726"/>
      <c r="I726"/>
      <c r="J726"/>
      <c r="K726"/>
      <c r="L726"/>
      <c r="M726"/>
      <c r="N726"/>
      <c r="W726"/>
    </row>
    <row r="727" spans="8:23" x14ac:dyDescent="0.35">
      <c r="H727"/>
      <c r="I727"/>
      <c r="J727"/>
      <c r="K727"/>
      <c r="L727"/>
      <c r="M727"/>
      <c r="N727"/>
      <c r="W727"/>
    </row>
    <row r="728" spans="8:23" x14ac:dyDescent="0.35">
      <c r="H728"/>
      <c r="I728"/>
      <c r="J728"/>
      <c r="K728"/>
      <c r="L728"/>
      <c r="M728"/>
      <c r="N728"/>
      <c r="W728"/>
    </row>
    <row r="729" spans="8:23" x14ac:dyDescent="0.35">
      <c r="H729"/>
      <c r="I729"/>
      <c r="J729"/>
      <c r="K729"/>
      <c r="L729"/>
      <c r="M729"/>
      <c r="N729"/>
      <c r="W729"/>
    </row>
    <row r="730" spans="8:23" x14ac:dyDescent="0.35">
      <c r="H730"/>
      <c r="I730"/>
      <c r="J730"/>
      <c r="K730"/>
      <c r="L730"/>
      <c r="M730"/>
      <c r="N730"/>
      <c r="W730"/>
    </row>
    <row r="731" spans="8:23" x14ac:dyDescent="0.35">
      <c r="H731"/>
      <c r="I731"/>
      <c r="J731"/>
      <c r="K731"/>
      <c r="L731"/>
      <c r="M731"/>
      <c r="N731"/>
      <c r="W731"/>
    </row>
    <row r="732" spans="8:23" x14ac:dyDescent="0.35">
      <c r="H732"/>
      <c r="I732"/>
      <c r="J732"/>
      <c r="K732"/>
      <c r="L732"/>
      <c r="M732"/>
      <c r="N732"/>
      <c r="W732"/>
    </row>
    <row r="733" spans="8:23" x14ac:dyDescent="0.35">
      <c r="H733"/>
      <c r="I733"/>
      <c r="J733"/>
      <c r="K733"/>
      <c r="L733"/>
      <c r="M733"/>
      <c r="N733"/>
      <c r="W733"/>
    </row>
    <row r="734" spans="8:23" x14ac:dyDescent="0.35">
      <c r="H734"/>
      <c r="I734"/>
      <c r="J734"/>
      <c r="K734"/>
      <c r="L734"/>
      <c r="M734"/>
      <c r="N734"/>
      <c r="W734"/>
    </row>
    <row r="735" spans="8:23" x14ac:dyDescent="0.35">
      <c r="H735"/>
      <c r="I735"/>
      <c r="J735"/>
      <c r="K735"/>
      <c r="L735"/>
      <c r="M735"/>
      <c r="N735"/>
      <c r="W735"/>
    </row>
    <row r="736" spans="8:23" x14ac:dyDescent="0.35">
      <c r="H736"/>
      <c r="I736"/>
      <c r="J736"/>
      <c r="K736"/>
      <c r="L736"/>
      <c r="M736"/>
      <c r="N736"/>
      <c r="W736"/>
    </row>
    <row r="737" spans="8:23" x14ac:dyDescent="0.35">
      <c r="H737"/>
      <c r="I737"/>
      <c r="J737"/>
      <c r="K737"/>
      <c r="L737"/>
      <c r="M737"/>
      <c r="N737"/>
      <c r="W737"/>
    </row>
    <row r="738" spans="8:23" x14ac:dyDescent="0.35">
      <c r="H738"/>
      <c r="I738"/>
      <c r="J738"/>
      <c r="K738"/>
      <c r="L738"/>
      <c r="M738"/>
      <c r="N738"/>
      <c r="W738"/>
    </row>
    <row r="739" spans="8:23" x14ac:dyDescent="0.35">
      <c r="H739"/>
      <c r="I739"/>
      <c r="J739"/>
      <c r="K739"/>
      <c r="L739"/>
      <c r="M739"/>
      <c r="N739"/>
      <c r="W739"/>
    </row>
    <row r="740" spans="8:23" x14ac:dyDescent="0.35">
      <c r="H740"/>
      <c r="I740"/>
      <c r="J740"/>
      <c r="K740"/>
      <c r="L740"/>
      <c r="M740"/>
      <c r="N740"/>
      <c r="W740"/>
    </row>
    <row r="741" spans="8:23" x14ac:dyDescent="0.35">
      <c r="H741"/>
      <c r="I741"/>
      <c r="J741"/>
      <c r="K741"/>
      <c r="L741"/>
      <c r="M741"/>
      <c r="N741"/>
      <c r="W741"/>
    </row>
    <row r="742" spans="8:23" x14ac:dyDescent="0.35">
      <c r="H742"/>
      <c r="I742"/>
      <c r="J742"/>
      <c r="K742"/>
      <c r="L742"/>
      <c r="M742"/>
      <c r="N742"/>
      <c r="W742"/>
    </row>
    <row r="743" spans="8:23" x14ac:dyDescent="0.35">
      <c r="H743"/>
      <c r="I743"/>
      <c r="J743"/>
      <c r="K743"/>
      <c r="L743"/>
      <c r="M743"/>
      <c r="N743"/>
      <c r="W743"/>
    </row>
    <row r="744" spans="8:23" x14ac:dyDescent="0.35">
      <c r="H744"/>
      <c r="I744"/>
      <c r="J744"/>
      <c r="K744"/>
      <c r="L744"/>
      <c r="M744"/>
      <c r="N744"/>
      <c r="W744"/>
    </row>
    <row r="745" spans="8:23" x14ac:dyDescent="0.35">
      <c r="H745"/>
      <c r="I745"/>
      <c r="J745"/>
      <c r="K745"/>
      <c r="L745"/>
      <c r="M745"/>
      <c r="N745"/>
      <c r="W745"/>
    </row>
    <row r="746" spans="8:23" x14ac:dyDescent="0.35">
      <c r="H746"/>
      <c r="I746"/>
      <c r="J746"/>
      <c r="K746"/>
      <c r="L746"/>
      <c r="M746"/>
      <c r="N746"/>
      <c r="W746"/>
    </row>
    <row r="747" spans="8:23" x14ac:dyDescent="0.35">
      <c r="H747"/>
      <c r="I747"/>
      <c r="J747"/>
      <c r="K747"/>
      <c r="L747"/>
      <c r="M747"/>
      <c r="N747"/>
      <c r="W747"/>
    </row>
    <row r="748" spans="8:23" x14ac:dyDescent="0.35">
      <c r="H748"/>
      <c r="I748"/>
      <c r="J748"/>
      <c r="K748"/>
      <c r="L748"/>
      <c r="M748"/>
      <c r="N748"/>
      <c r="W748"/>
    </row>
    <row r="749" spans="8:23" x14ac:dyDescent="0.35">
      <c r="H749"/>
      <c r="I749"/>
      <c r="J749"/>
      <c r="K749"/>
      <c r="L749"/>
      <c r="M749"/>
      <c r="N749"/>
      <c r="W749"/>
    </row>
    <row r="750" spans="8:23" x14ac:dyDescent="0.35">
      <c r="H750"/>
      <c r="I750"/>
      <c r="J750"/>
      <c r="K750"/>
      <c r="L750"/>
      <c r="M750"/>
      <c r="N750"/>
      <c r="W750"/>
    </row>
    <row r="751" spans="8:23" x14ac:dyDescent="0.35">
      <c r="H751"/>
      <c r="I751"/>
      <c r="J751"/>
      <c r="K751"/>
      <c r="L751"/>
      <c r="M751"/>
      <c r="N751"/>
      <c r="W751"/>
    </row>
    <row r="752" spans="8:23" x14ac:dyDescent="0.35">
      <c r="H752"/>
      <c r="I752"/>
      <c r="J752"/>
      <c r="K752"/>
      <c r="L752"/>
      <c r="M752"/>
      <c r="N752"/>
      <c r="W752"/>
    </row>
    <row r="753" spans="8:23" x14ac:dyDescent="0.35">
      <c r="H753"/>
      <c r="I753"/>
      <c r="J753"/>
      <c r="K753"/>
      <c r="L753"/>
      <c r="M753"/>
      <c r="N753"/>
      <c r="W753"/>
    </row>
    <row r="754" spans="8:23" x14ac:dyDescent="0.35">
      <c r="H754"/>
      <c r="I754"/>
      <c r="J754"/>
      <c r="K754"/>
      <c r="L754"/>
      <c r="M754"/>
      <c r="N754"/>
      <c r="W754"/>
    </row>
    <row r="755" spans="8:23" x14ac:dyDescent="0.35">
      <c r="H755"/>
      <c r="I755"/>
      <c r="J755"/>
      <c r="K755"/>
      <c r="L755"/>
      <c r="M755"/>
      <c r="N755"/>
      <c r="W755"/>
    </row>
    <row r="756" spans="8:23" x14ac:dyDescent="0.35">
      <c r="H756"/>
      <c r="I756"/>
      <c r="J756"/>
      <c r="K756"/>
      <c r="L756"/>
      <c r="M756"/>
      <c r="N756"/>
      <c r="W756"/>
    </row>
    <row r="757" spans="8:23" x14ac:dyDescent="0.35">
      <c r="H757"/>
      <c r="I757"/>
      <c r="J757"/>
      <c r="K757"/>
      <c r="L757"/>
      <c r="M757"/>
      <c r="N757"/>
      <c r="W757"/>
    </row>
    <row r="758" spans="8:23" x14ac:dyDescent="0.35">
      <c r="H758"/>
      <c r="I758"/>
      <c r="J758"/>
      <c r="K758"/>
      <c r="L758"/>
      <c r="M758"/>
      <c r="N758"/>
      <c r="W758"/>
    </row>
    <row r="759" spans="8:23" x14ac:dyDescent="0.35">
      <c r="H759"/>
      <c r="I759"/>
      <c r="J759"/>
      <c r="K759"/>
      <c r="L759"/>
      <c r="M759"/>
      <c r="N759"/>
      <c r="W759"/>
    </row>
    <row r="760" spans="8:23" x14ac:dyDescent="0.35">
      <c r="H760"/>
      <c r="I760"/>
      <c r="J760"/>
      <c r="K760"/>
      <c r="L760"/>
      <c r="M760"/>
      <c r="N760"/>
      <c r="W760"/>
    </row>
    <row r="761" spans="8:23" x14ac:dyDescent="0.35">
      <c r="H761"/>
      <c r="I761"/>
      <c r="J761"/>
      <c r="K761"/>
      <c r="L761"/>
      <c r="M761"/>
      <c r="N761"/>
      <c r="W761"/>
    </row>
    <row r="762" spans="8:23" x14ac:dyDescent="0.35">
      <c r="H762"/>
      <c r="I762"/>
      <c r="J762"/>
      <c r="K762"/>
      <c r="L762"/>
      <c r="M762"/>
      <c r="N762"/>
      <c r="W762"/>
    </row>
    <row r="763" spans="8:23" x14ac:dyDescent="0.35">
      <c r="H763"/>
      <c r="I763"/>
      <c r="J763"/>
      <c r="K763"/>
      <c r="L763"/>
      <c r="M763"/>
      <c r="N763"/>
      <c r="W763"/>
    </row>
    <row r="764" spans="8:23" x14ac:dyDescent="0.35">
      <c r="H764"/>
      <c r="I764"/>
      <c r="J764"/>
      <c r="K764"/>
      <c r="L764"/>
      <c r="M764"/>
      <c r="N764"/>
      <c r="W764"/>
    </row>
    <row r="765" spans="8:23" x14ac:dyDescent="0.35">
      <c r="H765"/>
      <c r="I765"/>
      <c r="J765"/>
      <c r="K765"/>
      <c r="L765"/>
      <c r="M765"/>
      <c r="N765"/>
      <c r="W765"/>
    </row>
    <row r="766" spans="8:23" x14ac:dyDescent="0.35">
      <c r="H766"/>
      <c r="I766"/>
      <c r="J766"/>
      <c r="K766"/>
      <c r="L766"/>
      <c r="M766"/>
      <c r="N766"/>
      <c r="W766"/>
    </row>
    <row r="767" spans="8:23" x14ac:dyDescent="0.35">
      <c r="H767"/>
      <c r="I767"/>
      <c r="J767"/>
      <c r="K767"/>
      <c r="L767"/>
      <c r="M767"/>
      <c r="N767"/>
      <c r="W767"/>
    </row>
    <row r="768" spans="8:23" x14ac:dyDescent="0.35">
      <c r="H768"/>
      <c r="I768"/>
      <c r="J768"/>
      <c r="K768"/>
      <c r="L768"/>
      <c r="M768"/>
      <c r="N768"/>
      <c r="W768"/>
    </row>
    <row r="769" spans="8:23" x14ac:dyDescent="0.35">
      <c r="H769"/>
      <c r="I769"/>
      <c r="J769"/>
      <c r="K769"/>
      <c r="L769"/>
      <c r="M769"/>
      <c r="N769"/>
      <c r="W769"/>
    </row>
    <row r="770" spans="8:23" x14ac:dyDescent="0.35">
      <c r="H770"/>
      <c r="I770"/>
      <c r="J770"/>
      <c r="K770"/>
      <c r="L770"/>
      <c r="M770"/>
      <c r="N770"/>
      <c r="W770"/>
    </row>
    <row r="771" spans="8:23" x14ac:dyDescent="0.35">
      <c r="H771"/>
      <c r="I771"/>
      <c r="J771"/>
      <c r="K771"/>
      <c r="L771"/>
      <c r="M771"/>
      <c r="N771"/>
      <c r="W771"/>
    </row>
    <row r="772" spans="8:23" x14ac:dyDescent="0.35">
      <c r="H772"/>
      <c r="I772"/>
      <c r="J772"/>
      <c r="K772"/>
      <c r="L772"/>
      <c r="M772"/>
      <c r="N772"/>
      <c r="W772"/>
    </row>
    <row r="773" spans="8:23" x14ac:dyDescent="0.35">
      <c r="H773"/>
      <c r="I773"/>
      <c r="J773"/>
      <c r="K773"/>
      <c r="L773"/>
      <c r="M773"/>
      <c r="N773"/>
      <c r="W773"/>
    </row>
    <row r="774" spans="8:23" x14ac:dyDescent="0.35">
      <c r="H774"/>
      <c r="I774"/>
      <c r="J774"/>
      <c r="K774"/>
      <c r="L774"/>
      <c r="M774"/>
      <c r="N774"/>
      <c r="W774"/>
    </row>
    <row r="775" spans="8:23" x14ac:dyDescent="0.35">
      <c r="H775"/>
      <c r="I775"/>
      <c r="J775"/>
      <c r="K775"/>
      <c r="L775"/>
      <c r="M775"/>
      <c r="N775"/>
      <c r="W775"/>
    </row>
    <row r="776" spans="8:23" x14ac:dyDescent="0.35">
      <c r="H776"/>
      <c r="I776"/>
      <c r="J776"/>
      <c r="K776"/>
      <c r="L776"/>
      <c r="M776"/>
      <c r="N776"/>
      <c r="W776"/>
    </row>
    <row r="777" spans="8:23" x14ac:dyDescent="0.35">
      <c r="H777"/>
      <c r="I777"/>
      <c r="J777"/>
      <c r="K777"/>
      <c r="L777"/>
      <c r="M777"/>
      <c r="N777"/>
      <c r="W777"/>
    </row>
    <row r="778" spans="8:23" x14ac:dyDescent="0.35">
      <c r="H778"/>
      <c r="I778"/>
      <c r="J778"/>
      <c r="K778"/>
      <c r="L778"/>
      <c r="M778"/>
      <c r="N778"/>
      <c r="W778"/>
    </row>
    <row r="779" spans="8:23" x14ac:dyDescent="0.35">
      <c r="H779"/>
      <c r="I779"/>
      <c r="J779"/>
      <c r="K779"/>
      <c r="L779"/>
      <c r="M779"/>
      <c r="N779"/>
      <c r="W779"/>
    </row>
    <row r="780" spans="8:23" x14ac:dyDescent="0.35">
      <c r="H780"/>
      <c r="I780"/>
      <c r="J780"/>
      <c r="K780"/>
      <c r="L780"/>
      <c r="M780"/>
      <c r="N780"/>
      <c r="W780"/>
    </row>
    <row r="781" spans="8:23" x14ac:dyDescent="0.35">
      <c r="H781"/>
      <c r="I781"/>
      <c r="J781"/>
      <c r="K781"/>
      <c r="L781"/>
      <c r="M781"/>
      <c r="N781"/>
      <c r="W781"/>
    </row>
    <row r="782" spans="8:23" x14ac:dyDescent="0.35">
      <c r="H782"/>
      <c r="I782"/>
      <c r="J782"/>
      <c r="K782"/>
      <c r="L782"/>
      <c r="M782"/>
      <c r="N782"/>
      <c r="W782"/>
    </row>
    <row r="783" spans="8:23" x14ac:dyDescent="0.35">
      <c r="H783"/>
      <c r="I783"/>
      <c r="J783"/>
      <c r="K783"/>
      <c r="L783"/>
      <c r="M783"/>
      <c r="N783"/>
      <c r="W783"/>
    </row>
    <row r="784" spans="8:23" x14ac:dyDescent="0.35">
      <c r="H784"/>
      <c r="I784"/>
      <c r="J784"/>
      <c r="K784"/>
      <c r="L784"/>
      <c r="M784"/>
      <c r="N784"/>
      <c r="W784"/>
    </row>
    <row r="785" spans="8:23" x14ac:dyDescent="0.35">
      <c r="H785"/>
      <c r="I785"/>
      <c r="J785"/>
      <c r="K785"/>
      <c r="L785"/>
      <c r="M785"/>
      <c r="N785"/>
      <c r="W785"/>
    </row>
    <row r="786" spans="8:23" x14ac:dyDescent="0.35">
      <c r="H786"/>
      <c r="I786"/>
      <c r="J786"/>
      <c r="K786"/>
      <c r="L786"/>
      <c r="M786"/>
      <c r="N786"/>
      <c r="W786"/>
    </row>
    <row r="787" spans="8:23" x14ac:dyDescent="0.35">
      <c r="H787"/>
      <c r="I787"/>
      <c r="J787"/>
      <c r="K787"/>
      <c r="L787"/>
      <c r="M787"/>
      <c r="N787"/>
      <c r="W787"/>
    </row>
    <row r="788" spans="8:23" x14ac:dyDescent="0.35">
      <c r="H788"/>
      <c r="I788"/>
      <c r="J788"/>
      <c r="K788"/>
      <c r="L788"/>
      <c r="M788"/>
      <c r="N788"/>
      <c r="W788"/>
    </row>
    <row r="789" spans="8:23" x14ac:dyDescent="0.35">
      <c r="H789"/>
      <c r="I789"/>
      <c r="J789"/>
      <c r="K789"/>
      <c r="L789"/>
      <c r="M789"/>
      <c r="N789"/>
      <c r="W789"/>
    </row>
    <row r="790" spans="8:23" x14ac:dyDescent="0.35">
      <c r="H790"/>
      <c r="I790"/>
      <c r="J790"/>
      <c r="K790"/>
      <c r="L790"/>
      <c r="M790"/>
      <c r="N790"/>
      <c r="W790"/>
    </row>
    <row r="791" spans="8:23" x14ac:dyDescent="0.35">
      <c r="H791"/>
      <c r="I791"/>
      <c r="J791"/>
      <c r="K791"/>
      <c r="L791"/>
      <c r="M791"/>
      <c r="N791"/>
      <c r="W791"/>
    </row>
    <row r="792" spans="8:23" x14ac:dyDescent="0.35">
      <c r="H792"/>
      <c r="I792"/>
      <c r="J792"/>
      <c r="K792"/>
      <c r="L792"/>
      <c r="M792"/>
      <c r="N792"/>
      <c r="W792"/>
    </row>
    <row r="793" spans="8:23" x14ac:dyDescent="0.35">
      <c r="H793"/>
      <c r="I793"/>
      <c r="J793"/>
      <c r="K793"/>
      <c r="L793"/>
      <c r="M793"/>
      <c r="N793"/>
      <c r="W793"/>
    </row>
    <row r="794" spans="8:23" x14ac:dyDescent="0.35">
      <c r="H794"/>
      <c r="I794"/>
      <c r="J794"/>
      <c r="K794"/>
      <c r="L794"/>
      <c r="M794"/>
      <c r="N794"/>
      <c r="W794"/>
    </row>
    <row r="795" spans="8:23" x14ac:dyDescent="0.35">
      <c r="H795"/>
      <c r="I795"/>
      <c r="J795"/>
      <c r="K795"/>
      <c r="L795"/>
      <c r="M795"/>
      <c r="N795"/>
      <c r="W795"/>
    </row>
    <row r="796" spans="8:23" x14ac:dyDescent="0.35">
      <c r="H796"/>
      <c r="I796"/>
      <c r="J796"/>
      <c r="K796"/>
      <c r="L796"/>
      <c r="M796"/>
      <c r="N796"/>
      <c r="W796"/>
    </row>
    <row r="797" spans="8:23" x14ac:dyDescent="0.35">
      <c r="H797"/>
      <c r="I797"/>
      <c r="J797"/>
      <c r="K797"/>
      <c r="L797"/>
      <c r="M797"/>
      <c r="N797"/>
      <c r="W797"/>
    </row>
    <row r="798" spans="8:23" x14ac:dyDescent="0.35">
      <c r="H798"/>
      <c r="I798"/>
      <c r="J798"/>
      <c r="K798"/>
      <c r="L798"/>
      <c r="M798"/>
      <c r="N798"/>
      <c r="W798"/>
    </row>
    <row r="799" spans="8:23" x14ac:dyDescent="0.35">
      <c r="H799"/>
      <c r="I799"/>
      <c r="J799"/>
      <c r="K799"/>
      <c r="L799"/>
      <c r="M799"/>
      <c r="N799"/>
      <c r="W799"/>
    </row>
    <row r="800" spans="8:23" x14ac:dyDescent="0.35">
      <c r="H800"/>
      <c r="I800"/>
      <c r="J800"/>
      <c r="K800"/>
      <c r="L800"/>
      <c r="M800"/>
      <c r="N800"/>
      <c r="W800"/>
    </row>
    <row r="801" spans="8:23" x14ac:dyDescent="0.35">
      <c r="H801"/>
      <c r="I801"/>
      <c r="J801"/>
      <c r="K801"/>
      <c r="L801"/>
      <c r="M801"/>
      <c r="N801"/>
      <c r="W801"/>
    </row>
    <row r="802" spans="8:23" x14ac:dyDescent="0.35">
      <c r="H802"/>
      <c r="I802"/>
      <c r="J802"/>
      <c r="K802"/>
      <c r="L802"/>
      <c r="M802"/>
      <c r="N802"/>
      <c r="W802"/>
    </row>
    <row r="803" spans="8:23" x14ac:dyDescent="0.35">
      <c r="H803"/>
      <c r="I803"/>
      <c r="J803"/>
      <c r="K803"/>
      <c r="L803"/>
      <c r="M803"/>
      <c r="N803"/>
      <c r="W803"/>
    </row>
    <row r="804" spans="8:23" x14ac:dyDescent="0.35">
      <c r="H804"/>
      <c r="I804"/>
      <c r="J804"/>
      <c r="K804"/>
      <c r="L804"/>
      <c r="M804"/>
      <c r="N804"/>
      <c r="W804"/>
    </row>
    <row r="805" spans="8:23" x14ac:dyDescent="0.35">
      <c r="H805"/>
      <c r="I805"/>
      <c r="J805"/>
      <c r="K805"/>
      <c r="L805"/>
      <c r="M805"/>
      <c r="N805"/>
      <c r="W805"/>
    </row>
    <row r="806" spans="8:23" x14ac:dyDescent="0.35">
      <c r="H806"/>
      <c r="I806"/>
      <c r="J806"/>
      <c r="K806"/>
      <c r="L806"/>
      <c r="M806"/>
      <c r="N806"/>
      <c r="W806"/>
    </row>
    <row r="807" spans="8:23" x14ac:dyDescent="0.35">
      <c r="H807"/>
      <c r="I807"/>
      <c r="J807"/>
      <c r="K807"/>
      <c r="L807"/>
      <c r="M807"/>
      <c r="N807"/>
      <c r="W807"/>
    </row>
    <row r="808" spans="8:23" x14ac:dyDescent="0.35">
      <c r="H808"/>
      <c r="I808"/>
      <c r="J808"/>
      <c r="K808"/>
      <c r="L808"/>
      <c r="M808"/>
      <c r="N808"/>
      <c r="W808"/>
    </row>
    <row r="809" spans="8:23" x14ac:dyDescent="0.35">
      <c r="H809"/>
      <c r="I809"/>
      <c r="J809"/>
      <c r="K809"/>
      <c r="L809"/>
      <c r="M809"/>
      <c r="N809"/>
      <c r="W809"/>
    </row>
    <row r="810" spans="8:23" x14ac:dyDescent="0.35">
      <c r="H810"/>
      <c r="I810"/>
      <c r="J810"/>
      <c r="K810"/>
      <c r="L810"/>
      <c r="M810"/>
      <c r="N810"/>
      <c r="W810"/>
    </row>
    <row r="811" spans="8:23" x14ac:dyDescent="0.35">
      <c r="H811"/>
      <c r="I811"/>
      <c r="J811"/>
      <c r="K811"/>
      <c r="L811"/>
      <c r="M811"/>
      <c r="N811"/>
      <c r="W811"/>
    </row>
    <row r="812" spans="8:23" x14ac:dyDescent="0.35">
      <c r="H812"/>
      <c r="I812"/>
      <c r="J812"/>
      <c r="K812"/>
      <c r="L812"/>
      <c r="M812"/>
      <c r="N812"/>
      <c r="W812"/>
    </row>
    <row r="813" spans="8:23" x14ac:dyDescent="0.35">
      <c r="H813"/>
      <c r="I813"/>
      <c r="J813"/>
      <c r="K813"/>
      <c r="L813"/>
      <c r="M813"/>
      <c r="N813"/>
      <c r="W813"/>
    </row>
    <row r="814" spans="8:23" x14ac:dyDescent="0.35">
      <c r="H814"/>
      <c r="I814"/>
      <c r="J814"/>
      <c r="K814"/>
      <c r="L814"/>
      <c r="M814"/>
      <c r="N814"/>
      <c r="W814"/>
    </row>
    <row r="815" spans="8:23" x14ac:dyDescent="0.35">
      <c r="H815"/>
      <c r="I815"/>
      <c r="J815"/>
      <c r="K815"/>
      <c r="L815"/>
      <c r="M815"/>
      <c r="N815"/>
      <c r="W815"/>
    </row>
    <row r="816" spans="8:23" x14ac:dyDescent="0.35">
      <c r="H816"/>
      <c r="I816"/>
      <c r="J816"/>
      <c r="K816"/>
      <c r="L816"/>
      <c r="M816"/>
      <c r="N816"/>
      <c r="W816"/>
    </row>
    <row r="817" spans="8:23" x14ac:dyDescent="0.35">
      <c r="H817"/>
      <c r="I817"/>
      <c r="J817"/>
      <c r="K817"/>
      <c r="L817"/>
      <c r="M817"/>
      <c r="N817"/>
      <c r="W817"/>
    </row>
    <row r="818" spans="8:23" x14ac:dyDescent="0.35">
      <c r="H818"/>
      <c r="I818"/>
      <c r="J818"/>
      <c r="K818"/>
      <c r="L818"/>
      <c r="M818"/>
      <c r="N818"/>
      <c r="W818"/>
    </row>
    <row r="819" spans="8:23" x14ac:dyDescent="0.35">
      <c r="H819"/>
      <c r="I819"/>
      <c r="J819"/>
      <c r="K819"/>
      <c r="L819"/>
      <c r="M819"/>
      <c r="N819"/>
      <c r="W819"/>
    </row>
    <row r="820" spans="8:23" x14ac:dyDescent="0.35">
      <c r="H820"/>
      <c r="I820"/>
      <c r="J820"/>
      <c r="K820"/>
      <c r="L820"/>
      <c r="M820"/>
      <c r="N820"/>
      <c r="W820"/>
    </row>
    <row r="821" spans="8:23" x14ac:dyDescent="0.35">
      <c r="H821"/>
      <c r="I821"/>
      <c r="J821"/>
      <c r="K821"/>
      <c r="L821"/>
      <c r="M821"/>
      <c r="N821"/>
      <c r="W821"/>
    </row>
    <row r="822" spans="8:23" x14ac:dyDescent="0.35">
      <c r="H822"/>
      <c r="I822"/>
      <c r="J822"/>
      <c r="K822"/>
      <c r="L822"/>
      <c r="M822"/>
      <c r="N822"/>
      <c r="W822"/>
    </row>
    <row r="823" spans="8:23" x14ac:dyDescent="0.35">
      <c r="H823"/>
      <c r="I823"/>
      <c r="J823"/>
      <c r="K823"/>
      <c r="L823"/>
      <c r="M823"/>
      <c r="N823"/>
      <c r="W823"/>
    </row>
    <row r="824" spans="8:23" x14ac:dyDescent="0.35">
      <c r="H824"/>
      <c r="I824"/>
      <c r="J824"/>
      <c r="K824"/>
      <c r="L824"/>
      <c r="M824"/>
      <c r="N824"/>
      <c r="W824"/>
    </row>
    <row r="825" spans="8:23" x14ac:dyDescent="0.35">
      <c r="H825"/>
      <c r="I825"/>
      <c r="J825"/>
      <c r="K825"/>
      <c r="L825"/>
      <c r="M825"/>
      <c r="N825"/>
      <c r="W825"/>
    </row>
    <row r="826" spans="8:23" x14ac:dyDescent="0.35">
      <c r="H826"/>
      <c r="I826"/>
      <c r="J826"/>
      <c r="K826"/>
      <c r="L826"/>
      <c r="M826"/>
      <c r="N826"/>
      <c r="W826"/>
    </row>
    <row r="827" spans="8:23" x14ac:dyDescent="0.35">
      <c r="H827"/>
      <c r="I827"/>
      <c r="J827"/>
      <c r="K827"/>
      <c r="L827"/>
      <c r="M827"/>
      <c r="N827"/>
      <c r="W827"/>
    </row>
    <row r="828" spans="8:23" x14ac:dyDescent="0.35">
      <c r="H828"/>
      <c r="I828"/>
      <c r="J828"/>
      <c r="K828"/>
      <c r="L828"/>
      <c r="M828"/>
      <c r="N828"/>
      <c r="W828"/>
    </row>
    <row r="829" spans="8:23" x14ac:dyDescent="0.35">
      <c r="H829"/>
      <c r="I829"/>
      <c r="J829"/>
      <c r="K829"/>
      <c r="L829"/>
      <c r="M829"/>
      <c r="N829"/>
      <c r="W829"/>
    </row>
    <row r="830" spans="8:23" x14ac:dyDescent="0.35">
      <c r="H830"/>
      <c r="I830"/>
      <c r="J830"/>
      <c r="K830"/>
      <c r="L830"/>
      <c r="M830"/>
      <c r="N830"/>
      <c r="W830"/>
    </row>
    <row r="831" spans="8:23" x14ac:dyDescent="0.35">
      <c r="H831"/>
      <c r="I831"/>
      <c r="J831"/>
      <c r="K831"/>
      <c r="L831"/>
      <c r="M831"/>
      <c r="N831"/>
      <c r="W831"/>
    </row>
    <row r="832" spans="8:23" x14ac:dyDescent="0.35">
      <c r="H832"/>
      <c r="I832"/>
      <c r="J832"/>
      <c r="K832"/>
      <c r="L832"/>
      <c r="M832"/>
      <c r="N832"/>
      <c r="W832"/>
    </row>
    <row r="833" spans="8:23" x14ac:dyDescent="0.35">
      <c r="H833"/>
      <c r="I833"/>
      <c r="J833"/>
      <c r="K833"/>
      <c r="L833"/>
      <c r="M833"/>
      <c r="N833"/>
      <c r="W833"/>
    </row>
    <row r="834" spans="8:23" x14ac:dyDescent="0.35">
      <c r="H834"/>
      <c r="I834"/>
      <c r="J834"/>
      <c r="K834"/>
      <c r="L834"/>
      <c r="M834"/>
      <c r="N834"/>
      <c r="W834"/>
    </row>
    <row r="835" spans="8:23" x14ac:dyDescent="0.35">
      <c r="H835"/>
      <c r="I835"/>
      <c r="J835"/>
      <c r="K835"/>
      <c r="L835"/>
      <c r="M835"/>
      <c r="N835"/>
      <c r="W835"/>
    </row>
    <row r="836" spans="8:23" x14ac:dyDescent="0.35">
      <c r="H836"/>
      <c r="I836"/>
      <c r="J836"/>
      <c r="K836"/>
      <c r="L836"/>
      <c r="M836"/>
      <c r="N836"/>
      <c r="W836"/>
    </row>
    <row r="837" spans="8:23" x14ac:dyDescent="0.35">
      <c r="H837"/>
      <c r="I837"/>
      <c r="J837"/>
      <c r="K837"/>
      <c r="L837"/>
      <c r="M837"/>
      <c r="N837"/>
      <c r="W837"/>
    </row>
    <row r="838" spans="8:23" x14ac:dyDescent="0.35">
      <c r="H838"/>
      <c r="I838"/>
      <c r="J838"/>
      <c r="K838"/>
      <c r="L838"/>
      <c r="M838"/>
      <c r="N838"/>
      <c r="W838"/>
    </row>
    <row r="839" spans="8:23" x14ac:dyDescent="0.35">
      <c r="H839"/>
      <c r="I839"/>
      <c r="J839"/>
      <c r="K839"/>
      <c r="L839"/>
      <c r="M839"/>
      <c r="N839"/>
      <c r="W839"/>
    </row>
    <row r="840" spans="8:23" x14ac:dyDescent="0.35">
      <c r="H840"/>
      <c r="I840"/>
      <c r="J840"/>
      <c r="K840"/>
      <c r="L840"/>
      <c r="M840"/>
      <c r="N840"/>
      <c r="W840"/>
    </row>
    <row r="841" spans="8:23" x14ac:dyDescent="0.35">
      <c r="H841"/>
      <c r="I841"/>
      <c r="J841"/>
      <c r="K841"/>
      <c r="L841"/>
      <c r="M841"/>
      <c r="N841"/>
      <c r="W841"/>
    </row>
    <row r="842" spans="8:23" x14ac:dyDescent="0.35">
      <c r="H842"/>
      <c r="I842"/>
      <c r="J842"/>
      <c r="K842"/>
      <c r="L842"/>
      <c r="M842"/>
      <c r="N842"/>
      <c r="W842"/>
    </row>
    <row r="843" spans="8:23" x14ac:dyDescent="0.35">
      <c r="H843"/>
      <c r="I843"/>
      <c r="J843"/>
      <c r="K843"/>
      <c r="L843"/>
      <c r="M843"/>
      <c r="N843"/>
      <c r="W843"/>
    </row>
    <row r="844" spans="8:23" x14ac:dyDescent="0.35">
      <c r="H844"/>
      <c r="I844"/>
      <c r="J844"/>
      <c r="K844"/>
      <c r="L844"/>
      <c r="M844"/>
      <c r="N844"/>
      <c r="W844"/>
    </row>
    <row r="845" spans="8:23" x14ac:dyDescent="0.35">
      <c r="H845"/>
      <c r="I845"/>
      <c r="J845"/>
      <c r="K845"/>
      <c r="L845"/>
      <c r="M845"/>
      <c r="N845"/>
      <c r="W845"/>
    </row>
    <row r="846" spans="8:23" x14ac:dyDescent="0.35">
      <c r="H846"/>
      <c r="I846"/>
      <c r="J846"/>
      <c r="K846"/>
      <c r="L846"/>
      <c r="M846"/>
      <c r="N846"/>
      <c r="W846"/>
    </row>
    <row r="847" spans="8:23" x14ac:dyDescent="0.35">
      <c r="H847"/>
      <c r="I847"/>
      <c r="J847"/>
      <c r="K847"/>
      <c r="L847"/>
      <c r="M847"/>
      <c r="N847"/>
      <c r="W847"/>
    </row>
    <row r="848" spans="8:23" x14ac:dyDescent="0.35">
      <c r="H848"/>
      <c r="I848"/>
      <c r="J848"/>
      <c r="K848"/>
      <c r="L848"/>
      <c r="M848"/>
      <c r="N848"/>
      <c r="W848"/>
    </row>
    <row r="849" spans="8:23" x14ac:dyDescent="0.35">
      <c r="H849"/>
      <c r="I849"/>
      <c r="J849"/>
      <c r="K849"/>
      <c r="L849"/>
      <c r="M849"/>
      <c r="N849"/>
      <c r="W849"/>
    </row>
    <row r="850" spans="8:23" x14ac:dyDescent="0.35">
      <c r="H850"/>
      <c r="I850"/>
      <c r="J850"/>
      <c r="K850"/>
      <c r="L850"/>
      <c r="M850"/>
      <c r="N850"/>
      <c r="W850"/>
    </row>
    <row r="851" spans="8:23" x14ac:dyDescent="0.35">
      <c r="H851"/>
      <c r="I851"/>
      <c r="J851"/>
      <c r="K851"/>
      <c r="L851"/>
      <c r="M851"/>
      <c r="N851"/>
      <c r="W851"/>
    </row>
    <row r="852" spans="8:23" x14ac:dyDescent="0.35">
      <c r="H852"/>
      <c r="I852"/>
      <c r="J852"/>
      <c r="K852"/>
      <c r="L852"/>
      <c r="M852"/>
      <c r="N852"/>
      <c r="W852"/>
    </row>
    <row r="853" spans="8:23" x14ac:dyDescent="0.35">
      <c r="H853"/>
      <c r="I853"/>
      <c r="J853"/>
      <c r="K853"/>
      <c r="L853"/>
      <c r="M853"/>
      <c r="N853"/>
      <c r="W853"/>
    </row>
    <row r="854" spans="8:23" x14ac:dyDescent="0.35">
      <c r="H854"/>
      <c r="I854"/>
      <c r="J854"/>
      <c r="K854"/>
      <c r="L854"/>
      <c r="M854"/>
      <c r="N854"/>
      <c r="W854"/>
    </row>
    <row r="855" spans="8:23" x14ac:dyDescent="0.35">
      <c r="H855"/>
      <c r="I855"/>
      <c r="J855"/>
      <c r="K855"/>
      <c r="L855"/>
      <c r="M855"/>
      <c r="N855"/>
      <c r="W855"/>
    </row>
    <row r="856" spans="8:23" x14ac:dyDescent="0.35">
      <c r="H856"/>
      <c r="I856"/>
      <c r="J856"/>
      <c r="K856"/>
      <c r="L856"/>
      <c r="M856"/>
      <c r="N856"/>
      <c r="W856"/>
    </row>
    <row r="857" spans="8:23" x14ac:dyDescent="0.35">
      <c r="H857"/>
      <c r="I857"/>
      <c r="J857"/>
      <c r="K857"/>
      <c r="L857"/>
      <c r="M857"/>
      <c r="N857"/>
      <c r="W857"/>
    </row>
    <row r="858" spans="8:23" x14ac:dyDescent="0.35">
      <c r="H858"/>
      <c r="I858"/>
      <c r="J858"/>
      <c r="K858"/>
      <c r="L858"/>
      <c r="M858"/>
      <c r="N858"/>
      <c r="W858"/>
    </row>
    <row r="859" spans="8:23" x14ac:dyDescent="0.35">
      <c r="H859"/>
      <c r="I859"/>
      <c r="J859"/>
      <c r="K859"/>
      <c r="L859"/>
      <c r="M859"/>
      <c r="N859"/>
      <c r="W859"/>
    </row>
    <row r="860" spans="8:23" x14ac:dyDescent="0.35">
      <c r="H860"/>
      <c r="I860"/>
      <c r="J860"/>
      <c r="K860"/>
      <c r="L860"/>
      <c r="M860"/>
      <c r="N860"/>
      <c r="W860"/>
    </row>
    <row r="861" spans="8:23" x14ac:dyDescent="0.35">
      <c r="H861"/>
      <c r="I861"/>
      <c r="J861"/>
      <c r="K861"/>
      <c r="L861"/>
      <c r="M861"/>
      <c r="N861"/>
      <c r="W861"/>
    </row>
    <row r="862" spans="8:23" x14ac:dyDescent="0.35">
      <c r="H862"/>
      <c r="I862"/>
      <c r="J862"/>
      <c r="K862"/>
      <c r="L862"/>
      <c r="M862"/>
      <c r="N862"/>
      <c r="W862"/>
    </row>
    <row r="863" spans="8:23" x14ac:dyDescent="0.35">
      <c r="H863"/>
      <c r="I863"/>
      <c r="J863"/>
      <c r="K863"/>
      <c r="L863"/>
      <c r="M863"/>
      <c r="N863"/>
      <c r="W863"/>
    </row>
    <row r="864" spans="8:23" x14ac:dyDescent="0.35">
      <c r="H864"/>
      <c r="I864"/>
      <c r="J864"/>
      <c r="K864"/>
      <c r="L864"/>
      <c r="M864"/>
      <c r="N864"/>
      <c r="W864"/>
    </row>
    <row r="865" spans="8:23" x14ac:dyDescent="0.35">
      <c r="H865"/>
      <c r="I865"/>
      <c r="J865"/>
      <c r="K865"/>
      <c r="L865"/>
      <c r="M865"/>
      <c r="N865"/>
      <c r="W865"/>
    </row>
    <row r="866" spans="8:23" x14ac:dyDescent="0.35">
      <c r="H866"/>
      <c r="I866"/>
      <c r="J866"/>
      <c r="K866"/>
      <c r="L866"/>
      <c r="M866"/>
      <c r="N866"/>
      <c r="W866"/>
    </row>
    <row r="867" spans="8:23" x14ac:dyDescent="0.35">
      <c r="H867"/>
      <c r="I867"/>
      <c r="J867"/>
      <c r="K867"/>
      <c r="L867"/>
      <c r="M867"/>
      <c r="N867"/>
      <c r="W867"/>
    </row>
    <row r="868" spans="8:23" x14ac:dyDescent="0.35">
      <c r="H868"/>
      <c r="I868"/>
      <c r="J868"/>
      <c r="K868"/>
      <c r="L868"/>
      <c r="M868"/>
      <c r="N868"/>
      <c r="W868"/>
    </row>
    <row r="869" spans="8:23" x14ac:dyDescent="0.35">
      <c r="H869"/>
      <c r="I869"/>
      <c r="J869"/>
      <c r="K869"/>
      <c r="L869"/>
      <c r="M869"/>
      <c r="N869"/>
      <c r="W869"/>
    </row>
    <row r="870" spans="8:23" x14ac:dyDescent="0.35">
      <c r="H870"/>
      <c r="I870"/>
      <c r="J870"/>
      <c r="K870"/>
      <c r="L870"/>
      <c r="M870"/>
      <c r="N870"/>
      <c r="W870"/>
    </row>
    <row r="871" spans="8:23" x14ac:dyDescent="0.35">
      <c r="H871"/>
      <c r="I871"/>
      <c r="J871"/>
      <c r="K871"/>
      <c r="L871"/>
      <c r="M871"/>
      <c r="N871"/>
      <c r="W871"/>
    </row>
    <row r="872" spans="8:23" x14ac:dyDescent="0.35">
      <c r="H872"/>
      <c r="I872"/>
      <c r="J872"/>
      <c r="K872"/>
      <c r="L872"/>
      <c r="M872"/>
      <c r="N872"/>
      <c r="W872"/>
    </row>
    <row r="873" spans="8:23" x14ac:dyDescent="0.35">
      <c r="H873"/>
      <c r="I873"/>
      <c r="J873"/>
      <c r="K873"/>
      <c r="L873"/>
      <c r="M873"/>
      <c r="N873"/>
      <c r="W873"/>
    </row>
    <row r="874" spans="8:23" x14ac:dyDescent="0.35">
      <c r="H874"/>
      <c r="I874"/>
      <c r="J874"/>
      <c r="K874"/>
      <c r="L874"/>
      <c r="M874"/>
      <c r="N874"/>
      <c r="W874"/>
    </row>
    <row r="875" spans="8:23" x14ac:dyDescent="0.35">
      <c r="H875"/>
      <c r="I875"/>
      <c r="J875"/>
      <c r="K875"/>
      <c r="L875"/>
      <c r="M875"/>
      <c r="N875"/>
      <c r="W875"/>
    </row>
    <row r="876" spans="8:23" x14ac:dyDescent="0.35">
      <c r="H876"/>
      <c r="I876"/>
      <c r="J876"/>
      <c r="K876"/>
      <c r="L876"/>
      <c r="M876"/>
      <c r="N876"/>
      <c r="W876"/>
    </row>
    <row r="877" spans="8:23" x14ac:dyDescent="0.35">
      <c r="H877"/>
      <c r="I877"/>
      <c r="J877"/>
      <c r="K877"/>
      <c r="L877"/>
      <c r="M877"/>
      <c r="N877"/>
      <c r="W877"/>
    </row>
    <row r="878" spans="8:23" x14ac:dyDescent="0.35">
      <c r="H878"/>
      <c r="I878"/>
      <c r="J878"/>
      <c r="K878"/>
      <c r="L878"/>
      <c r="M878"/>
      <c r="N878"/>
      <c r="W878"/>
    </row>
    <row r="879" spans="8:23" x14ac:dyDescent="0.35">
      <c r="H879"/>
      <c r="I879"/>
      <c r="J879"/>
      <c r="K879"/>
      <c r="L879"/>
      <c r="M879"/>
      <c r="N879"/>
      <c r="W879"/>
    </row>
    <row r="880" spans="8:23" x14ac:dyDescent="0.35">
      <c r="H880"/>
      <c r="I880"/>
      <c r="J880"/>
      <c r="K880"/>
      <c r="L880"/>
      <c r="M880"/>
      <c r="N880"/>
      <c r="W880"/>
    </row>
    <row r="881" spans="8:23" x14ac:dyDescent="0.35">
      <c r="H881"/>
      <c r="I881"/>
      <c r="J881"/>
      <c r="K881"/>
      <c r="L881"/>
      <c r="M881"/>
      <c r="N881"/>
      <c r="W881"/>
    </row>
    <row r="882" spans="8:23" x14ac:dyDescent="0.35">
      <c r="H882"/>
      <c r="I882"/>
      <c r="J882"/>
      <c r="K882"/>
      <c r="L882"/>
      <c r="M882"/>
      <c r="N882"/>
      <c r="W882"/>
    </row>
    <row r="883" spans="8:23" x14ac:dyDescent="0.35">
      <c r="H883"/>
      <c r="I883"/>
      <c r="J883"/>
      <c r="K883"/>
      <c r="L883"/>
      <c r="M883"/>
      <c r="N883"/>
      <c r="W883"/>
    </row>
    <row r="884" spans="8:23" x14ac:dyDescent="0.35">
      <c r="H884"/>
      <c r="I884"/>
      <c r="J884"/>
      <c r="K884"/>
      <c r="L884"/>
      <c r="M884"/>
      <c r="N884"/>
      <c r="W884"/>
    </row>
    <row r="885" spans="8:23" x14ac:dyDescent="0.35">
      <c r="H885"/>
      <c r="I885"/>
      <c r="J885"/>
      <c r="K885"/>
      <c r="L885"/>
      <c r="M885"/>
      <c r="N885"/>
      <c r="W885"/>
    </row>
    <row r="886" spans="8:23" x14ac:dyDescent="0.35">
      <c r="H886"/>
      <c r="I886"/>
      <c r="J886"/>
      <c r="K886"/>
      <c r="L886"/>
      <c r="M886"/>
      <c r="N886"/>
      <c r="W886"/>
    </row>
    <row r="887" spans="8:23" x14ac:dyDescent="0.35">
      <c r="H887"/>
      <c r="I887"/>
      <c r="J887"/>
      <c r="K887"/>
      <c r="L887"/>
      <c r="M887"/>
      <c r="N887"/>
      <c r="W887"/>
    </row>
    <row r="888" spans="8:23" x14ac:dyDescent="0.35">
      <c r="H888"/>
      <c r="I888"/>
      <c r="J888"/>
      <c r="K888"/>
      <c r="L888"/>
      <c r="M888"/>
      <c r="N888"/>
      <c r="W888"/>
    </row>
    <row r="889" spans="8:23" x14ac:dyDescent="0.35">
      <c r="H889"/>
      <c r="I889"/>
      <c r="J889"/>
      <c r="K889"/>
      <c r="L889"/>
      <c r="M889"/>
      <c r="N889"/>
      <c r="W889"/>
    </row>
    <row r="890" spans="8:23" x14ac:dyDescent="0.35">
      <c r="H890"/>
      <c r="I890"/>
      <c r="J890"/>
      <c r="K890"/>
      <c r="L890"/>
      <c r="M890"/>
      <c r="N890"/>
      <c r="W890"/>
    </row>
    <row r="891" spans="8:23" x14ac:dyDescent="0.35">
      <c r="H891"/>
      <c r="I891"/>
      <c r="J891"/>
      <c r="K891"/>
      <c r="L891"/>
      <c r="M891"/>
      <c r="N891"/>
      <c r="W891"/>
    </row>
    <row r="892" spans="8:23" x14ac:dyDescent="0.35">
      <c r="H892"/>
      <c r="I892"/>
      <c r="J892"/>
      <c r="K892"/>
      <c r="L892"/>
      <c r="M892"/>
      <c r="N892"/>
      <c r="W892"/>
    </row>
    <row r="893" spans="8:23" x14ac:dyDescent="0.35">
      <c r="H893"/>
      <c r="I893"/>
      <c r="J893"/>
      <c r="K893"/>
      <c r="L893"/>
      <c r="M893"/>
      <c r="N893"/>
      <c r="W893"/>
    </row>
    <row r="894" spans="8:23" x14ac:dyDescent="0.35">
      <c r="H894"/>
      <c r="I894"/>
      <c r="J894"/>
      <c r="K894"/>
      <c r="L894"/>
      <c r="M894"/>
      <c r="N894"/>
      <c r="W894"/>
    </row>
    <row r="895" spans="8:23" x14ac:dyDescent="0.35">
      <c r="H895"/>
      <c r="I895"/>
      <c r="J895"/>
      <c r="K895"/>
      <c r="L895"/>
      <c r="M895"/>
      <c r="N895"/>
      <c r="W895"/>
    </row>
    <row r="896" spans="8:23" x14ac:dyDescent="0.35">
      <c r="H896"/>
      <c r="I896"/>
      <c r="J896"/>
      <c r="K896"/>
      <c r="L896"/>
      <c r="M896"/>
      <c r="N896"/>
      <c r="W896"/>
    </row>
    <row r="897" spans="8:23" x14ac:dyDescent="0.35">
      <c r="H897"/>
      <c r="I897"/>
      <c r="J897"/>
      <c r="K897"/>
      <c r="L897"/>
      <c r="M897"/>
      <c r="N897"/>
      <c r="W897"/>
    </row>
    <row r="898" spans="8:23" x14ac:dyDescent="0.35">
      <c r="H898"/>
      <c r="I898"/>
      <c r="J898"/>
      <c r="K898"/>
      <c r="L898"/>
      <c r="M898"/>
      <c r="N898"/>
      <c r="W898"/>
    </row>
    <row r="899" spans="8:23" x14ac:dyDescent="0.35">
      <c r="H899"/>
      <c r="I899"/>
      <c r="J899"/>
      <c r="K899"/>
      <c r="L899"/>
      <c r="M899"/>
      <c r="N899"/>
      <c r="W899"/>
    </row>
    <row r="900" spans="8:23" x14ac:dyDescent="0.35">
      <c r="H900"/>
      <c r="I900"/>
      <c r="J900"/>
      <c r="K900"/>
      <c r="L900"/>
      <c r="M900"/>
      <c r="N900"/>
      <c r="W900"/>
    </row>
    <row r="901" spans="8:23" x14ac:dyDescent="0.35">
      <c r="H901"/>
      <c r="I901"/>
      <c r="J901"/>
      <c r="K901"/>
      <c r="L901"/>
      <c r="M901"/>
      <c r="N901"/>
      <c r="W901"/>
    </row>
    <row r="902" spans="8:23" x14ac:dyDescent="0.35">
      <c r="H902"/>
      <c r="I902"/>
      <c r="J902"/>
      <c r="K902"/>
      <c r="L902"/>
      <c r="M902"/>
      <c r="N902"/>
      <c r="W902"/>
    </row>
    <row r="903" spans="8:23" x14ac:dyDescent="0.35">
      <c r="H903"/>
      <c r="I903"/>
      <c r="J903"/>
      <c r="K903"/>
      <c r="L903"/>
      <c r="M903"/>
      <c r="N903"/>
      <c r="W903"/>
    </row>
    <row r="904" spans="8:23" x14ac:dyDescent="0.35">
      <c r="H904"/>
      <c r="I904"/>
      <c r="J904"/>
      <c r="K904"/>
      <c r="L904"/>
      <c r="M904"/>
      <c r="N904"/>
      <c r="W904"/>
    </row>
    <row r="905" spans="8:23" x14ac:dyDescent="0.35">
      <c r="H905"/>
      <c r="I905"/>
      <c r="J905"/>
      <c r="K905"/>
      <c r="L905"/>
      <c r="M905"/>
      <c r="N905"/>
      <c r="W905"/>
    </row>
    <row r="906" spans="8:23" x14ac:dyDescent="0.35">
      <c r="H906"/>
      <c r="I906"/>
      <c r="J906"/>
      <c r="K906"/>
      <c r="L906"/>
      <c r="M906"/>
      <c r="N906"/>
      <c r="W906"/>
    </row>
    <row r="907" spans="8:23" x14ac:dyDescent="0.35">
      <c r="H907"/>
      <c r="I907"/>
      <c r="J907"/>
      <c r="K907"/>
      <c r="L907"/>
      <c r="M907"/>
      <c r="N907"/>
      <c r="W907"/>
    </row>
    <row r="908" spans="8:23" x14ac:dyDescent="0.35">
      <c r="H908"/>
      <c r="I908"/>
      <c r="J908"/>
      <c r="K908"/>
      <c r="L908"/>
      <c r="M908"/>
      <c r="N908"/>
      <c r="W908"/>
    </row>
    <row r="909" spans="8:23" x14ac:dyDescent="0.35">
      <c r="H909"/>
      <c r="I909"/>
      <c r="J909"/>
      <c r="K909"/>
      <c r="L909"/>
      <c r="M909"/>
      <c r="N909"/>
      <c r="W909"/>
    </row>
    <row r="910" spans="8:23" x14ac:dyDescent="0.35">
      <c r="H910"/>
      <c r="I910"/>
      <c r="J910"/>
      <c r="K910"/>
      <c r="L910"/>
      <c r="M910"/>
      <c r="N910"/>
      <c r="W910"/>
    </row>
    <row r="911" spans="8:23" x14ac:dyDescent="0.35">
      <c r="H911"/>
      <c r="I911"/>
      <c r="J911"/>
      <c r="K911"/>
      <c r="L911"/>
      <c r="M911"/>
      <c r="N911"/>
      <c r="W911"/>
    </row>
    <row r="912" spans="8:23" x14ac:dyDescent="0.35">
      <c r="H912"/>
      <c r="I912"/>
      <c r="J912"/>
      <c r="K912"/>
      <c r="L912"/>
      <c r="M912"/>
      <c r="N912"/>
      <c r="W912"/>
    </row>
    <row r="913" spans="8:23" x14ac:dyDescent="0.35">
      <c r="H913"/>
      <c r="I913"/>
      <c r="J913"/>
      <c r="K913"/>
      <c r="L913"/>
      <c r="M913"/>
      <c r="N913"/>
      <c r="W913"/>
    </row>
    <row r="914" spans="8:23" x14ac:dyDescent="0.35">
      <c r="H914"/>
      <c r="I914"/>
      <c r="J914"/>
      <c r="K914"/>
      <c r="L914"/>
      <c r="M914"/>
      <c r="N914"/>
      <c r="W914"/>
    </row>
    <row r="915" spans="8:23" x14ac:dyDescent="0.35">
      <c r="H915"/>
      <c r="I915"/>
      <c r="J915"/>
      <c r="K915"/>
      <c r="L915"/>
      <c r="M915"/>
      <c r="N915"/>
      <c r="W915"/>
    </row>
    <row r="916" spans="8:23" x14ac:dyDescent="0.35">
      <c r="H916"/>
      <c r="I916"/>
      <c r="J916"/>
      <c r="K916"/>
      <c r="L916"/>
      <c r="M916"/>
      <c r="N916"/>
      <c r="W916"/>
    </row>
    <row r="917" spans="8:23" x14ac:dyDescent="0.35">
      <c r="H917"/>
      <c r="I917"/>
      <c r="J917"/>
      <c r="K917"/>
      <c r="L917"/>
      <c r="M917"/>
      <c r="N917"/>
      <c r="W917"/>
    </row>
    <row r="918" spans="8:23" x14ac:dyDescent="0.35">
      <c r="H918"/>
      <c r="I918"/>
      <c r="J918"/>
      <c r="K918"/>
      <c r="L918"/>
      <c r="M918"/>
      <c r="N918"/>
      <c r="W918"/>
    </row>
    <row r="919" spans="8:23" x14ac:dyDescent="0.35">
      <c r="H919"/>
      <c r="I919"/>
      <c r="J919"/>
      <c r="K919"/>
      <c r="L919"/>
      <c r="M919"/>
      <c r="N919"/>
      <c r="W919"/>
    </row>
    <row r="920" spans="8:23" x14ac:dyDescent="0.35">
      <c r="H920"/>
      <c r="I920"/>
      <c r="J920"/>
      <c r="K920"/>
      <c r="L920"/>
      <c r="M920"/>
      <c r="N920"/>
      <c r="W920"/>
    </row>
    <row r="921" spans="8:23" x14ac:dyDescent="0.35">
      <c r="H921"/>
      <c r="I921"/>
      <c r="J921"/>
      <c r="K921"/>
      <c r="L921"/>
      <c r="M921"/>
      <c r="N921"/>
      <c r="W921"/>
    </row>
    <row r="922" spans="8:23" x14ac:dyDescent="0.35">
      <c r="H922"/>
      <c r="I922"/>
      <c r="J922"/>
      <c r="K922"/>
      <c r="L922"/>
      <c r="M922"/>
      <c r="N922"/>
      <c r="W922"/>
    </row>
    <row r="923" spans="8:23" x14ac:dyDescent="0.35">
      <c r="H923"/>
      <c r="I923"/>
      <c r="J923"/>
      <c r="K923"/>
      <c r="L923"/>
      <c r="M923"/>
      <c r="N923"/>
      <c r="W923"/>
    </row>
    <row r="924" spans="8:23" x14ac:dyDescent="0.35">
      <c r="H924"/>
      <c r="I924"/>
      <c r="J924"/>
      <c r="K924"/>
      <c r="L924"/>
      <c r="M924"/>
      <c r="N924"/>
      <c r="W924"/>
    </row>
    <row r="925" spans="8:23" x14ac:dyDescent="0.35">
      <c r="H925"/>
      <c r="I925"/>
      <c r="J925"/>
      <c r="K925"/>
      <c r="L925"/>
      <c r="M925"/>
      <c r="N925"/>
      <c r="W925"/>
    </row>
    <row r="926" spans="8:23" x14ac:dyDescent="0.35">
      <c r="H926"/>
      <c r="I926"/>
      <c r="J926"/>
      <c r="K926"/>
      <c r="L926"/>
      <c r="M926"/>
      <c r="N926"/>
      <c r="W926"/>
    </row>
    <row r="927" spans="8:23" x14ac:dyDescent="0.35">
      <c r="H927"/>
      <c r="I927"/>
      <c r="J927"/>
      <c r="K927"/>
      <c r="L927"/>
      <c r="M927"/>
      <c r="N927"/>
      <c r="W927"/>
    </row>
    <row r="928" spans="8:23" x14ac:dyDescent="0.35">
      <c r="H928"/>
      <c r="I928"/>
      <c r="J928"/>
      <c r="K928"/>
      <c r="L928"/>
      <c r="M928"/>
      <c r="N928"/>
      <c r="W928"/>
    </row>
    <row r="929" spans="8:23" x14ac:dyDescent="0.35">
      <c r="H929"/>
      <c r="I929"/>
      <c r="J929"/>
      <c r="K929"/>
      <c r="L929"/>
      <c r="M929"/>
      <c r="N929"/>
      <c r="W929"/>
    </row>
    <row r="930" spans="8:23" x14ac:dyDescent="0.35">
      <c r="H930"/>
      <c r="I930"/>
      <c r="J930"/>
      <c r="K930"/>
      <c r="L930"/>
      <c r="M930"/>
      <c r="N930"/>
      <c r="W930"/>
    </row>
    <row r="931" spans="8:23" x14ac:dyDescent="0.35">
      <c r="H931"/>
      <c r="I931"/>
      <c r="J931"/>
      <c r="K931"/>
      <c r="L931"/>
      <c r="M931"/>
      <c r="N931"/>
      <c r="W931"/>
    </row>
    <row r="932" spans="8:23" x14ac:dyDescent="0.35">
      <c r="H932"/>
      <c r="I932"/>
      <c r="J932"/>
      <c r="K932"/>
      <c r="L932"/>
      <c r="M932"/>
      <c r="N932"/>
      <c r="W932"/>
    </row>
    <row r="933" spans="8:23" x14ac:dyDescent="0.35">
      <c r="H933"/>
      <c r="I933"/>
      <c r="J933"/>
      <c r="K933"/>
      <c r="L933"/>
      <c r="M933"/>
      <c r="N933"/>
      <c r="W933"/>
    </row>
    <row r="934" spans="8:23" x14ac:dyDescent="0.35">
      <c r="H934"/>
      <c r="I934"/>
      <c r="J934"/>
      <c r="K934"/>
      <c r="L934"/>
      <c r="M934"/>
      <c r="N934"/>
      <c r="W934"/>
    </row>
    <row r="935" spans="8:23" x14ac:dyDescent="0.35">
      <c r="H935"/>
      <c r="I935"/>
      <c r="J935"/>
      <c r="K935"/>
      <c r="L935"/>
      <c r="M935"/>
      <c r="N935"/>
      <c r="W935"/>
    </row>
    <row r="936" spans="8:23" x14ac:dyDescent="0.35">
      <c r="H936"/>
      <c r="I936"/>
      <c r="J936"/>
      <c r="K936"/>
      <c r="L936"/>
      <c r="M936"/>
      <c r="N936"/>
      <c r="W936"/>
    </row>
    <row r="937" spans="8:23" x14ac:dyDescent="0.35">
      <c r="H937"/>
      <c r="I937"/>
      <c r="J937"/>
      <c r="K937"/>
      <c r="L937"/>
      <c r="M937"/>
      <c r="N937"/>
      <c r="W937"/>
    </row>
    <row r="938" spans="8:23" x14ac:dyDescent="0.35">
      <c r="H938"/>
      <c r="I938"/>
      <c r="J938"/>
      <c r="K938"/>
      <c r="L938"/>
      <c r="M938"/>
      <c r="N938"/>
      <c r="W938"/>
    </row>
    <row r="939" spans="8:23" x14ac:dyDescent="0.35">
      <c r="H939"/>
      <c r="I939"/>
      <c r="J939"/>
      <c r="K939"/>
      <c r="L939"/>
      <c r="M939"/>
      <c r="N939"/>
      <c r="W939"/>
    </row>
    <row r="940" spans="8:23" x14ac:dyDescent="0.35">
      <c r="H940"/>
      <c r="I940"/>
      <c r="J940"/>
      <c r="K940"/>
      <c r="L940"/>
      <c r="M940"/>
      <c r="N940"/>
      <c r="W940"/>
    </row>
    <row r="941" spans="8:23" x14ac:dyDescent="0.35">
      <c r="H941"/>
      <c r="I941"/>
      <c r="J941"/>
      <c r="K941"/>
      <c r="L941"/>
      <c r="M941"/>
      <c r="N941"/>
      <c r="W941"/>
    </row>
    <row r="942" spans="8:23" x14ac:dyDescent="0.35">
      <c r="H942"/>
      <c r="I942"/>
      <c r="J942"/>
      <c r="K942"/>
      <c r="L942"/>
      <c r="M942"/>
      <c r="N942"/>
      <c r="W942"/>
    </row>
    <row r="943" spans="8:23" x14ac:dyDescent="0.35">
      <c r="H943"/>
      <c r="I943"/>
      <c r="J943"/>
      <c r="K943"/>
      <c r="L943"/>
      <c r="M943"/>
      <c r="N943"/>
      <c r="W943"/>
    </row>
    <row r="944" spans="8:23" x14ac:dyDescent="0.35">
      <c r="H944"/>
      <c r="I944"/>
      <c r="J944"/>
      <c r="K944"/>
      <c r="L944"/>
      <c r="M944"/>
      <c r="N944"/>
      <c r="W944"/>
    </row>
    <row r="945" spans="8:23" x14ac:dyDescent="0.35">
      <c r="H945"/>
      <c r="I945"/>
      <c r="J945"/>
      <c r="K945"/>
      <c r="L945"/>
      <c r="M945"/>
      <c r="N945"/>
      <c r="W945"/>
    </row>
    <row r="946" spans="8:23" x14ac:dyDescent="0.35">
      <c r="H946"/>
      <c r="I946"/>
      <c r="J946"/>
      <c r="K946"/>
      <c r="L946"/>
      <c r="M946"/>
      <c r="N946"/>
      <c r="W946"/>
    </row>
    <row r="947" spans="8:23" x14ac:dyDescent="0.35">
      <c r="H947"/>
      <c r="I947"/>
      <c r="J947"/>
      <c r="K947"/>
      <c r="L947"/>
      <c r="M947"/>
      <c r="N947"/>
      <c r="W947"/>
    </row>
    <row r="948" spans="8:23" x14ac:dyDescent="0.35">
      <c r="H948"/>
      <c r="I948"/>
      <c r="J948"/>
      <c r="K948"/>
      <c r="L948"/>
      <c r="M948"/>
      <c r="N948"/>
      <c r="W948"/>
    </row>
    <row r="949" spans="8:23" x14ac:dyDescent="0.35">
      <c r="H949"/>
      <c r="I949"/>
      <c r="J949"/>
      <c r="K949"/>
      <c r="L949"/>
      <c r="M949"/>
      <c r="N949"/>
      <c r="W949"/>
    </row>
    <row r="950" spans="8:23" x14ac:dyDescent="0.35">
      <c r="H950"/>
      <c r="I950"/>
      <c r="J950"/>
      <c r="K950"/>
      <c r="L950"/>
      <c r="M950"/>
      <c r="N950"/>
      <c r="W950"/>
    </row>
    <row r="951" spans="8:23" x14ac:dyDescent="0.35">
      <c r="H951"/>
      <c r="I951"/>
      <c r="J951"/>
      <c r="K951"/>
      <c r="L951"/>
      <c r="M951"/>
      <c r="N951"/>
      <c r="W951"/>
    </row>
    <row r="952" spans="8:23" x14ac:dyDescent="0.35">
      <c r="H952"/>
      <c r="I952"/>
      <c r="J952"/>
      <c r="K952"/>
      <c r="L952"/>
      <c r="M952"/>
      <c r="N952"/>
      <c r="W952"/>
    </row>
    <row r="953" spans="8:23" x14ac:dyDescent="0.35">
      <c r="H953"/>
      <c r="I953"/>
      <c r="J953"/>
      <c r="K953"/>
      <c r="L953"/>
      <c r="M953"/>
      <c r="N953"/>
      <c r="W953"/>
    </row>
    <row r="954" spans="8:23" x14ac:dyDescent="0.35">
      <c r="H954"/>
      <c r="I954"/>
      <c r="J954"/>
      <c r="K954"/>
      <c r="L954"/>
      <c r="M954"/>
      <c r="N954"/>
      <c r="W954"/>
    </row>
    <row r="955" spans="8:23" x14ac:dyDescent="0.35">
      <c r="H955"/>
      <c r="I955"/>
      <c r="J955"/>
      <c r="K955"/>
      <c r="L955"/>
      <c r="M955"/>
      <c r="N955"/>
      <c r="W955"/>
    </row>
    <row r="956" spans="8:23" x14ac:dyDescent="0.35">
      <c r="H956"/>
      <c r="I956"/>
      <c r="J956"/>
      <c r="K956"/>
      <c r="L956"/>
      <c r="M956"/>
      <c r="N956"/>
      <c r="W956"/>
    </row>
    <row r="957" spans="8:23" x14ac:dyDescent="0.35">
      <c r="H957"/>
      <c r="I957"/>
      <c r="J957"/>
      <c r="K957"/>
      <c r="L957"/>
      <c r="M957"/>
      <c r="N957"/>
      <c r="W957"/>
    </row>
    <row r="958" spans="8:23" x14ac:dyDescent="0.35">
      <c r="H958"/>
      <c r="I958"/>
      <c r="J958"/>
      <c r="K958"/>
      <c r="L958"/>
      <c r="M958"/>
      <c r="N958"/>
      <c r="W958"/>
    </row>
    <row r="959" spans="8:23" x14ac:dyDescent="0.35">
      <c r="H959"/>
      <c r="I959"/>
      <c r="J959"/>
      <c r="K959"/>
      <c r="L959"/>
      <c r="M959"/>
      <c r="N959"/>
      <c r="W959"/>
    </row>
    <row r="960" spans="8:23" x14ac:dyDescent="0.35">
      <c r="H960"/>
      <c r="I960"/>
      <c r="J960"/>
      <c r="K960"/>
      <c r="L960"/>
      <c r="M960"/>
      <c r="N960"/>
      <c r="W960"/>
    </row>
    <row r="961" spans="8:23" x14ac:dyDescent="0.35">
      <c r="H961"/>
      <c r="I961"/>
      <c r="J961"/>
      <c r="K961"/>
      <c r="L961"/>
      <c r="M961"/>
      <c r="N961"/>
      <c r="W961"/>
    </row>
    <row r="962" spans="8:23" x14ac:dyDescent="0.35">
      <c r="H962"/>
      <c r="I962"/>
      <c r="J962"/>
      <c r="K962"/>
      <c r="L962"/>
      <c r="M962"/>
      <c r="N962"/>
      <c r="W962"/>
    </row>
    <row r="963" spans="8:23" x14ac:dyDescent="0.35">
      <c r="H963"/>
      <c r="I963"/>
      <c r="J963"/>
      <c r="K963"/>
      <c r="L963"/>
      <c r="M963"/>
      <c r="N963"/>
      <c r="W963"/>
    </row>
    <row r="964" spans="8:23" x14ac:dyDescent="0.35">
      <c r="H964"/>
      <c r="I964"/>
      <c r="J964"/>
      <c r="K964"/>
      <c r="L964"/>
      <c r="M964"/>
      <c r="N964"/>
      <c r="W964"/>
    </row>
    <row r="965" spans="8:23" x14ac:dyDescent="0.35">
      <c r="H965"/>
      <c r="I965"/>
      <c r="J965"/>
      <c r="K965"/>
      <c r="L965"/>
      <c r="M965"/>
      <c r="N965"/>
      <c r="W965"/>
    </row>
    <row r="966" spans="8:23" x14ac:dyDescent="0.35">
      <c r="H966"/>
      <c r="I966"/>
      <c r="J966"/>
      <c r="K966"/>
      <c r="L966"/>
      <c r="M966"/>
      <c r="N966"/>
      <c r="W966"/>
    </row>
    <row r="967" spans="8:23" x14ac:dyDescent="0.35">
      <c r="H967"/>
      <c r="I967"/>
      <c r="J967"/>
      <c r="K967"/>
      <c r="L967"/>
      <c r="M967"/>
      <c r="N967"/>
      <c r="W967"/>
    </row>
    <row r="968" spans="8:23" x14ac:dyDescent="0.35">
      <c r="H968"/>
      <c r="I968"/>
      <c r="J968"/>
      <c r="K968"/>
      <c r="L968"/>
      <c r="M968"/>
      <c r="N968"/>
      <c r="W968"/>
    </row>
    <row r="969" spans="8:23" x14ac:dyDescent="0.35">
      <c r="H969"/>
      <c r="I969"/>
      <c r="J969"/>
      <c r="K969"/>
      <c r="L969"/>
      <c r="M969"/>
      <c r="N969"/>
      <c r="W969"/>
    </row>
    <row r="970" spans="8:23" x14ac:dyDescent="0.35">
      <c r="H970"/>
      <c r="I970"/>
      <c r="J970"/>
      <c r="K970"/>
      <c r="L970"/>
      <c r="M970"/>
      <c r="N970"/>
      <c r="W970"/>
    </row>
    <row r="971" spans="8:23" x14ac:dyDescent="0.35">
      <c r="H971"/>
      <c r="I971"/>
      <c r="J971"/>
      <c r="K971"/>
      <c r="L971"/>
      <c r="M971"/>
      <c r="N971"/>
      <c r="W971"/>
    </row>
    <row r="972" spans="8:23" x14ac:dyDescent="0.35">
      <c r="H972"/>
      <c r="I972"/>
      <c r="J972"/>
      <c r="K972"/>
      <c r="L972"/>
      <c r="M972"/>
      <c r="N972"/>
      <c r="W972"/>
    </row>
    <row r="973" spans="8:23" x14ac:dyDescent="0.35">
      <c r="H973"/>
      <c r="I973"/>
      <c r="J973"/>
      <c r="K973"/>
      <c r="L973"/>
      <c r="M973"/>
      <c r="N973"/>
      <c r="W973"/>
    </row>
    <row r="974" spans="8:23" x14ac:dyDescent="0.35">
      <c r="H974"/>
      <c r="I974"/>
      <c r="J974"/>
      <c r="K974"/>
      <c r="L974"/>
      <c r="M974"/>
      <c r="N974"/>
      <c r="W974"/>
    </row>
    <row r="975" spans="8:23" x14ac:dyDescent="0.35">
      <c r="H975"/>
      <c r="I975"/>
      <c r="J975"/>
      <c r="K975"/>
      <c r="L975"/>
      <c r="M975"/>
      <c r="N975"/>
      <c r="W975"/>
    </row>
    <row r="976" spans="8:23" x14ac:dyDescent="0.35">
      <c r="H976"/>
      <c r="I976"/>
      <c r="J976"/>
      <c r="K976"/>
      <c r="L976"/>
      <c r="M976"/>
      <c r="N976"/>
      <c r="W976"/>
    </row>
    <row r="977" spans="8:23" x14ac:dyDescent="0.35">
      <c r="H977"/>
      <c r="I977"/>
      <c r="J977"/>
      <c r="K977"/>
      <c r="L977"/>
      <c r="M977"/>
      <c r="N977"/>
      <c r="W977"/>
    </row>
    <row r="978" spans="8:23" x14ac:dyDescent="0.35">
      <c r="H978"/>
      <c r="I978"/>
      <c r="J978"/>
      <c r="K978"/>
      <c r="L978"/>
      <c r="M978"/>
      <c r="N978"/>
      <c r="W978"/>
    </row>
    <row r="979" spans="8:23" x14ac:dyDescent="0.35">
      <c r="H979"/>
      <c r="I979"/>
      <c r="J979"/>
      <c r="K979"/>
      <c r="L979"/>
      <c r="M979"/>
      <c r="N979"/>
      <c r="W979"/>
    </row>
    <row r="980" spans="8:23" x14ac:dyDescent="0.35">
      <c r="H980"/>
      <c r="I980"/>
      <c r="J980"/>
      <c r="K980"/>
      <c r="L980"/>
      <c r="M980"/>
      <c r="N980"/>
      <c r="W980"/>
    </row>
    <row r="981" spans="8:23" x14ac:dyDescent="0.35">
      <c r="H981"/>
      <c r="I981"/>
      <c r="J981"/>
      <c r="K981"/>
      <c r="L981"/>
      <c r="M981"/>
      <c r="N981"/>
      <c r="W981"/>
    </row>
    <row r="982" spans="8:23" x14ac:dyDescent="0.35">
      <c r="H982"/>
      <c r="I982"/>
      <c r="J982"/>
      <c r="K982"/>
      <c r="L982"/>
      <c r="M982"/>
      <c r="N982"/>
      <c r="W982"/>
    </row>
    <row r="983" spans="8:23" x14ac:dyDescent="0.35">
      <c r="H983"/>
      <c r="I983"/>
      <c r="J983"/>
      <c r="K983"/>
      <c r="L983"/>
      <c r="M983"/>
      <c r="N983"/>
      <c r="W983"/>
    </row>
    <row r="984" spans="8:23" x14ac:dyDescent="0.35">
      <c r="H984"/>
      <c r="I984"/>
      <c r="J984"/>
      <c r="K984"/>
      <c r="L984"/>
      <c r="M984"/>
      <c r="N984"/>
      <c r="W984"/>
    </row>
    <row r="985" spans="8:23" x14ac:dyDescent="0.35">
      <c r="H985"/>
      <c r="I985"/>
      <c r="J985"/>
      <c r="K985"/>
      <c r="L985"/>
      <c r="M985"/>
      <c r="N985"/>
      <c r="W985"/>
    </row>
    <row r="986" spans="8:23" x14ac:dyDescent="0.35">
      <c r="H986"/>
      <c r="I986"/>
      <c r="J986"/>
      <c r="K986"/>
      <c r="L986"/>
      <c r="M986"/>
      <c r="N986"/>
      <c r="W986"/>
    </row>
    <row r="987" spans="8:23" x14ac:dyDescent="0.35">
      <c r="H987"/>
      <c r="I987"/>
      <c r="J987"/>
      <c r="K987"/>
      <c r="L987"/>
      <c r="M987"/>
      <c r="N987"/>
      <c r="W987"/>
    </row>
    <row r="988" spans="8:23" x14ac:dyDescent="0.35">
      <c r="H988"/>
      <c r="I988"/>
      <c r="J988"/>
      <c r="K988"/>
      <c r="L988"/>
      <c r="M988"/>
      <c r="N988"/>
      <c r="W988"/>
    </row>
    <row r="989" spans="8:23" x14ac:dyDescent="0.35">
      <c r="H989"/>
      <c r="I989"/>
      <c r="J989"/>
      <c r="K989"/>
      <c r="L989"/>
      <c r="M989"/>
      <c r="N989"/>
      <c r="W989"/>
    </row>
    <row r="990" spans="8:23" x14ac:dyDescent="0.35">
      <c r="H990"/>
      <c r="I990"/>
      <c r="J990"/>
      <c r="K990"/>
      <c r="L990"/>
      <c r="M990"/>
      <c r="N990"/>
      <c r="W990"/>
    </row>
    <row r="991" spans="8:23" x14ac:dyDescent="0.35">
      <c r="H991"/>
      <c r="I991"/>
      <c r="J991"/>
      <c r="K991"/>
      <c r="L991"/>
      <c r="M991"/>
      <c r="N991"/>
      <c r="W991"/>
    </row>
    <row r="992" spans="8:23" x14ac:dyDescent="0.35">
      <c r="H992"/>
      <c r="I992"/>
      <c r="J992"/>
      <c r="K992"/>
      <c r="L992"/>
      <c r="M992"/>
      <c r="N992"/>
      <c r="W992"/>
    </row>
    <row r="993" spans="8:23" x14ac:dyDescent="0.35">
      <c r="H993"/>
      <c r="I993"/>
      <c r="J993"/>
      <c r="K993"/>
      <c r="L993"/>
      <c r="M993"/>
      <c r="N993"/>
      <c r="W993"/>
    </row>
    <row r="994" spans="8:23" x14ac:dyDescent="0.35">
      <c r="H994"/>
      <c r="I994"/>
      <c r="J994"/>
      <c r="K994"/>
      <c r="L994"/>
      <c r="M994"/>
      <c r="N994"/>
      <c r="W994"/>
    </row>
    <row r="995" spans="8:23" x14ac:dyDescent="0.35">
      <c r="H995"/>
      <c r="I995"/>
      <c r="J995"/>
      <c r="K995"/>
      <c r="L995"/>
      <c r="M995"/>
      <c r="N995"/>
      <c r="W995"/>
    </row>
    <row r="996" spans="8:23" x14ac:dyDescent="0.35">
      <c r="H996"/>
      <c r="I996"/>
      <c r="J996"/>
      <c r="K996"/>
      <c r="L996"/>
      <c r="M996"/>
      <c r="N996"/>
      <c r="W996"/>
    </row>
    <row r="997" spans="8:23" x14ac:dyDescent="0.35">
      <c r="H997"/>
      <c r="I997"/>
      <c r="J997"/>
      <c r="K997"/>
      <c r="L997"/>
      <c r="M997"/>
      <c r="N997"/>
      <c r="W997"/>
    </row>
    <row r="998" spans="8:23" x14ac:dyDescent="0.35">
      <c r="H998"/>
      <c r="I998"/>
      <c r="J998"/>
      <c r="K998"/>
      <c r="L998"/>
      <c r="M998"/>
      <c r="N998"/>
      <c r="W998"/>
    </row>
    <row r="999" spans="8:23" x14ac:dyDescent="0.35">
      <c r="H999"/>
      <c r="I999"/>
      <c r="J999"/>
      <c r="K999"/>
      <c r="L999"/>
      <c r="M999"/>
      <c r="N999"/>
      <c r="W999"/>
    </row>
    <row r="1000" spans="8:23" x14ac:dyDescent="0.35">
      <c r="H1000"/>
      <c r="I1000"/>
      <c r="J1000"/>
      <c r="K1000"/>
      <c r="L1000"/>
      <c r="M1000"/>
      <c r="N1000"/>
      <c r="W1000"/>
    </row>
    <row r="1001" spans="8:23" x14ac:dyDescent="0.35">
      <c r="H1001"/>
      <c r="I1001"/>
      <c r="J1001"/>
      <c r="K1001"/>
      <c r="L1001"/>
      <c r="M1001"/>
      <c r="N1001"/>
      <c r="W1001"/>
    </row>
    <row r="1002" spans="8:23" x14ac:dyDescent="0.35">
      <c r="H1002"/>
      <c r="I1002"/>
      <c r="J1002"/>
      <c r="K1002"/>
      <c r="L1002"/>
      <c r="M1002"/>
      <c r="N1002"/>
      <c r="W1002"/>
    </row>
    <row r="1003" spans="8:23" x14ac:dyDescent="0.35">
      <c r="H1003"/>
      <c r="I1003"/>
      <c r="J1003"/>
      <c r="K1003"/>
      <c r="L1003"/>
      <c r="M1003"/>
      <c r="N1003"/>
      <c r="W1003"/>
    </row>
    <row r="1004" spans="8:23" x14ac:dyDescent="0.35">
      <c r="H1004"/>
      <c r="I1004"/>
      <c r="J1004"/>
      <c r="K1004"/>
      <c r="L1004"/>
      <c r="M1004"/>
      <c r="N1004"/>
      <c r="W1004"/>
    </row>
    <row r="1005" spans="8:23" x14ac:dyDescent="0.35">
      <c r="H1005"/>
      <c r="I1005"/>
      <c r="J1005"/>
      <c r="K1005"/>
      <c r="L1005"/>
      <c r="M1005"/>
      <c r="N1005"/>
      <c r="W1005"/>
    </row>
    <row r="1006" spans="8:23" x14ac:dyDescent="0.35">
      <c r="H1006"/>
      <c r="I1006"/>
      <c r="J1006"/>
      <c r="K1006"/>
      <c r="L1006"/>
      <c r="M1006"/>
      <c r="N1006"/>
      <c r="W1006"/>
    </row>
    <row r="1007" spans="8:23" x14ac:dyDescent="0.35">
      <c r="H1007"/>
      <c r="I1007"/>
      <c r="J1007"/>
      <c r="K1007"/>
      <c r="L1007"/>
      <c r="M1007"/>
      <c r="N1007"/>
      <c r="W1007"/>
    </row>
    <row r="1008" spans="8:23" x14ac:dyDescent="0.35">
      <c r="H1008"/>
      <c r="I1008"/>
      <c r="J1008"/>
      <c r="K1008"/>
      <c r="L1008"/>
      <c r="M1008"/>
      <c r="N1008"/>
      <c r="W1008"/>
    </row>
    <row r="1009" spans="8:23" x14ac:dyDescent="0.35">
      <c r="H1009"/>
      <c r="I1009"/>
      <c r="J1009"/>
      <c r="K1009"/>
      <c r="L1009"/>
      <c r="M1009"/>
      <c r="N1009"/>
      <c r="W1009"/>
    </row>
    <row r="1010" spans="8:23" x14ac:dyDescent="0.35">
      <c r="H1010"/>
      <c r="I1010"/>
      <c r="J1010"/>
      <c r="K1010"/>
      <c r="L1010"/>
      <c r="M1010"/>
      <c r="N1010"/>
      <c r="W1010"/>
    </row>
    <row r="1011" spans="8:23" x14ac:dyDescent="0.35">
      <c r="H1011"/>
      <c r="I1011"/>
      <c r="J1011"/>
      <c r="K1011"/>
      <c r="L1011"/>
      <c r="M1011"/>
      <c r="N1011"/>
      <c r="W1011"/>
    </row>
    <row r="1012" spans="8:23" x14ac:dyDescent="0.35">
      <c r="H1012"/>
      <c r="I1012"/>
      <c r="J1012"/>
      <c r="K1012"/>
      <c r="L1012"/>
      <c r="M1012"/>
      <c r="N1012"/>
      <c r="W1012"/>
    </row>
    <row r="1013" spans="8:23" x14ac:dyDescent="0.35">
      <c r="H1013"/>
      <c r="I1013"/>
      <c r="J1013"/>
      <c r="K1013"/>
      <c r="L1013"/>
      <c r="M1013"/>
      <c r="N1013"/>
      <c r="W1013"/>
    </row>
    <row r="1014" spans="8:23" x14ac:dyDescent="0.35">
      <c r="H1014"/>
      <c r="I1014"/>
      <c r="J1014"/>
      <c r="K1014"/>
      <c r="L1014"/>
      <c r="M1014"/>
      <c r="N1014"/>
      <c r="W1014"/>
    </row>
    <row r="1015" spans="8:23" x14ac:dyDescent="0.35">
      <c r="H1015"/>
      <c r="I1015"/>
      <c r="J1015"/>
      <c r="K1015"/>
      <c r="L1015"/>
      <c r="M1015"/>
      <c r="N1015"/>
      <c r="W1015"/>
    </row>
    <row r="1016" spans="8:23" x14ac:dyDescent="0.35">
      <c r="H1016"/>
      <c r="I1016"/>
      <c r="J1016"/>
      <c r="K1016"/>
      <c r="L1016"/>
      <c r="M1016"/>
      <c r="N1016"/>
      <c r="W1016"/>
    </row>
    <row r="1017" spans="8:23" x14ac:dyDescent="0.35">
      <c r="H1017"/>
      <c r="I1017"/>
      <c r="J1017"/>
      <c r="K1017"/>
      <c r="L1017"/>
      <c r="M1017"/>
      <c r="N1017"/>
      <c r="W1017"/>
    </row>
    <row r="1018" spans="8:23" x14ac:dyDescent="0.35">
      <c r="H1018"/>
      <c r="I1018"/>
      <c r="J1018"/>
      <c r="K1018"/>
      <c r="L1018"/>
      <c r="M1018"/>
      <c r="N1018"/>
      <c r="W1018"/>
    </row>
    <row r="1019" spans="8:23" x14ac:dyDescent="0.35">
      <c r="H1019"/>
      <c r="I1019"/>
      <c r="J1019"/>
      <c r="K1019"/>
      <c r="L1019"/>
      <c r="M1019"/>
      <c r="N1019"/>
      <c r="W1019"/>
    </row>
    <row r="1020" spans="8:23" x14ac:dyDescent="0.35">
      <c r="H1020"/>
      <c r="I1020"/>
      <c r="J1020"/>
      <c r="K1020"/>
      <c r="L1020"/>
      <c r="M1020"/>
      <c r="N1020"/>
      <c r="W1020"/>
    </row>
    <row r="1021" spans="8:23" x14ac:dyDescent="0.35">
      <c r="H1021"/>
      <c r="I1021"/>
      <c r="J1021"/>
      <c r="K1021"/>
      <c r="L1021"/>
      <c r="M1021"/>
      <c r="N1021"/>
      <c r="W1021"/>
    </row>
    <row r="1022" spans="8:23" x14ac:dyDescent="0.35">
      <c r="H1022"/>
      <c r="I1022"/>
      <c r="J1022"/>
      <c r="K1022"/>
      <c r="L1022"/>
      <c r="M1022"/>
      <c r="N1022"/>
      <c r="W1022"/>
    </row>
    <row r="1023" spans="8:23" x14ac:dyDescent="0.35">
      <c r="H1023"/>
      <c r="I1023"/>
      <c r="J1023"/>
      <c r="K1023"/>
      <c r="L1023"/>
      <c r="M1023"/>
      <c r="N1023"/>
      <c r="W1023"/>
    </row>
    <row r="1024" spans="8:23" x14ac:dyDescent="0.35">
      <c r="H1024"/>
      <c r="I1024"/>
      <c r="J1024"/>
      <c r="K1024"/>
      <c r="L1024"/>
      <c r="M1024"/>
      <c r="N1024"/>
      <c r="W1024"/>
    </row>
    <row r="1025" spans="8:23" x14ac:dyDescent="0.35">
      <c r="H1025"/>
      <c r="I1025"/>
      <c r="J1025"/>
      <c r="K1025"/>
      <c r="L1025"/>
      <c r="M1025"/>
      <c r="N1025"/>
      <c r="W1025"/>
    </row>
    <row r="1026" spans="8:23" x14ac:dyDescent="0.35">
      <c r="H1026"/>
      <c r="I1026"/>
      <c r="J1026"/>
      <c r="K1026"/>
      <c r="L1026"/>
      <c r="M1026"/>
      <c r="N1026"/>
      <c r="W1026"/>
    </row>
    <row r="1027" spans="8:23" x14ac:dyDescent="0.35">
      <c r="H1027"/>
      <c r="I1027"/>
      <c r="J1027"/>
      <c r="K1027"/>
      <c r="L1027"/>
      <c r="M1027"/>
      <c r="N1027"/>
      <c r="W1027"/>
    </row>
    <row r="1028" spans="8:23" x14ac:dyDescent="0.35">
      <c r="H1028"/>
      <c r="I1028"/>
      <c r="J1028"/>
      <c r="K1028"/>
      <c r="L1028"/>
      <c r="M1028"/>
      <c r="N1028"/>
      <c r="W1028"/>
    </row>
    <row r="1029" spans="8:23" x14ac:dyDescent="0.35">
      <c r="H1029"/>
      <c r="I1029"/>
      <c r="J1029"/>
      <c r="K1029"/>
      <c r="L1029"/>
      <c r="M1029"/>
      <c r="N1029"/>
      <c r="W1029"/>
    </row>
    <row r="1030" spans="8:23" x14ac:dyDescent="0.35">
      <c r="H1030"/>
      <c r="I1030"/>
      <c r="J1030"/>
      <c r="K1030"/>
      <c r="L1030"/>
      <c r="M1030"/>
      <c r="N1030"/>
      <c r="W1030"/>
    </row>
    <row r="1031" spans="8:23" x14ac:dyDescent="0.35">
      <c r="H1031"/>
      <c r="I1031"/>
      <c r="J1031"/>
      <c r="K1031"/>
      <c r="L1031"/>
      <c r="M1031"/>
      <c r="N1031"/>
      <c r="W1031"/>
    </row>
    <row r="1032" spans="8:23" x14ac:dyDescent="0.35">
      <c r="H1032"/>
      <c r="I1032"/>
      <c r="J1032"/>
      <c r="K1032"/>
      <c r="L1032"/>
      <c r="M1032"/>
      <c r="N1032"/>
      <c r="W1032"/>
    </row>
    <row r="1033" spans="8:23" x14ac:dyDescent="0.35">
      <c r="H1033"/>
      <c r="I1033"/>
      <c r="J1033"/>
      <c r="K1033"/>
      <c r="L1033"/>
      <c r="M1033"/>
      <c r="N1033"/>
      <c r="W1033"/>
    </row>
    <row r="1034" spans="8:23" x14ac:dyDescent="0.35">
      <c r="H1034"/>
      <c r="I1034"/>
      <c r="J1034"/>
      <c r="K1034"/>
      <c r="L1034"/>
      <c r="M1034"/>
      <c r="N1034"/>
      <c r="W1034"/>
    </row>
    <row r="1035" spans="8:23" x14ac:dyDescent="0.35">
      <c r="H1035"/>
      <c r="I1035"/>
      <c r="J1035"/>
      <c r="K1035"/>
      <c r="L1035"/>
      <c r="M1035"/>
      <c r="N1035"/>
      <c r="W1035"/>
    </row>
    <row r="1036" spans="8:23" x14ac:dyDescent="0.35">
      <c r="H1036"/>
      <c r="I1036"/>
      <c r="J1036"/>
      <c r="K1036"/>
      <c r="L1036"/>
      <c r="M1036"/>
      <c r="N1036"/>
      <c r="W1036"/>
    </row>
    <row r="1037" spans="8:23" x14ac:dyDescent="0.35">
      <c r="H1037"/>
      <c r="I1037"/>
      <c r="J1037"/>
      <c r="K1037"/>
      <c r="L1037"/>
      <c r="M1037"/>
      <c r="N1037"/>
      <c r="W1037"/>
    </row>
    <row r="1038" spans="8:23" x14ac:dyDescent="0.35">
      <c r="H1038"/>
      <c r="I1038"/>
      <c r="J1038"/>
      <c r="K1038"/>
      <c r="L1038"/>
      <c r="M1038"/>
      <c r="N1038"/>
      <c r="W1038"/>
    </row>
    <row r="1039" spans="8:23" x14ac:dyDescent="0.35">
      <c r="H1039"/>
      <c r="I1039"/>
      <c r="J1039"/>
      <c r="K1039"/>
      <c r="L1039"/>
      <c r="M1039"/>
      <c r="N1039"/>
      <c r="W1039"/>
    </row>
    <row r="1040" spans="8:23" x14ac:dyDescent="0.35">
      <c r="H1040"/>
      <c r="I1040"/>
      <c r="J1040"/>
      <c r="K1040"/>
      <c r="L1040"/>
      <c r="M1040"/>
      <c r="N1040"/>
      <c r="W1040"/>
    </row>
    <row r="1041" spans="8:23" x14ac:dyDescent="0.35">
      <c r="H1041"/>
      <c r="I1041"/>
      <c r="J1041"/>
      <c r="K1041"/>
      <c r="L1041"/>
      <c r="M1041"/>
      <c r="N1041"/>
      <c r="W1041"/>
    </row>
    <row r="1042" spans="8:23" x14ac:dyDescent="0.35">
      <c r="H1042"/>
      <c r="I1042"/>
      <c r="J1042"/>
      <c r="K1042"/>
      <c r="L1042"/>
      <c r="M1042"/>
      <c r="N1042"/>
      <c r="W1042"/>
    </row>
    <row r="1043" spans="8:23" x14ac:dyDescent="0.35">
      <c r="H1043"/>
      <c r="I1043"/>
      <c r="J1043"/>
      <c r="K1043"/>
      <c r="L1043"/>
      <c r="M1043"/>
      <c r="N1043"/>
      <c r="W1043"/>
    </row>
    <row r="1044" spans="8:23" x14ac:dyDescent="0.35">
      <c r="H1044"/>
      <c r="I1044"/>
      <c r="J1044"/>
      <c r="K1044"/>
      <c r="L1044"/>
      <c r="M1044"/>
      <c r="N1044"/>
      <c r="W1044"/>
    </row>
    <row r="1045" spans="8:23" x14ac:dyDescent="0.35">
      <c r="H1045"/>
      <c r="I1045"/>
      <c r="J1045"/>
      <c r="K1045"/>
      <c r="L1045"/>
      <c r="M1045"/>
      <c r="N1045"/>
      <c r="W1045"/>
    </row>
    <row r="1046" spans="8:23" x14ac:dyDescent="0.35">
      <c r="H1046"/>
      <c r="I1046"/>
      <c r="J1046"/>
      <c r="K1046"/>
      <c r="L1046"/>
      <c r="M1046"/>
      <c r="N1046"/>
      <c r="W1046"/>
    </row>
    <row r="1047" spans="8:23" x14ac:dyDescent="0.35">
      <c r="H1047"/>
      <c r="I1047"/>
      <c r="J1047"/>
      <c r="K1047"/>
      <c r="L1047"/>
      <c r="M1047"/>
      <c r="N1047"/>
      <c r="W1047"/>
    </row>
    <row r="1048" spans="8:23" x14ac:dyDescent="0.35">
      <c r="H1048"/>
      <c r="I1048"/>
      <c r="J1048"/>
      <c r="K1048"/>
      <c r="L1048"/>
      <c r="M1048"/>
      <c r="N1048"/>
      <c r="W1048"/>
    </row>
    <row r="1049" spans="8:23" x14ac:dyDescent="0.35">
      <c r="H1049"/>
      <c r="I1049"/>
      <c r="J1049"/>
      <c r="K1049"/>
      <c r="L1049"/>
      <c r="M1049"/>
      <c r="N1049"/>
      <c r="W1049"/>
    </row>
    <row r="1050" spans="8:23" x14ac:dyDescent="0.35">
      <c r="H1050"/>
      <c r="I1050"/>
      <c r="J1050"/>
      <c r="K1050"/>
      <c r="L1050"/>
      <c r="M1050"/>
      <c r="N1050"/>
      <c r="W1050"/>
    </row>
    <row r="1051" spans="8:23" x14ac:dyDescent="0.35">
      <c r="H1051"/>
      <c r="I1051"/>
      <c r="J1051"/>
      <c r="K1051"/>
      <c r="L1051"/>
      <c r="M1051"/>
      <c r="N1051"/>
      <c r="W1051"/>
    </row>
    <row r="1052" spans="8:23" x14ac:dyDescent="0.35">
      <c r="H1052"/>
      <c r="I1052"/>
      <c r="J1052"/>
      <c r="K1052"/>
      <c r="L1052"/>
      <c r="M1052"/>
      <c r="N1052"/>
      <c r="W1052"/>
    </row>
    <row r="1053" spans="8:23" x14ac:dyDescent="0.35">
      <c r="H1053"/>
      <c r="I1053"/>
      <c r="J1053"/>
      <c r="K1053"/>
      <c r="L1053"/>
      <c r="M1053"/>
      <c r="N1053"/>
      <c r="W1053"/>
    </row>
    <row r="1054" spans="8:23" x14ac:dyDescent="0.35">
      <c r="H1054"/>
      <c r="I1054"/>
      <c r="J1054"/>
      <c r="K1054"/>
      <c r="L1054"/>
      <c r="M1054"/>
      <c r="N1054"/>
      <c r="W1054"/>
    </row>
    <row r="1055" spans="8:23" x14ac:dyDescent="0.35">
      <c r="H1055"/>
      <c r="I1055"/>
      <c r="J1055"/>
      <c r="K1055"/>
      <c r="L1055"/>
      <c r="M1055"/>
      <c r="N1055"/>
      <c r="W1055"/>
    </row>
    <row r="1056" spans="8:23" x14ac:dyDescent="0.35">
      <c r="H1056"/>
      <c r="I1056"/>
      <c r="J1056"/>
      <c r="K1056"/>
      <c r="L1056"/>
      <c r="M1056"/>
      <c r="N1056"/>
      <c r="W1056"/>
    </row>
    <row r="1057" spans="8:23" x14ac:dyDescent="0.35">
      <c r="H1057"/>
      <c r="I1057"/>
      <c r="J1057"/>
      <c r="K1057"/>
      <c r="L1057"/>
      <c r="M1057"/>
      <c r="N1057"/>
      <c r="W1057"/>
    </row>
    <row r="1058" spans="8:23" x14ac:dyDescent="0.35">
      <c r="H1058"/>
      <c r="I1058"/>
      <c r="J1058"/>
      <c r="K1058"/>
      <c r="L1058"/>
      <c r="M1058"/>
      <c r="N1058"/>
      <c r="W1058"/>
    </row>
    <row r="1059" spans="8:23" x14ac:dyDescent="0.35">
      <c r="H1059"/>
      <c r="I1059"/>
      <c r="J1059"/>
      <c r="K1059"/>
      <c r="L1059"/>
      <c r="M1059"/>
      <c r="N1059"/>
      <c r="W1059"/>
    </row>
    <row r="1060" spans="8:23" x14ac:dyDescent="0.35">
      <c r="H1060"/>
      <c r="I1060"/>
      <c r="J1060"/>
      <c r="K1060"/>
      <c r="L1060"/>
      <c r="M1060"/>
      <c r="N1060"/>
      <c r="W1060"/>
    </row>
    <row r="1061" spans="8:23" x14ac:dyDescent="0.35">
      <c r="H1061"/>
      <c r="I1061"/>
      <c r="J1061"/>
      <c r="K1061"/>
      <c r="L1061"/>
      <c r="M1061"/>
      <c r="N1061"/>
      <c r="W1061"/>
    </row>
    <row r="1062" spans="8:23" x14ac:dyDescent="0.35">
      <c r="H1062"/>
      <c r="I1062"/>
      <c r="J1062"/>
      <c r="K1062"/>
      <c r="L1062"/>
      <c r="M1062"/>
      <c r="N1062"/>
      <c r="W1062"/>
    </row>
    <row r="1063" spans="8:23" x14ac:dyDescent="0.35">
      <c r="H1063"/>
      <c r="I1063"/>
      <c r="J1063"/>
      <c r="K1063"/>
      <c r="L1063"/>
      <c r="M1063"/>
      <c r="N1063"/>
      <c r="W1063"/>
    </row>
    <row r="1064" spans="8:23" x14ac:dyDescent="0.35">
      <c r="H1064"/>
      <c r="I1064"/>
      <c r="J1064"/>
      <c r="K1064"/>
      <c r="L1064"/>
      <c r="M1064"/>
      <c r="N1064"/>
      <c r="W1064"/>
    </row>
    <row r="1065" spans="8:23" x14ac:dyDescent="0.35">
      <c r="H1065"/>
      <c r="I1065"/>
      <c r="J1065"/>
      <c r="K1065"/>
      <c r="L1065"/>
      <c r="M1065"/>
      <c r="N1065"/>
      <c r="W1065"/>
    </row>
    <row r="1066" spans="8:23" x14ac:dyDescent="0.35">
      <c r="H1066"/>
      <c r="I1066"/>
      <c r="J1066"/>
      <c r="K1066"/>
      <c r="L1066"/>
      <c r="M1066"/>
      <c r="N1066"/>
      <c r="W1066"/>
    </row>
    <row r="1067" spans="8:23" x14ac:dyDescent="0.35">
      <c r="H1067"/>
      <c r="I1067"/>
      <c r="J1067"/>
      <c r="K1067"/>
      <c r="L1067"/>
      <c r="M1067"/>
      <c r="N1067"/>
      <c r="W1067"/>
    </row>
    <row r="1068" spans="8:23" x14ac:dyDescent="0.35">
      <c r="H1068"/>
      <c r="I1068"/>
      <c r="J1068"/>
      <c r="K1068"/>
      <c r="L1068"/>
      <c r="M1068"/>
      <c r="N1068"/>
      <c r="W1068"/>
    </row>
    <row r="1069" spans="8:23" x14ac:dyDescent="0.35">
      <c r="H1069"/>
      <c r="I1069"/>
      <c r="J1069"/>
      <c r="K1069"/>
      <c r="L1069"/>
      <c r="M1069"/>
      <c r="N1069"/>
      <c r="W1069"/>
    </row>
    <row r="1070" spans="8:23" x14ac:dyDescent="0.35">
      <c r="H1070"/>
      <c r="I1070"/>
      <c r="J1070"/>
      <c r="K1070"/>
      <c r="L1070"/>
      <c r="M1070"/>
      <c r="N1070"/>
      <c r="W1070"/>
    </row>
    <row r="1071" spans="8:23" x14ac:dyDescent="0.35">
      <c r="H1071"/>
      <c r="I1071"/>
      <c r="J1071"/>
      <c r="K1071"/>
      <c r="L1071"/>
      <c r="M1071"/>
      <c r="N1071"/>
      <c r="W1071"/>
    </row>
    <row r="1072" spans="8:23" x14ac:dyDescent="0.35">
      <c r="H1072"/>
      <c r="I1072"/>
      <c r="J1072"/>
      <c r="K1072"/>
      <c r="L1072"/>
      <c r="M1072"/>
      <c r="N1072"/>
      <c r="W1072"/>
    </row>
    <row r="1073" spans="8:23" x14ac:dyDescent="0.35">
      <c r="H1073"/>
      <c r="I1073"/>
      <c r="J1073"/>
      <c r="K1073"/>
      <c r="L1073"/>
      <c r="M1073"/>
      <c r="N1073"/>
      <c r="W1073"/>
    </row>
    <row r="1074" spans="8:23" x14ac:dyDescent="0.35">
      <c r="H1074"/>
      <c r="I1074"/>
      <c r="J1074"/>
      <c r="K1074"/>
      <c r="L1074"/>
      <c r="M1074"/>
      <c r="N1074"/>
      <c r="W1074"/>
    </row>
    <row r="1075" spans="8:23" x14ac:dyDescent="0.35">
      <c r="H1075"/>
      <c r="I1075"/>
      <c r="J1075"/>
      <c r="K1075"/>
      <c r="L1075"/>
      <c r="M1075"/>
      <c r="N1075"/>
      <c r="W1075"/>
    </row>
    <row r="1076" spans="8:23" x14ac:dyDescent="0.35">
      <c r="H1076"/>
      <c r="I1076"/>
      <c r="J1076"/>
      <c r="K1076"/>
      <c r="L1076"/>
      <c r="M1076"/>
      <c r="N1076"/>
      <c r="W1076"/>
    </row>
    <row r="1077" spans="8:23" x14ac:dyDescent="0.35">
      <c r="H1077"/>
      <c r="I1077"/>
      <c r="J1077"/>
      <c r="K1077"/>
      <c r="L1077"/>
      <c r="M1077"/>
      <c r="N1077"/>
      <c r="W1077"/>
    </row>
    <row r="1078" spans="8:23" x14ac:dyDescent="0.35">
      <c r="H1078"/>
      <c r="I1078"/>
      <c r="J1078"/>
      <c r="K1078"/>
      <c r="L1078"/>
      <c r="M1078"/>
      <c r="N1078"/>
      <c r="W1078"/>
    </row>
    <row r="1079" spans="8:23" x14ac:dyDescent="0.35">
      <c r="H1079"/>
      <c r="I1079"/>
      <c r="J1079"/>
      <c r="K1079"/>
      <c r="L1079"/>
      <c r="M1079"/>
      <c r="N1079"/>
      <c r="W1079"/>
    </row>
    <row r="1080" spans="8:23" x14ac:dyDescent="0.35">
      <c r="H1080"/>
      <c r="I1080"/>
      <c r="J1080"/>
      <c r="K1080"/>
      <c r="L1080"/>
      <c r="M1080"/>
      <c r="N1080"/>
      <c r="W1080"/>
    </row>
    <row r="1081" spans="8:23" x14ac:dyDescent="0.35">
      <c r="H1081"/>
      <c r="I1081"/>
      <c r="J1081"/>
      <c r="K1081"/>
      <c r="L1081"/>
      <c r="M1081"/>
      <c r="N1081"/>
      <c r="W1081"/>
    </row>
    <row r="1082" spans="8:23" x14ac:dyDescent="0.35">
      <c r="H1082"/>
      <c r="I1082"/>
      <c r="J1082"/>
      <c r="K1082"/>
      <c r="L1082"/>
      <c r="M1082"/>
      <c r="N1082"/>
      <c r="W1082"/>
    </row>
    <row r="1083" spans="8:23" x14ac:dyDescent="0.35">
      <c r="H1083"/>
      <c r="I1083"/>
      <c r="J1083"/>
      <c r="K1083"/>
      <c r="L1083"/>
      <c r="M1083"/>
      <c r="N1083"/>
      <c r="W1083"/>
    </row>
    <row r="1084" spans="8:23" x14ac:dyDescent="0.35">
      <c r="H1084"/>
      <c r="I1084"/>
      <c r="J1084"/>
      <c r="K1084"/>
      <c r="L1084"/>
      <c r="M1084"/>
      <c r="N1084"/>
      <c r="W1084"/>
    </row>
    <row r="1085" spans="8:23" x14ac:dyDescent="0.35">
      <c r="H1085"/>
      <c r="I1085"/>
      <c r="J1085"/>
      <c r="K1085"/>
      <c r="L1085"/>
      <c r="M1085"/>
      <c r="N1085"/>
      <c r="W1085"/>
    </row>
    <row r="1086" spans="8:23" x14ac:dyDescent="0.35">
      <c r="H1086"/>
      <c r="I1086"/>
      <c r="J1086"/>
      <c r="K1086"/>
      <c r="L1086"/>
      <c r="M1086"/>
      <c r="N1086"/>
      <c r="W1086"/>
    </row>
    <row r="1087" spans="8:23" x14ac:dyDescent="0.35">
      <c r="H1087"/>
      <c r="I1087"/>
      <c r="J1087"/>
      <c r="K1087"/>
      <c r="L1087"/>
      <c r="M1087"/>
      <c r="N1087"/>
      <c r="W1087"/>
    </row>
    <row r="1088" spans="8:23" x14ac:dyDescent="0.35">
      <c r="H1088"/>
      <c r="I1088"/>
      <c r="J1088"/>
      <c r="K1088"/>
      <c r="L1088"/>
      <c r="M1088"/>
      <c r="N1088"/>
      <c r="W1088"/>
    </row>
    <row r="1089" spans="8:23" x14ac:dyDescent="0.35">
      <c r="H1089"/>
      <c r="I1089"/>
      <c r="J1089"/>
      <c r="K1089"/>
      <c r="L1089"/>
      <c r="M1089"/>
      <c r="N1089"/>
      <c r="W1089"/>
    </row>
    <row r="1090" spans="8:23" x14ac:dyDescent="0.35">
      <c r="H1090"/>
      <c r="I1090"/>
      <c r="J1090"/>
      <c r="K1090"/>
      <c r="L1090"/>
      <c r="M1090"/>
      <c r="N1090"/>
      <c r="W1090"/>
    </row>
    <row r="1091" spans="8:23" x14ac:dyDescent="0.35">
      <c r="H1091"/>
      <c r="I1091"/>
      <c r="J1091"/>
      <c r="K1091"/>
      <c r="L1091"/>
      <c r="M1091"/>
      <c r="N1091"/>
      <c r="W1091"/>
    </row>
    <row r="1092" spans="8:23" x14ac:dyDescent="0.35">
      <c r="H1092"/>
      <c r="I1092"/>
      <c r="J1092"/>
      <c r="K1092"/>
      <c r="L1092"/>
      <c r="M1092"/>
      <c r="N1092"/>
      <c r="W1092"/>
    </row>
    <row r="1093" spans="8:23" x14ac:dyDescent="0.35">
      <c r="H1093"/>
      <c r="I1093"/>
      <c r="J1093"/>
      <c r="K1093"/>
      <c r="L1093"/>
      <c r="M1093"/>
      <c r="N1093"/>
      <c r="W1093"/>
    </row>
    <row r="1094" spans="8:23" x14ac:dyDescent="0.35">
      <c r="H1094"/>
      <c r="I1094"/>
      <c r="J1094"/>
      <c r="K1094"/>
      <c r="L1094"/>
      <c r="M1094"/>
      <c r="N1094"/>
      <c r="W1094"/>
    </row>
    <row r="1095" spans="8:23" x14ac:dyDescent="0.35">
      <c r="H1095"/>
      <c r="I1095"/>
      <c r="J1095"/>
      <c r="K1095"/>
      <c r="L1095"/>
      <c r="M1095"/>
      <c r="N1095"/>
      <c r="W1095"/>
    </row>
    <row r="1096" spans="8:23" x14ac:dyDescent="0.35">
      <c r="H1096"/>
      <c r="I1096"/>
      <c r="J1096"/>
      <c r="K1096"/>
      <c r="L1096"/>
      <c r="M1096"/>
      <c r="N1096"/>
      <c r="W1096"/>
    </row>
    <row r="1097" spans="8:23" x14ac:dyDescent="0.35">
      <c r="H1097"/>
      <c r="I1097"/>
      <c r="J1097"/>
      <c r="K1097"/>
      <c r="L1097"/>
      <c r="M1097"/>
      <c r="N1097"/>
      <c r="W1097"/>
    </row>
    <row r="1098" spans="8:23" x14ac:dyDescent="0.35">
      <c r="H1098"/>
      <c r="I1098"/>
      <c r="J1098"/>
      <c r="K1098"/>
      <c r="L1098"/>
      <c r="M1098"/>
      <c r="N1098"/>
      <c r="W1098"/>
    </row>
    <row r="1099" spans="8:23" x14ac:dyDescent="0.35">
      <c r="H1099"/>
      <c r="I1099"/>
      <c r="J1099"/>
      <c r="K1099"/>
      <c r="L1099"/>
      <c r="M1099"/>
      <c r="N1099"/>
      <c r="W1099"/>
    </row>
    <row r="1100" spans="8:23" x14ac:dyDescent="0.35">
      <c r="H1100"/>
      <c r="I1100"/>
      <c r="J1100"/>
      <c r="K1100"/>
      <c r="L1100"/>
      <c r="M1100"/>
      <c r="N1100"/>
      <c r="W1100"/>
    </row>
    <row r="1101" spans="8:23" x14ac:dyDescent="0.35">
      <c r="H1101"/>
      <c r="I1101"/>
      <c r="J1101"/>
      <c r="K1101"/>
      <c r="L1101"/>
      <c r="M1101"/>
      <c r="N1101"/>
      <c r="W1101"/>
    </row>
    <row r="1102" spans="8:23" x14ac:dyDescent="0.35">
      <c r="H1102"/>
      <c r="I1102"/>
      <c r="J1102"/>
      <c r="K1102"/>
      <c r="L1102"/>
      <c r="M1102"/>
      <c r="N1102"/>
      <c r="W1102"/>
    </row>
    <row r="1103" spans="8:23" x14ac:dyDescent="0.35">
      <c r="H1103"/>
      <c r="I1103"/>
      <c r="J1103"/>
      <c r="K1103"/>
      <c r="L1103"/>
      <c r="M1103"/>
      <c r="N1103"/>
      <c r="W1103"/>
    </row>
    <row r="1104" spans="8:23" x14ac:dyDescent="0.35">
      <c r="H1104"/>
      <c r="I1104"/>
      <c r="J1104"/>
      <c r="K1104"/>
      <c r="L1104"/>
      <c r="M1104"/>
      <c r="N1104"/>
      <c r="W1104"/>
    </row>
    <row r="1105" spans="8:23" x14ac:dyDescent="0.35">
      <c r="H1105"/>
      <c r="I1105"/>
      <c r="J1105"/>
      <c r="K1105"/>
      <c r="L1105"/>
      <c r="M1105"/>
      <c r="N1105"/>
      <c r="W1105"/>
    </row>
    <row r="1106" spans="8:23" x14ac:dyDescent="0.35">
      <c r="H1106"/>
      <c r="I1106"/>
      <c r="J1106"/>
      <c r="K1106"/>
      <c r="L1106"/>
      <c r="M1106"/>
      <c r="N1106"/>
      <c r="W1106"/>
    </row>
    <row r="1107" spans="8:23" x14ac:dyDescent="0.35">
      <c r="H1107"/>
      <c r="I1107"/>
      <c r="J1107"/>
      <c r="K1107"/>
      <c r="L1107"/>
      <c r="M1107"/>
      <c r="N1107"/>
      <c r="W1107"/>
    </row>
    <row r="1108" spans="8:23" x14ac:dyDescent="0.35">
      <c r="H1108"/>
      <c r="I1108"/>
      <c r="J1108"/>
      <c r="K1108"/>
      <c r="L1108"/>
      <c r="M1108"/>
      <c r="N1108"/>
      <c r="W1108"/>
    </row>
    <row r="1109" spans="8:23" x14ac:dyDescent="0.35">
      <c r="H1109"/>
      <c r="I1109"/>
      <c r="J1109"/>
      <c r="K1109"/>
      <c r="L1109"/>
      <c r="M1109"/>
      <c r="N1109"/>
      <c r="W1109"/>
    </row>
    <row r="1110" spans="8:23" x14ac:dyDescent="0.35">
      <c r="H1110"/>
      <c r="I1110"/>
      <c r="J1110"/>
      <c r="K1110"/>
      <c r="L1110"/>
      <c r="M1110"/>
      <c r="N1110"/>
      <c r="W1110"/>
    </row>
    <row r="1111" spans="8:23" x14ac:dyDescent="0.35">
      <c r="H1111"/>
      <c r="I1111"/>
      <c r="J1111"/>
      <c r="K1111"/>
      <c r="L1111"/>
      <c r="M1111"/>
      <c r="N1111"/>
      <c r="W1111"/>
    </row>
    <row r="1112" spans="8:23" x14ac:dyDescent="0.35">
      <c r="H1112"/>
      <c r="I1112"/>
      <c r="J1112"/>
      <c r="K1112"/>
      <c r="L1112"/>
      <c r="M1112"/>
      <c r="N1112"/>
      <c r="W1112"/>
    </row>
    <row r="1113" spans="8:23" x14ac:dyDescent="0.35">
      <c r="H1113"/>
      <c r="I1113"/>
      <c r="J1113"/>
      <c r="K1113"/>
      <c r="L1113"/>
      <c r="M1113"/>
      <c r="N1113"/>
      <c r="W1113"/>
    </row>
    <row r="1114" spans="8:23" x14ac:dyDescent="0.35">
      <c r="H1114"/>
      <c r="I1114"/>
      <c r="J1114"/>
      <c r="K1114"/>
      <c r="L1114"/>
      <c r="M1114"/>
      <c r="N1114"/>
      <c r="W1114"/>
    </row>
    <row r="1115" spans="8:23" x14ac:dyDescent="0.35">
      <c r="H1115"/>
      <c r="I1115"/>
      <c r="J1115"/>
      <c r="K1115"/>
      <c r="L1115"/>
      <c r="M1115"/>
      <c r="N1115"/>
      <c r="W1115"/>
    </row>
    <row r="1116" spans="8:23" x14ac:dyDescent="0.35">
      <c r="H1116"/>
      <c r="I1116"/>
      <c r="J1116"/>
      <c r="K1116"/>
      <c r="L1116"/>
      <c r="M1116"/>
      <c r="N1116"/>
      <c r="W1116"/>
    </row>
    <row r="1117" spans="8:23" x14ac:dyDescent="0.35">
      <c r="H1117"/>
      <c r="I1117"/>
      <c r="J1117"/>
      <c r="K1117"/>
      <c r="L1117"/>
      <c r="M1117"/>
      <c r="N1117"/>
      <c r="W1117"/>
    </row>
    <row r="1118" spans="8:23" x14ac:dyDescent="0.35">
      <c r="H1118"/>
      <c r="I1118"/>
      <c r="J1118"/>
      <c r="K1118"/>
      <c r="L1118"/>
      <c r="M1118"/>
      <c r="N1118"/>
      <c r="W1118"/>
    </row>
    <row r="1119" spans="8:23" x14ac:dyDescent="0.35">
      <c r="H1119"/>
      <c r="I1119"/>
      <c r="J1119"/>
      <c r="K1119"/>
      <c r="L1119"/>
      <c r="M1119"/>
      <c r="N1119"/>
      <c r="W1119"/>
    </row>
    <row r="1120" spans="8:23" x14ac:dyDescent="0.35">
      <c r="H1120"/>
      <c r="I1120"/>
      <c r="J1120"/>
      <c r="K1120"/>
      <c r="L1120"/>
      <c r="M1120"/>
      <c r="N1120"/>
      <c r="W1120"/>
    </row>
    <row r="1121" spans="8:23" x14ac:dyDescent="0.35">
      <c r="H1121"/>
      <c r="I1121"/>
      <c r="J1121"/>
      <c r="K1121"/>
      <c r="L1121"/>
      <c r="M1121"/>
      <c r="N1121"/>
      <c r="W1121"/>
    </row>
    <row r="1122" spans="8:23" x14ac:dyDescent="0.35">
      <c r="H1122"/>
      <c r="I1122"/>
      <c r="J1122"/>
      <c r="K1122"/>
      <c r="L1122"/>
      <c r="M1122"/>
      <c r="N1122"/>
      <c r="W1122"/>
    </row>
    <row r="1123" spans="8:23" x14ac:dyDescent="0.35">
      <c r="H1123"/>
      <c r="I1123"/>
      <c r="J1123"/>
      <c r="K1123"/>
      <c r="L1123"/>
      <c r="M1123"/>
      <c r="N1123"/>
      <c r="W1123"/>
    </row>
    <row r="1124" spans="8:23" x14ac:dyDescent="0.35">
      <c r="H1124"/>
      <c r="I1124"/>
      <c r="J1124"/>
      <c r="K1124"/>
      <c r="L1124"/>
      <c r="M1124"/>
      <c r="N1124"/>
      <c r="W1124"/>
    </row>
    <row r="1125" spans="8:23" x14ac:dyDescent="0.35">
      <c r="H1125"/>
      <c r="I1125"/>
      <c r="J1125"/>
      <c r="K1125"/>
      <c r="L1125"/>
      <c r="M1125"/>
      <c r="N1125"/>
      <c r="W1125"/>
    </row>
    <row r="1126" spans="8:23" x14ac:dyDescent="0.35">
      <c r="H1126"/>
      <c r="I1126"/>
      <c r="J1126"/>
      <c r="K1126"/>
      <c r="L1126"/>
      <c r="M1126"/>
      <c r="N1126"/>
      <c r="W1126"/>
    </row>
    <row r="1127" spans="8:23" x14ac:dyDescent="0.35">
      <c r="H1127"/>
      <c r="I1127"/>
      <c r="J1127"/>
      <c r="K1127"/>
      <c r="L1127"/>
      <c r="M1127"/>
      <c r="N1127"/>
      <c r="W1127"/>
    </row>
    <row r="1128" spans="8:23" x14ac:dyDescent="0.35">
      <c r="H1128"/>
      <c r="I1128"/>
      <c r="J1128"/>
      <c r="K1128"/>
      <c r="L1128"/>
      <c r="M1128"/>
      <c r="N1128"/>
      <c r="W1128"/>
    </row>
    <row r="1129" spans="8:23" x14ac:dyDescent="0.35">
      <c r="H1129"/>
      <c r="I1129"/>
      <c r="J1129"/>
      <c r="K1129"/>
      <c r="L1129"/>
      <c r="M1129"/>
      <c r="N1129"/>
      <c r="W1129"/>
    </row>
    <row r="1130" spans="8:23" x14ac:dyDescent="0.35">
      <c r="H1130"/>
      <c r="I1130"/>
      <c r="J1130"/>
      <c r="K1130"/>
      <c r="L1130"/>
      <c r="M1130"/>
      <c r="N1130"/>
      <c r="W1130"/>
    </row>
    <row r="1131" spans="8:23" x14ac:dyDescent="0.35">
      <c r="H1131"/>
      <c r="I1131"/>
      <c r="J1131"/>
      <c r="K1131"/>
      <c r="L1131"/>
      <c r="M1131"/>
      <c r="N1131"/>
      <c r="W1131"/>
    </row>
    <row r="1132" spans="8:23" x14ac:dyDescent="0.35">
      <c r="H1132"/>
      <c r="I1132"/>
      <c r="J1132"/>
      <c r="K1132"/>
      <c r="L1132"/>
      <c r="M1132"/>
      <c r="N1132"/>
      <c r="W1132"/>
    </row>
    <row r="1133" spans="8:23" x14ac:dyDescent="0.35">
      <c r="H1133"/>
      <c r="I1133"/>
      <c r="J1133"/>
      <c r="K1133"/>
      <c r="L1133"/>
      <c r="M1133"/>
      <c r="N1133"/>
      <c r="W1133"/>
    </row>
    <row r="1134" spans="8:23" x14ac:dyDescent="0.35">
      <c r="H1134"/>
      <c r="I1134"/>
      <c r="J1134"/>
      <c r="K1134"/>
      <c r="L1134"/>
      <c r="M1134"/>
      <c r="N1134"/>
      <c r="W1134"/>
    </row>
    <row r="1135" spans="8:23" x14ac:dyDescent="0.35">
      <c r="H1135"/>
      <c r="I1135"/>
      <c r="J1135"/>
      <c r="K1135"/>
      <c r="L1135"/>
      <c r="M1135"/>
      <c r="N1135"/>
      <c r="W1135"/>
    </row>
    <row r="1136" spans="8:23" x14ac:dyDescent="0.35">
      <c r="H1136"/>
      <c r="I1136"/>
      <c r="J1136"/>
      <c r="K1136"/>
      <c r="L1136"/>
      <c r="M1136"/>
      <c r="N1136"/>
      <c r="W1136"/>
    </row>
    <row r="1137" spans="8:23" x14ac:dyDescent="0.35">
      <c r="H1137"/>
      <c r="I1137"/>
      <c r="J1137"/>
      <c r="K1137"/>
      <c r="L1137"/>
      <c r="M1137"/>
      <c r="N1137"/>
      <c r="W1137"/>
    </row>
    <row r="1138" spans="8:23" x14ac:dyDescent="0.35">
      <c r="H1138"/>
      <c r="I1138"/>
      <c r="J1138"/>
      <c r="K1138"/>
      <c r="L1138"/>
      <c r="M1138"/>
      <c r="N1138"/>
      <c r="W1138"/>
    </row>
    <row r="1139" spans="8:23" x14ac:dyDescent="0.35">
      <c r="H1139"/>
      <c r="I1139"/>
      <c r="J1139"/>
      <c r="K1139"/>
      <c r="L1139"/>
      <c r="M1139"/>
      <c r="N1139"/>
      <c r="W1139"/>
    </row>
    <row r="1140" spans="8:23" x14ac:dyDescent="0.35">
      <c r="H1140"/>
      <c r="I1140"/>
      <c r="J1140"/>
      <c r="K1140"/>
      <c r="L1140"/>
      <c r="M1140"/>
      <c r="N1140"/>
      <c r="W1140"/>
    </row>
    <row r="1141" spans="8:23" x14ac:dyDescent="0.35">
      <c r="H1141"/>
      <c r="I1141"/>
      <c r="J1141"/>
      <c r="K1141"/>
      <c r="L1141"/>
      <c r="M1141"/>
      <c r="N1141"/>
      <c r="W1141"/>
    </row>
    <row r="1142" spans="8:23" x14ac:dyDescent="0.35">
      <c r="H1142"/>
      <c r="I1142"/>
      <c r="J1142"/>
      <c r="K1142"/>
      <c r="L1142"/>
      <c r="M1142"/>
      <c r="N1142"/>
      <c r="W1142"/>
    </row>
    <row r="1143" spans="8:23" x14ac:dyDescent="0.35">
      <c r="H1143"/>
      <c r="I1143"/>
      <c r="J1143"/>
      <c r="K1143"/>
      <c r="L1143"/>
      <c r="M1143"/>
      <c r="N1143"/>
      <c r="W1143"/>
    </row>
    <row r="1144" spans="8:23" x14ac:dyDescent="0.35">
      <c r="H1144"/>
      <c r="I1144"/>
      <c r="J1144"/>
      <c r="K1144"/>
      <c r="L1144"/>
      <c r="M1144"/>
      <c r="N1144"/>
      <c r="W1144"/>
    </row>
    <row r="1145" spans="8:23" x14ac:dyDescent="0.35">
      <c r="H1145"/>
      <c r="I1145"/>
      <c r="J1145"/>
      <c r="K1145"/>
      <c r="L1145"/>
      <c r="M1145"/>
      <c r="N1145"/>
      <c r="W1145"/>
    </row>
    <row r="1146" spans="8:23" x14ac:dyDescent="0.35">
      <c r="H1146"/>
      <c r="I1146"/>
      <c r="J1146"/>
      <c r="K1146"/>
      <c r="L1146"/>
      <c r="M1146"/>
      <c r="N1146"/>
      <c r="W1146"/>
    </row>
    <row r="1147" spans="8:23" x14ac:dyDescent="0.35">
      <c r="H1147"/>
      <c r="I1147"/>
      <c r="J1147"/>
      <c r="K1147"/>
      <c r="L1147"/>
      <c r="M1147"/>
      <c r="N1147"/>
      <c r="W1147"/>
    </row>
    <row r="1148" spans="8:23" x14ac:dyDescent="0.35">
      <c r="H1148"/>
      <c r="I1148"/>
      <c r="J1148"/>
      <c r="K1148"/>
      <c r="L1148"/>
      <c r="M1148"/>
      <c r="N1148"/>
      <c r="W1148"/>
    </row>
    <row r="1149" spans="8:23" x14ac:dyDescent="0.35">
      <c r="H1149"/>
      <c r="I1149"/>
      <c r="J1149"/>
      <c r="K1149"/>
      <c r="L1149"/>
      <c r="M1149"/>
      <c r="N1149"/>
      <c r="W1149"/>
    </row>
    <row r="1150" spans="8:23" x14ac:dyDescent="0.35">
      <c r="H1150"/>
      <c r="I1150"/>
      <c r="J1150"/>
      <c r="K1150"/>
      <c r="L1150"/>
      <c r="M1150"/>
      <c r="N1150"/>
      <c r="W1150"/>
    </row>
    <row r="1151" spans="8:23" x14ac:dyDescent="0.35">
      <c r="H1151"/>
      <c r="I1151"/>
      <c r="J1151"/>
      <c r="K1151"/>
      <c r="L1151"/>
      <c r="M1151"/>
      <c r="N1151"/>
      <c r="W1151"/>
    </row>
    <row r="1152" spans="8:23" x14ac:dyDescent="0.35">
      <c r="H1152"/>
      <c r="I1152"/>
      <c r="J1152"/>
      <c r="K1152"/>
      <c r="L1152"/>
      <c r="M1152"/>
      <c r="N1152"/>
      <c r="W1152"/>
    </row>
    <row r="1153" spans="8:23" x14ac:dyDescent="0.35">
      <c r="H1153"/>
      <c r="I1153"/>
      <c r="J1153"/>
      <c r="K1153"/>
      <c r="L1153"/>
      <c r="M1153"/>
      <c r="N1153"/>
      <c r="W1153"/>
    </row>
    <row r="1154" spans="8:23" x14ac:dyDescent="0.35">
      <c r="H1154"/>
      <c r="I1154"/>
      <c r="J1154"/>
      <c r="K1154"/>
      <c r="L1154"/>
      <c r="M1154"/>
      <c r="N1154"/>
      <c r="W1154"/>
    </row>
    <row r="1155" spans="8:23" x14ac:dyDescent="0.35">
      <c r="H1155"/>
      <c r="I1155"/>
      <c r="J1155"/>
      <c r="K1155"/>
      <c r="L1155"/>
      <c r="M1155"/>
      <c r="N1155"/>
      <c r="W1155"/>
    </row>
    <row r="1156" spans="8:23" x14ac:dyDescent="0.35">
      <c r="H1156"/>
      <c r="I1156"/>
      <c r="J1156"/>
      <c r="K1156"/>
      <c r="L1156"/>
      <c r="M1156"/>
      <c r="N1156"/>
      <c r="W1156"/>
    </row>
    <row r="1157" spans="8:23" x14ac:dyDescent="0.35">
      <c r="H1157"/>
      <c r="I1157"/>
      <c r="J1157"/>
      <c r="K1157"/>
      <c r="L1157"/>
      <c r="M1157"/>
      <c r="N1157"/>
      <c r="W1157"/>
    </row>
    <row r="1158" spans="8:23" x14ac:dyDescent="0.35">
      <c r="H1158"/>
      <c r="I1158"/>
      <c r="J1158"/>
      <c r="K1158"/>
      <c r="L1158"/>
      <c r="M1158"/>
      <c r="N1158"/>
      <c r="W1158"/>
    </row>
    <row r="1159" spans="8:23" x14ac:dyDescent="0.35">
      <c r="H1159"/>
      <c r="I1159"/>
      <c r="J1159"/>
      <c r="K1159"/>
      <c r="L1159"/>
      <c r="M1159"/>
      <c r="N1159"/>
      <c r="W1159"/>
    </row>
    <row r="1160" spans="8:23" x14ac:dyDescent="0.35">
      <c r="H1160"/>
      <c r="I1160"/>
      <c r="J1160"/>
      <c r="K1160"/>
      <c r="L1160"/>
      <c r="M1160"/>
      <c r="N1160"/>
      <c r="W1160"/>
    </row>
    <row r="1161" spans="8:23" x14ac:dyDescent="0.35">
      <c r="H1161"/>
      <c r="I1161"/>
      <c r="J1161"/>
      <c r="K1161"/>
      <c r="L1161"/>
      <c r="M1161"/>
      <c r="N1161"/>
      <c r="W1161"/>
    </row>
    <row r="1162" spans="8:23" x14ac:dyDescent="0.35">
      <c r="H1162"/>
      <c r="I1162"/>
      <c r="J1162"/>
      <c r="K1162"/>
      <c r="L1162"/>
      <c r="M1162"/>
      <c r="N1162"/>
      <c r="W1162"/>
    </row>
    <row r="1163" spans="8:23" x14ac:dyDescent="0.35">
      <c r="H1163"/>
      <c r="I1163"/>
      <c r="J1163"/>
      <c r="K1163"/>
      <c r="L1163"/>
      <c r="M1163"/>
      <c r="N1163"/>
      <c r="W1163"/>
    </row>
    <row r="1164" spans="8:23" x14ac:dyDescent="0.35">
      <c r="H1164"/>
      <c r="I1164"/>
      <c r="J1164"/>
      <c r="K1164"/>
      <c r="L1164"/>
      <c r="M1164"/>
      <c r="N1164"/>
      <c r="W1164"/>
    </row>
    <row r="1165" spans="8:23" x14ac:dyDescent="0.35">
      <c r="H1165"/>
      <c r="I1165"/>
      <c r="J1165"/>
      <c r="K1165"/>
      <c r="L1165"/>
      <c r="M1165"/>
      <c r="N1165"/>
      <c r="W1165"/>
    </row>
    <row r="1166" spans="8:23" x14ac:dyDescent="0.35">
      <c r="H1166"/>
      <c r="I1166"/>
      <c r="J1166"/>
      <c r="K1166"/>
      <c r="L1166"/>
      <c r="M1166"/>
      <c r="N1166"/>
      <c r="W1166"/>
    </row>
    <row r="1167" spans="8:23" x14ac:dyDescent="0.35">
      <c r="H1167"/>
      <c r="I1167"/>
      <c r="J1167"/>
      <c r="K1167"/>
      <c r="L1167"/>
      <c r="M1167"/>
      <c r="N1167"/>
      <c r="W1167"/>
    </row>
    <row r="1168" spans="8:23" x14ac:dyDescent="0.35">
      <c r="H1168"/>
      <c r="I1168"/>
      <c r="J1168"/>
      <c r="K1168"/>
      <c r="L1168"/>
      <c r="M1168"/>
      <c r="N1168"/>
      <c r="W1168"/>
    </row>
    <row r="1169" spans="8:23" x14ac:dyDescent="0.35">
      <c r="H1169"/>
      <c r="I1169"/>
      <c r="J1169"/>
      <c r="K1169"/>
      <c r="L1169"/>
      <c r="M1169"/>
      <c r="N1169"/>
      <c r="W1169"/>
    </row>
    <row r="1170" spans="8:23" x14ac:dyDescent="0.35">
      <c r="H1170"/>
      <c r="I1170"/>
      <c r="J1170"/>
      <c r="K1170"/>
      <c r="L1170"/>
      <c r="M1170"/>
      <c r="N1170"/>
      <c r="W1170"/>
    </row>
    <row r="1171" spans="8:23" x14ac:dyDescent="0.35">
      <c r="H1171"/>
      <c r="I1171"/>
      <c r="J1171"/>
      <c r="K1171"/>
      <c r="L1171"/>
      <c r="M1171"/>
      <c r="N1171"/>
      <c r="W1171"/>
    </row>
    <row r="1172" spans="8:23" x14ac:dyDescent="0.35">
      <c r="H1172"/>
      <c r="I1172"/>
      <c r="J1172"/>
      <c r="K1172"/>
      <c r="L1172"/>
      <c r="M1172"/>
      <c r="N1172"/>
      <c r="W1172"/>
    </row>
    <row r="1173" spans="8:23" x14ac:dyDescent="0.35">
      <c r="H1173"/>
      <c r="I1173"/>
      <c r="J1173"/>
      <c r="K1173"/>
      <c r="L1173"/>
      <c r="M1173"/>
      <c r="N1173"/>
      <c r="W1173"/>
    </row>
    <row r="1174" spans="8:23" x14ac:dyDescent="0.35">
      <c r="H1174"/>
      <c r="I1174"/>
      <c r="J1174"/>
      <c r="K1174"/>
      <c r="L1174"/>
      <c r="M1174"/>
      <c r="N1174"/>
      <c r="W1174"/>
    </row>
    <row r="1175" spans="8:23" x14ac:dyDescent="0.35">
      <c r="H1175"/>
      <c r="I1175"/>
      <c r="J1175"/>
      <c r="K1175"/>
      <c r="L1175"/>
      <c r="M1175"/>
      <c r="N1175"/>
      <c r="W1175"/>
    </row>
    <row r="1176" spans="8:23" x14ac:dyDescent="0.35">
      <c r="H1176"/>
      <c r="I1176"/>
      <c r="J1176"/>
      <c r="K1176"/>
      <c r="L1176"/>
      <c r="M1176"/>
      <c r="N1176"/>
      <c r="W1176"/>
    </row>
    <row r="1177" spans="8:23" x14ac:dyDescent="0.35">
      <c r="H1177"/>
      <c r="I1177"/>
      <c r="J1177"/>
      <c r="K1177"/>
      <c r="L1177"/>
      <c r="M1177"/>
      <c r="N1177"/>
      <c r="W1177"/>
    </row>
    <row r="1178" spans="8:23" x14ac:dyDescent="0.35">
      <c r="H1178"/>
      <c r="I1178"/>
      <c r="J1178"/>
      <c r="K1178"/>
      <c r="L1178"/>
      <c r="M1178"/>
      <c r="N1178"/>
      <c r="W1178"/>
    </row>
    <row r="1179" spans="8:23" x14ac:dyDescent="0.35">
      <c r="H1179"/>
      <c r="I1179"/>
      <c r="J1179"/>
      <c r="K1179"/>
      <c r="L1179"/>
      <c r="M1179"/>
      <c r="N1179"/>
      <c r="W1179"/>
    </row>
    <row r="1180" spans="8:23" x14ac:dyDescent="0.35">
      <c r="H1180"/>
      <c r="I1180"/>
      <c r="J1180"/>
      <c r="K1180"/>
      <c r="L1180"/>
      <c r="M1180"/>
      <c r="N1180"/>
      <c r="W1180"/>
    </row>
    <row r="1181" spans="8:23" x14ac:dyDescent="0.35">
      <c r="H1181"/>
      <c r="I1181"/>
      <c r="J1181"/>
      <c r="K1181"/>
      <c r="L1181"/>
      <c r="M1181"/>
      <c r="N1181"/>
      <c r="W1181"/>
    </row>
    <row r="1182" spans="8:23" x14ac:dyDescent="0.35">
      <c r="H1182"/>
      <c r="I1182"/>
      <c r="J1182"/>
      <c r="K1182"/>
      <c r="L1182"/>
      <c r="M1182"/>
      <c r="N1182"/>
      <c r="W1182"/>
    </row>
    <row r="1183" spans="8:23" x14ac:dyDescent="0.35">
      <c r="H1183"/>
      <c r="I1183"/>
      <c r="J1183"/>
      <c r="K1183"/>
      <c r="L1183"/>
      <c r="M1183"/>
      <c r="N1183"/>
      <c r="W1183"/>
    </row>
    <row r="1184" spans="8:23" x14ac:dyDescent="0.35">
      <c r="H1184"/>
      <c r="I1184"/>
      <c r="J1184"/>
      <c r="K1184"/>
      <c r="L1184"/>
      <c r="M1184"/>
      <c r="N1184"/>
      <c r="W1184"/>
    </row>
    <row r="1185" spans="8:23" x14ac:dyDescent="0.35">
      <c r="H1185"/>
      <c r="I1185"/>
      <c r="J1185"/>
      <c r="K1185"/>
      <c r="L1185"/>
      <c r="M1185"/>
      <c r="N1185"/>
      <c r="W1185"/>
    </row>
    <row r="1186" spans="8:23" x14ac:dyDescent="0.35">
      <c r="H1186"/>
      <c r="I1186"/>
      <c r="J1186"/>
      <c r="K1186"/>
      <c r="L1186"/>
      <c r="M1186"/>
      <c r="N1186"/>
      <c r="W1186"/>
    </row>
    <row r="1187" spans="8:23" x14ac:dyDescent="0.35">
      <c r="H1187"/>
      <c r="I1187"/>
      <c r="J1187"/>
      <c r="K1187"/>
      <c r="L1187"/>
      <c r="M1187"/>
      <c r="N1187"/>
      <c r="W1187"/>
    </row>
    <row r="1188" spans="8:23" x14ac:dyDescent="0.35">
      <c r="H1188"/>
      <c r="I1188"/>
      <c r="J1188"/>
      <c r="K1188"/>
      <c r="L1188"/>
      <c r="M1188"/>
      <c r="N1188"/>
      <c r="W1188"/>
    </row>
    <row r="1189" spans="8:23" x14ac:dyDescent="0.35">
      <c r="H1189"/>
      <c r="I1189"/>
      <c r="J1189"/>
      <c r="K1189"/>
      <c r="L1189"/>
      <c r="M1189"/>
      <c r="N1189"/>
      <c r="W1189"/>
    </row>
    <row r="1190" spans="8:23" x14ac:dyDescent="0.35">
      <c r="H1190"/>
      <c r="I1190"/>
      <c r="J1190"/>
      <c r="K1190"/>
      <c r="L1190"/>
      <c r="M1190"/>
      <c r="N1190"/>
      <c r="W1190"/>
    </row>
    <row r="1191" spans="8:23" x14ac:dyDescent="0.35">
      <c r="H1191"/>
      <c r="I1191"/>
      <c r="J1191"/>
      <c r="K1191"/>
      <c r="L1191"/>
      <c r="M1191"/>
      <c r="N1191"/>
      <c r="W1191"/>
    </row>
    <row r="1192" spans="8:23" x14ac:dyDescent="0.35">
      <c r="H1192"/>
      <c r="I1192"/>
      <c r="J1192"/>
      <c r="K1192"/>
      <c r="L1192"/>
      <c r="M1192"/>
      <c r="N1192"/>
      <c r="W1192"/>
    </row>
    <row r="1193" spans="8:23" x14ac:dyDescent="0.35">
      <c r="H1193"/>
      <c r="I1193"/>
      <c r="J1193"/>
      <c r="K1193"/>
      <c r="L1193"/>
      <c r="M1193"/>
      <c r="N1193"/>
      <c r="W1193"/>
    </row>
    <row r="1194" spans="8:23" x14ac:dyDescent="0.35">
      <c r="H1194"/>
      <c r="I1194"/>
      <c r="J1194"/>
      <c r="K1194"/>
      <c r="L1194"/>
      <c r="M1194"/>
      <c r="N1194"/>
      <c r="W1194"/>
    </row>
    <row r="1195" spans="8:23" x14ac:dyDescent="0.35">
      <c r="H1195"/>
      <c r="I1195"/>
      <c r="J1195"/>
      <c r="K1195"/>
      <c r="L1195"/>
      <c r="M1195"/>
      <c r="N1195"/>
      <c r="W1195"/>
    </row>
    <row r="1196" spans="8:23" x14ac:dyDescent="0.35">
      <c r="H1196"/>
      <c r="I1196"/>
      <c r="J1196"/>
      <c r="K1196"/>
      <c r="L1196"/>
      <c r="M1196"/>
      <c r="N1196"/>
      <c r="W1196"/>
    </row>
    <row r="1197" spans="8:23" x14ac:dyDescent="0.35">
      <c r="H1197"/>
      <c r="I1197"/>
      <c r="J1197"/>
      <c r="K1197"/>
      <c r="L1197"/>
      <c r="M1197"/>
      <c r="N1197"/>
      <c r="W1197"/>
    </row>
    <row r="1198" spans="8:23" x14ac:dyDescent="0.35">
      <c r="H1198"/>
      <c r="I1198"/>
      <c r="J1198"/>
      <c r="K1198"/>
      <c r="L1198"/>
      <c r="M1198"/>
      <c r="N1198"/>
      <c r="W1198"/>
    </row>
    <row r="1199" spans="8:23" x14ac:dyDescent="0.35">
      <c r="H1199"/>
      <c r="I1199"/>
      <c r="J1199"/>
      <c r="K1199"/>
      <c r="L1199"/>
      <c r="M1199"/>
      <c r="N1199"/>
      <c r="W1199"/>
    </row>
    <row r="1200" spans="8:23" x14ac:dyDescent="0.35">
      <c r="H1200"/>
      <c r="I1200"/>
      <c r="J1200"/>
      <c r="K1200"/>
      <c r="L1200"/>
      <c r="M1200"/>
      <c r="N1200"/>
      <c r="W1200"/>
    </row>
    <row r="1201" spans="8:23" x14ac:dyDescent="0.35">
      <c r="H1201"/>
      <c r="I1201"/>
      <c r="J1201"/>
      <c r="K1201"/>
      <c r="L1201"/>
      <c r="M1201"/>
      <c r="N1201"/>
      <c r="W1201"/>
    </row>
    <row r="1202" spans="8:23" x14ac:dyDescent="0.35">
      <c r="H1202"/>
      <c r="I1202"/>
      <c r="J1202"/>
      <c r="K1202"/>
      <c r="L1202"/>
      <c r="M1202"/>
      <c r="N1202"/>
      <c r="W1202"/>
    </row>
    <row r="1203" spans="8:23" x14ac:dyDescent="0.35">
      <c r="H1203"/>
      <c r="I1203"/>
      <c r="J1203"/>
      <c r="K1203"/>
      <c r="L1203"/>
      <c r="M1203"/>
      <c r="N1203"/>
      <c r="W1203"/>
    </row>
    <row r="1204" spans="8:23" x14ac:dyDescent="0.35">
      <c r="H1204"/>
      <c r="I1204"/>
      <c r="J1204"/>
      <c r="K1204"/>
      <c r="L1204"/>
      <c r="M1204"/>
      <c r="N1204"/>
      <c r="W1204"/>
    </row>
    <row r="1205" spans="8:23" x14ac:dyDescent="0.35">
      <c r="H1205"/>
      <c r="I1205"/>
      <c r="J1205"/>
      <c r="K1205"/>
      <c r="L1205"/>
      <c r="M1205"/>
      <c r="N1205"/>
      <c r="W1205"/>
    </row>
    <row r="1206" spans="8:23" x14ac:dyDescent="0.35">
      <c r="H1206"/>
      <c r="I1206"/>
      <c r="J1206"/>
      <c r="K1206"/>
      <c r="L1206"/>
      <c r="M1206"/>
      <c r="N1206"/>
      <c r="W1206"/>
    </row>
    <row r="1207" spans="8:23" x14ac:dyDescent="0.35">
      <c r="H1207"/>
      <c r="I1207"/>
      <c r="J1207"/>
      <c r="K1207"/>
      <c r="L1207"/>
      <c r="M1207"/>
      <c r="N1207"/>
      <c r="W1207"/>
    </row>
    <row r="1208" spans="8:23" x14ac:dyDescent="0.35">
      <c r="H1208"/>
      <c r="I1208"/>
      <c r="J1208"/>
      <c r="K1208"/>
      <c r="L1208"/>
      <c r="M1208"/>
      <c r="N1208"/>
      <c r="W1208"/>
    </row>
    <row r="1209" spans="8:23" x14ac:dyDescent="0.35">
      <c r="H1209"/>
      <c r="I1209"/>
      <c r="J1209"/>
      <c r="K1209"/>
      <c r="L1209"/>
      <c r="M1209"/>
      <c r="N1209"/>
      <c r="W1209"/>
    </row>
    <row r="1210" spans="8:23" x14ac:dyDescent="0.35">
      <c r="H1210"/>
      <c r="I1210"/>
      <c r="J1210"/>
      <c r="K1210"/>
      <c r="L1210"/>
      <c r="M1210"/>
      <c r="N1210"/>
      <c r="W1210"/>
    </row>
    <row r="1211" spans="8:23" x14ac:dyDescent="0.35">
      <c r="H1211"/>
      <c r="I1211"/>
      <c r="J1211"/>
      <c r="K1211"/>
      <c r="L1211"/>
      <c r="M1211"/>
      <c r="N1211"/>
      <c r="W1211"/>
    </row>
    <row r="1212" spans="8:23" x14ac:dyDescent="0.35">
      <c r="H1212"/>
      <c r="I1212"/>
      <c r="J1212"/>
      <c r="K1212"/>
      <c r="L1212"/>
      <c r="M1212"/>
      <c r="N1212"/>
      <c r="W1212"/>
    </row>
    <row r="1213" spans="8:23" x14ac:dyDescent="0.35">
      <c r="H1213"/>
      <c r="I1213"/>
      <c r="J1213"/>
      <c r="K1213"/>
      <c r="L1213"/>
      <c r="M1213"/>
      <c r="N1213"/>
      <c r="W1213"/>
    </row>
    <row r="1214" spans="8:23" x14ac:dyDescent="0.35">
      <c r="H1214"/>
      <c r="I1214"/>
      <c r="J1214"/>
      <c r="K1214"/>
      <c r="L1214"/>
      <c r="M1214"/>
      <c r="N1214"/>
      <c r="W1214"/>
    </row>
    <row r="1215" spans="8:23" x14ac:dyDescent="0.35">
      <c r="H1215"/>
      <c r="I1215"/>
      <c r="J1215"/>
      <c r="K1215"/>
      <c r="L1215"/>
      <c r="M1215"/>
      <c r="N1215"/>
      <c r="W1215"/>
    </row>
    <row r="1216" spans="8:23" x14ac:dyDescent="0.35">
      <c r="H1216"/>
      <c r="I1216"/>
      <c r="J1216"/>
      <c r="K1216"/>
      <c r="L1216"/>
      <c r="M1216"/>
      <c r="N1216"/>
      <c r="W1216"/>
    </row>
    <row r="1217" spans="8:23" x14ac:dyDescent="0.35">
      <c r="H1217"/>
      <c r="I1217"/>
      <c r="J1217"/>
      <c r="K1217"/>
      <c r="L1217"/>
      <c r="M1217"/>
      <c r="N1217"/>
      <c r="W1217"/>
    </row>
    <row r="1218" spans="8:23" x14ac:dyDescent="0.35">
      <c r="H1218"/>
      <c r="I1218"/>
      <c r="J1218"/>
      <c r="K1218"/>
      <c r="L1218"/>
      <c r="M1218"/>
      <c r="N1218"/>
      <c r="W1218"/>
    </row>
    <row r="1219" spans="8:23" x14ac:dyDescent="0.35">
      <c r="H1219"/>
      <c r="I1219"/>
      <c r="J1219"/>
      <c r="K1219"/>
      <c r="L1219"/>
      <c r="M1219"/>
      <c r="N1219"/>
      <c r="W1219"/>
    </row>
    <row r="1220" spans="8:23" x14ac:dyDescent="0.35">
      <c r="H1220"/>
      <c r="I1220"/>
      <c r="J1220"/>
      <c r="K1220"/>
      <c r="L1220"/>
      <c r="M1220"/>
      <c r="N1220"/>
      <c r="W1220"/>
    </row>
    <row r="1221" spans="8:23" x14ac:dyDescent="0.35">
      <c r="H1221"/>
      <c r="I1221"/>
      <c r="J1221"/>
      <c r="K1221"/>
      <c r="L1221"/>
      <c r="M1221"/>
      <c r="N1221"/>
      <c r="W1221"/>
    </row>
    <row r="1222" spans="8:23" x14ac:dyDescent="0.35">
      <c r="H1222"/>
      <c r="I1222"/>
      <c r="J1222"/>
      <c r="K1222"/>
      <c r="L1222"/>
      <c r="M1222"/>
      <c r="N1222"/>
      <c r="W1222"/>
    </row>
    <row r="1223" spans="8:23" x14ac:dyDescent="0.35">
      <c r="H1223"/>
      <c r="I1223"/>
      <c r="J1223"/>
      <c r="K1223"/>
      <c r="L1223"/>
      <c r="M1223"/>
      <c r="N1223"/>
      <c r="W1223"/>
    </row>
    <row r="1224" spans="8:23" x14ac:dyDescent="0.35">
      <c r="H1224"/>
      <c r="I1224"/>
      <c r="J1224"/>
      <c r="K1224"/>
      <c r="L1224"/>
      <c r="M1224"/>
      <c r="N1224"/>
      <c r="W1224"/>
    </row>
    <row r="1225" spans="8:23" x14ac:dyDescent="0.35">
      <c r="H1225"/>
      <c r="I1225"/>
      <c r="J1225"/>
      <c r="K1225"/>
      <c r="L1225"/>
      <c r="M1225"/>
      <c r="N1225"/>
      <c r="W1225"/>
    </row>
    <row r="1226" spans="8:23" x14ac:dyDescent="0.35">
      <c r="H1226"/>
      <c r="I1226"/>
      <c r="J1226"/>
      <c r="K1226"/>
      <c r="L1226"/>
      <c r="M1226"/>
      <c r="N1226"/>
      <c r="W1226"/>
    </row>
    <row r="1227" spans="8:23" x14ac:dyDescent="0.35">
      <c r="H1227"/>
      <c r="I1227"/>
      <c r="J1227"/>
      <c r="K1227"/>
      <c r="L1227"/>
      <c r="M1227"/>
      <c r="N1227"/>
      <c r="W1227"/>
    </row>
    <row r="1228" spans="8:23" x14ac:dyDescent="0.35">
      <c r="H1228"/>
      <c r="I1228"/>
      <c r="J1228"/>
      <c r="K1228"/>
      <c r="L1228"/>
      <c r="M1228"/>
      <c r="N1228"/>
      <c r="W1228"/>
    </row>
    <row r="1229" spans="8:23" x14ac:dyDescent="0.35">
      <c r="H1229"/>
      <c r="I1229"/>
      <c r="J1229"/>
      <c r="K1229"/>
      <c r="L1229"/>
      <c r="M1229"/>
      <c r="N1229"/>
      <c r="W1229"/>
    </row>
    <row r="1230" spans="8:23" x14ac:dyDescent="0.35">
      <c r="H1230"/>
      <c r="I1230"/>
      <c r="J1230"/>
      <c r="K1230"/>
      <c r="L1230"/>
      <c r="M1230"/>
      <c r="N1230"/>
      <c r="W1230"/>
    </row>
    <row r="1231" spans="8:23" x14ac:dyDescent="0.35">
      <c r="H1231"/>
      <c r="I1231"/>
      <c r="J1231"/>
      <c r="K1231"/>
      <c r="L1231"/>
      <c r="M1231"/>
      <c r="N1231"/>
      <c r="W1231"/>
    </row>
    <row r="1232" spans="8:23" x14ac:dyDescent="0.35">
      <c r="H1232"/>
      <c r="I1232"/>
      <c r="J1232"/>
      <c r="K1232"/>
      <c r="L1232"/>
      <c r="M1232"/>
      <c r="N1232"/>
      <c r="W1232"/>
    </row>
    <row r="1233" spans="8:23" x14ac:dyDescent="0.35">
      <c r="H1233"/>
      <c r="I1233"/>
      <c r="J1233"/>
      <c r="K1233"/>
      <c r="L1233"/>
      <c r="M1233"/>
      <c r="N1233"/>
      <c r="W1233"/>
    </row>
    <row r="1234" spans="8:23" x14ac:dyDescent="0.35">
      <c r="H1234"/>
      <c r="I1234"/>
      <c r="J1234"/>
      <c r="K1234"/>
      <c r="L1234"/>
      <c r="M1234"/>
      <c r="N1234"/>
      <c r="W1234"/>
    </row>
    <row r="1235" spans="8:23" x14ac:dyDescent="0.35">
      <c r="H1235"/>
      <c r="I1235"/>
      <c r="J1235"/>
      <c r="K1235"/>
      <c r="L1235"/>
      <c r="M1235"/>
      <c r="N1235"/>
      <c r="W1235"/>
    </row>
    <row r="1236" spans="8:23" x14ac:dyDescent="0.35">
      <c r="H1236"/>
      <c r="I1236"/>
      <c r="J1236"/>
      <c r="K1236"/>
      <c r="L1236"/>
      <c r="M1236"/>
      <c r="N1236"/>
      <c r="W1236"/>
    </row>
    <row r="1237" spans="8:23" x14ac:dyDescent="0.35">
      <c r="H1237"/>
      <c r="I1237"/>
      <c r="J1237"/>
      <c r="K1237"/>
      <c r="L1237"/>
      <c r="M1237"/>
      <c r="N1237"/>
      <c r="W1237"/>
    </row>
    <row r="1238" spans="8:23" x14ac:dyDescent="0.35">
      <c r="H1238"/>
      <c r="I1238"/>
      <c r="J1238"/>
      <c r="K1238"/>
      <c r="L1238"/>
      <c r="M1238"/>
      <c r="N1238"/>
      <c r="W1238"/>
    </row>
    <row r="1239" spans="8:23" x14ac:dyDescent="0.35">
      <c r="H1239"/>
      <c r="I1239"/>
      <c r="J1239"/>
      <c r="K1239"/>
      <c r="L1239"/>
      <c r="M1239"/>
      <c r="N1239"/>
      <c r="W1239"/>
    </row>
    <row r="1240" spans="8:23" x14ac:dyDescent="0.35">
      <c r="H1240"/>
      <c r="I1240"/>
      <c r="J1240"/>
      <c r="K1240"/>
      <c r="L1240"/>
      <c r="M1240"/>
      <c r="N1240"/>
      <c r="W1240"/>
    </row>
    <row r="1241" spans="8:23" x14ac:dyDescent="0.35">
      <c r="H1241"/>
      <c r="I1241"/>
      <c r="J1241"/>
      <c r="K1241"/>
      <c r="L1241"/>
      <c r="M1241"/>
      <c r="N1241"/>
      <c r="W1241"/>
    </row>
    <row r="1242" spans="8:23" x14ac:dyDescent="0.35">
      <c r="H1242"/>
      <c r="I1242"/>
      <c r="J1242"/>
      <c r="K1242"/>
      <c r="L1242"/>
      <c r="M1242"/>
      <c r="N1242"/>
      <c r="W1242"/>
    </row>
    <row r="1243" spans="8:23" x14ac:dyDescent="0.35">
      <c r="H1243"/>
      <c r="I1243"/>
      <c r="J1243"/>
      <c r="K1243"/>
      <c r="L1243"/>
      <c r="M1243"/>
      <c r="N1243"/>
      <c r="W1243"/>
    </row>
    <row r="1244" spans="8:23" x14ac:dyDescent="0.35">
      <c r="H1244"/>
      <c r="I1244"/>
      <c r="J1244"/>
      <c r="K1244"/>
      <c r="L1244"/>
      <c r="M1244"/>
      <c r="N1244"/>
      <c r="W1244"/>
    </row>
    <row r="1245" spans="8:23" x14ac:dyDescent="0.35">
      <c r="H1245"/>
      <c r="I1245"/>
      <c r="J1245"/>
      <c r="K1245"/>
      <c r="L1245"/>
      <c r="M1245"/>
      <c r="N1245"/>
      <c r="W1245"/>
    </row>
    <row r="1246" spans="8:23" x14ac:dyDescent="0.35">
      <c r="H1246"/>
      <c r="I1246"/>
      <c r="J1246"/>
      <c r="K1246"/>
      <c r="L1246"/>
      <c r="M1246"/>
      <c r="N1246"/>
      <c r="W1246"/>
    </row>
    <row r="1247" spans="8:23" x14ac:dyDescent="0.35">
      <c r="H1247"/>
      <c r="I1247"/>
      <c r="J1247"/>
      <c r="K1247"/>
      <c r="L1247"/>
      <c r="M1247"/>
      <c r="N1247"/>
      <c r="W1247"/>
    </row>
    <row r="1248" spans="8:23" x14ac:dyDescent="0.35">
      <c r="H1248"/>
      <c r="I1248"/>
      <c r="J1248"/>
      <c r="K1248"/>
      <c r="L1248"/>
      <c r="M1248"/>
      <c r="N1248"/>
      <c r="W1248"/>
    </row>
    <row r="1249" spans="8:23" x14ac:dyDescent="0.35">
      <c r="H1249"/>
      <c r="I1249"/>
      <c r="J1249"/>
      <c r="K1249"/>
      <c r="L1249"/>
      <c r="M1249"/>
      <c r="N1249"/>
      <c r="W1249"/>
    </row>
    <row r="1250" spans="8:23" x14ac:dyDescent="0.35">
      <c r="H1250"/>
      <c r="I1250"/>
      <c r="J1250"/>
      <c r="K1250"/>
      <c r="L1250"/>
      <c r="M1250"/>
      <c r="N1250"/>
      <c r="W1250"/>
    </row>
    <row r="1251" spans="8:23" x14ac:dyDescent="0.35">
      <c r="H1251"/>
      <c r="I1251"/>
      <c r="J1251"/>
      <c r="K1251"/>
      <c r="L1251"/>
      <c r="M1251"/>
      <c r="N1251"/>
      <c r="W1251"/>
    </row>
    <row r="1252" spans="8:23" x14ac:dyDescent="0.35">
      <c r="H1252"/>
      <c r="I1252"/>
      <c r="J1252"/>
      <c r="K1252"/>
      <c r="L1252"/>
      <c r="M1252"/>
      <c r="N1252"/>
      <c r="W1252"/>
    </row>
    <row r="1253" spans="8:23" x14ac:dyDescent="0.35">
      <c r="H1253"/>
      <c r="I1253"/>
      <c r="J1253"/>
      <c r="K1253"/>
      <c r="L1253"/>
      <c r="M1253"/>
      <c r="N1253"/>
      <c r="W1253"/>
    </row>
    <row r="1254" spans="8:23" x14ac:dyDescent="0.35">
      <c r="H1254"/>
      <c r="I1254"/>
      <c r="J1254"/>
      <c r="K1254"/>
      <c r="L1254"/>
      <c r="M1254"/>
      <c r="N1254"/>
      <c r="W1254"/>
    </row>
    <row r="1255" spans="8:23" x14ac:dyDescent="0.35">
      <c r="H1255"/>
      <c r="I1255"/>
      <c r="J1255"/>
      <c r="K1255"/>
      <c r="L1255"/>
      <c r="M1255"/>
      <c r="N1255"/>
      <c r="W1255"/>
    </row>
    <row r="1256" spans="8:23" x14ac:dyDescent="0.35">
      <c r="H1256"/>
      <c r="I1256"/>
      <c r="J1256"/>
      <c r="K1256"/>
      <c r="L1256"/>
      <c r="M1256"/>
      <c r="N1256"/>
      <c r="W1256"/>
    </row>
    <row r="1257" spans="8:23" x14ac:dyDescent="0.35">
      <c r="H1257"/>
      <c r="I1257"/>
      <c r="J1257"/>
      <c r="K1257"/>
      <c r="L1257"/>
      <c r="M1257"/>
      <c r="N1257"/>
      <c r="W1257"/>
    </row>
    <row r="1258" spans="8:23" x14ac:dyDescent="0.35">
      <c r="H1258"/>
      <c r="I1258"/>
      <c r="J1258"/>
      <c r="K1258"/>
      <c r="L1258"/>
      <c r="M1258"/>
      <c r="N1258"/>
      <c r="W1258"/>
    </row>
    <row r="1259" spans="8:23" x14ac:dyDescent="0.35">
      <c r="H1259"/>
      <c r="I1259"/>
      <c r="J1259"/>
      <c r="K1259"/>
      <c r="L1259"/>
      <c r="M1259"/>
      <c r="N1259"/>
      <c r="W1259"/>
    </row>
    <row r="1260" spans="8:23" x14ac:dyDescent="0.35">
      <c r="H1260"/>
      <c r="I1260"/>
      <c r="J1260"/>
      <c r="K1260"/>
      <c r="L1260"/>
      <c r="M1260"/>
      <c r="N1260"/>
      <c r="W1260"/>
    </row>
    <row r="1261" spans="8:23" x14ac:dyDescent="0.35">
      <c r="H1261"/>
      <c r="I1261"/>
      <c r="J1261"/>
      <c r="K1261"/>
      <c r="L1261"/>
      <c r="M1261"/>
      <c r="N1261"/>
      <c r="W1261"/>
    </row>
    <row r="1262" spans="8:23" x14ac:dyDescent="0.35">
      <c r="H1262"/>
      <c r="I1262"/>
      <c r="J1262"/>
      <c r="K1262"/>
      <c r="L1262"/>
      <c r="M1262"/>
      <c r="N1262"/>
      <c r="W1262"/>
    </row>
    <row r="1263" spans="8:23" x14ac:dyDescent="0.35">
      <c r="H1263"/>
      <c r="I1263"/>
      <c r="J1263"/>
      <c r="K1263"/>
      <c r="L1263"/>
      <c r="M1263"/>
      <c r="N1263"/>
      <c r="W1263"/>
    </row>
    <row r="1264" spans="8:23" x14ac:dyDescent="0.35">
      <c r="H1264"/>
      <c r="I1264"/>
      <c r="J1264"/>
      <c r="K1264"/>
      <c r="L1264"/>
      <c r="M1264"/>
      <c r="N1264"/>
      <c r="W1264"/>
    </row>
    <row r="1265" spans="8:23" x14ac:dyDescent="0.35">
      <c r="H1265"/>
      <c r="I1265"/>
      <c r="J1265"/>
      <c r="K1265"/>
      <c r="L1265"/>
      <c r="M1265"/>
      <c r="N1265"/>
      <c r="W1265"/>
    </row>
    <row r="1266" spans="8:23" x14ac:dyDescent="0.35">
      <c r="H1266"/>
      <c r="I1266"/>
      <c r="J1266"/>
      <c r="K1266"/>
      <c r="L1266"/>
      <c r="M1266"/>
      <c r="N1266"/>
      <c r="W1266"/>
    </row>
    <row r="1267" spans="8:23" x14ac:dyDescent="0.35">
      <c r="H1267"/>
      <c r="I1267"/>
      <c r="J1267"/>
      <c r="K1267"/>
      <c r="L1267"/>
      <c r="M1267"/>
      <c r="N1267"/>
      <c r="W1267"/>
    </row>
    <row r="1268" spans="8:23" x14ac:dyDescent="0.35">
      <c r="H1268"/>
      <c r="I1268"/>
      <c r="J1268"/>
      <c r="K1268"/>
      <c r="L1268"/>
      <c r="M1268"/>
      <c r="N1268"/>
      <c r="W1268"/>
    </row>
    <row r="1269" spans="8:23" x14ac:dyDescent="0.35">
      <c r="H1269"/>
      <c r="I1269"/>
      <c r="J1269"/>
      <c r="K1269"/>
      <c r="L1269"/>
      <c r="M1269"/>
      <c r="N1269"/>
      <c r="W1269"/>
    </row>
    <row r="1270" spans="8:23" x14ac:dyDescent="0.35">
      <c r="H1270"/>
      <c r="I1270"/>
      <c r="J1270"/>
      <c r="K1270"/>
      <c r="L1270"/>
      <c r="M1270"/>
      <c r="N1270"/>
      <c r="W1270"/>
    </row>
    <row r="1271" spans="8:23" x14ac:dyDescent="0.35">
      <c r="H1271"/>
      <c r="I1271"/>
      <c r="J1271"/>
      <c r="K1271"/>
      <c r="L1271"/>
      <c r="M1271"/>
      <c r="N1271"/>
      <c r="W1271"/>
    </row>
    <row r="1272" spans="8:23" x14ac:dyDescent="0.35">
      <c r="H1272"/>
      <c r="I1272"/>
      <c r="J1272"/>
      <c r="K1272"/>
      <c r="L1272"/>
      <c r="M1272"/>
      <c r="N1272"/>
      <c r="W1272"/>
    </row>
    <row r="1273" spans="8:23" x14ac:dyDescent="0.35">
      <c r="H1273"/>
      <c r="I1273"/>
      <c r="J1273"/>
      <c r="K1273"/>
      <c r="L1273"/>
      <c r="M1273"/>
      <c r="N1273"/>
      <c r="W1273"/>
    </row>
    <row r="1274" spans="8:23" x14ac:dyDescent="0.35">
      <c r="H1274"/>
      <c r="I1274"/>
      <c r="J1274"/>
      <c r="K1274"/>
      <c r="L1274"/>
      <c r="M1274"/>
      <c r="N1274"/>
      <c r="W1274"/>
    </row>
    <row r="1275" spans="8:23" x14ac:dyDescent="0.35">
      <c r="H1275"/>
      <c r="I1275"/>
      <c r="J1275"/>
      <c r="K1275"/>
      <c r="L1275"/>
      <c r="M1275"/>
      <c r="N1275"/>
      <c r="W1275"/>
    </row>
    <row r="1276" spans="8:23" x14ac:dyDescent="0.35">
      <c r="H1276"/>
      <c r="I1276"/>
      <c r="J1276"/>
      <c r="K1276"/>
      <c r="L1276"/>
      <c r="M1276"/>
      <c r="N1276"/>
      <c r="W1276"/>
    </row>
    <row r="1277" spans="8:23" x14ac:dyDescent="0.35">
      <c r="H1277"/>
      <c r="I1277"/>
      <c r="J1277"/>
      <c r="K1277"/>
      <c r="L1277"/>
      <c r="M1277"/>
      <c r="N1277"/>
      <c r="W1277"/>
    </row>
    <row r="1278" spans="8:23" x14ac:dyDescent="0.35">
      <c r="H1278"/>
      <c r="I1278"/>
      <c r="J1278"/>
      <c r="K1278"/>
      <c r="L1278"/>
      <c r="M1278"/>
      <c r="N1278"/>
      <c r="W1278"/>
    </row>
    <row r="1279" spans="8:23" x14ac:dyDescent="0.35">
      <c r="H1279"/>
      <c r="I1279"/>
      <c r="J1279"/>
      <c r="K1279"/>
      <c r="L1279"/>
      <c r="M1279"/>
      <c r="N1279"/>
      <c r="W1279"/>
    </row>
    <row r="1280" spans="8:23" x14ac:dyDescent="0.35">
      <c r="H1280"/>
      <c r="I1280"/>
      <c r="J1280"/>
      <c r="K1280"/>
      <c r="L1280"/>
      <c r="M1280"/>
      <c r="N1280"/>
      <c r="W1280"/>
    </row>
    <row r="1281" spans="8:23" x14ac:dyDescent="0.35">
      <c r="H1281"/>
      <c r="I1281"/>
      <c r="J1281"/>
      <c r="K1281"/>
      <c r="L1281"/>
      <c r="M1281"/>
      <c r="N1281"/>
      <c r="W1281"/>
    </row>
    <row r="1282" spans="8:23" x14ac:dyDescent="0.35">
      <c r="H1282"/>
      <c r="I1282"/>
      <c r="J1282"/>
      <c r="K1282"/>
      <c r="L1282"/>
      <c r="M1282"/>
      <c r="N1282"/>
      <c r="W1282"/>
    </row>
    <row r="1283" spans="8:23" x14ac:dyDescent="0.35">
      <c r="H1283"/>
      <c r="I1283"/>
      <c r="J1283"/>
      <c r="K1283"/>
      <c r="L1283"/>
      <c r="M1283"/>
      <c r="N1283"/>
      <c r="W1283"/>
    </row>
    <row r="1284" spans="8:23" x14ac:dyDescent="0.35">
      <c r="H1284"/>
      <c r="I1284"/>
      <c r="J1284"/>
      <c r="K1284"/>
      <c r="L1284"/>
      <c r="M1284"/>
      <c r="N1284"/>
      <c r="W1284"/>
    </row>
    <row r="1285" spans="8:23" x14ac:dyDescent="0.35">
      <c r="H1285"/>
      <c r="I1285"/>
      <c r="J1285"/>
      <c r="K1285"/>
      <c r="L1285"/>
      <c r="M1285"/>
      <c r="N1285"/>
      <c r="W1285"/>
    </row>
    <row r="1286" spans="8:23" x14ac:dyDescent="0.35">
      <c r="H1286"/>
      <c r="I1286"/>
      <c r="J1286"/>
      <c r="K1286"/>
      <c r="L1286"/>
      <c r="M1286"/>
      <c r="N1286"/>
      <c r="W1286"/>
    </row>
    <row r="1287" spans="8:23" x14ac:dyDescent="0.35">
      <c r="H1287"/>
      <c r="I1287"/>
      <c r="J1287"/>
      <c r="K1287"/>
      <c r="L1287"/>
      <c r="M1287"/>
      <c r="N1287"/>
      <c r="W1287"/>
    </row>
    <row r="1288" spans="8:23" x14ac:dyDescent="0.35">
      <c r="H1288"/>
      <c r="I1288"/>
      <c r="J1288"/>
      <c r="K1288"/>
      <c r="L1288"/>
      <c r="M1288"/>
      <c r="N1288"/>
      <c r="W1288"/>
    </row>
    <row r="1289" spans="8:23" x14ac:dyDescent="0.35">
      <c r="H1289"/>
      <c r="I1289"/>
      <c r="J1289"/>
      <c r="K1289"/>
      <c r="L1289"/>
      <c r="M1289"/>
      <c r="N1289"/>
      <c r="W1289"/>
    </row>
    <row r="1290" spans="8:23" x14ac:dyDescent="0.35">
      <c r="H1290"/>
      <c r="I1290"/>
      <c r="J1290"/>
      <c r="K1290"/>
      <c r="L1290"/>
      <c r="M1290"/>
      <c r="N1290"/>
      <c r="W1290"/>
    </row>
    <row r="1291" spans="8:23" x14ac:dyDescent="0.35">
      <c r="H1291"/>
      <c r="I1291"/>
      <c r="J1291"/>
      <c r="K1291"/>
      <c r="L1291"/>
      <c r="M1291"/>
      <c r="N1291"/>
      <c r="W1291"/>
    </row>
    <row r="1292" spans="8:23" x14ac:dyDescent="0.35">
      <c r="H1292"/>
      <c r="I1292"/>
      <c r="J1292"/>
      <c r="K1292"/>
      <c r="L1292"/>
      <c r="M1292"/>
      <c r="N1292"/>
      <c r="W1292"/>
    </row>
    <row r="1293" spans="8:23" x14ac:dyDescent="0.35">
      <c r="H1293"/>
      <c r="I1293"/>
      <c r="J1293"/>
      <c r="K1293"/>
      <c r="L1293"/>
      <c r="M1293"/>
      <c r="N1293"/>
      <c r="W1293"/>
    </row>
    <row r="1294" spans="8:23" x14ac:dyDescent="0.35">
      <c r="H1294"/>
      <c r="I1294"/>
      <c r="J1294"/>
      <c r="K1294"/>
      <c r="L1294"/>
      <c r="M1294"/>
      <c r="N1294"/>
      <c r="W1294"/>
    </row>
    <row r="1295" spans="8:23" x14ac:dyDescent="0.35">
      <c r="H1295"/>
      <c r="I1295"/>
      <c r="J1295"/>
      <c r="K1295"/>
      <c r="L1295"/>
      <c r="M1295"/>
      <c r="N1295"/>
      <c r="W1295"/>
    </row>
    <row r="1296" spans="8:23" x14ac:dyDescent="0.35">
      <c r="H1296"/>
      <c r="I1296"/>
      <c r="J1296"/>
      <c r="K1296"/>
      <c r="L1296"/>
      <c r="M1296"/>
      <c r="N1296"/>
      <c r="W1296"/>
    </row>
    <row r="1297" spans="8:23" x14ac:dyDescent="0.35">
      <c r="H1297"/>
      <c r="I1297"/>
      <c r="J1297"/>
      <c r="K1297"/>
      <c r="L1297"/>
      <c r="M1297"/>
      <c r="N1297"/>
      <c r="W1297"/>
    </row>
    <row r="1298" spans="8:23" x14ac:dyDescent="0.35">
      <c r="H1298"/>
      <c r="I1298"/>
      <c r="J1298"/>
      <c r="K1298"/>
      <c r="L1298"/>
      <c r="M1298"/>
      <c r="N1298"/>
      <c r="W1298"/>
    </row>
    <row r="1299" spans="8:23" x14ac:dyDescent="0.35">
      <c r="H1299"/>
      <c r="I1299"/>
      <c r="J1299"/>
      <c r="K1299"/>
      <c r="L1299"/>
      <c r="M1299"/>
      <c r="N1299"/>
      <c r="W1299"/>
    </row>
    <row r="1300" spans="8:23" x14ac:dyDescent="0.35">
      <c r="H1300"/>
      <c r="I1300"/>
      <c r="J1300"/>
      <c r="K1300"/>
      <c r="L1300"/>
      <c r="M1300"/>
      <c r="N1300"/>
      <c r="W1300"/>
    </row>
    <row r="1301" spans="8:23" x14ac:dyDescent="0.35">
      <c r="H1301"/>
      <c r="I1301"/>
      <c r="J1301"/>
      <c r="K1301"/>
      <c r="L1301"/>
      <c r="M1301"/>
      <c r="N1301"/>
      <c r="W1301"/>
    </row>
    <row r="1302" spans="8:23" x14ac:dyDescent="0.35">
      <c r="H1302"/>
      <c r="I1302"/>
      <c r="J1302"/>
      <c r="K1302"/>
      <c r="L1302"/>
      <c r="M1302"/>
      <c r="N1302"/>
      <c r="W1302"/>
    </row>
    <row r="1303" spans="8:23" x14ac:dyDescent="0.35">
      <c r="H1303"/>
      <c r="I1303"/>
      <c r="J1303"/>
      <c r="K1303"/>
      <c r="L1303"/>
      <c r="M1303"/>
      <c r="N1303"/>
      <c r="W1303"/>
    </row>
    <row r="1304" spans="8:23" x14ac:dyDescent="0.35">
      <c r="H1304"/>
      <c r="I1304"/>
      <c r="J1304"/>
      <c r="K1304"/>
      <c r="L1304"/>
      <c r="M1304"/>
      <c r="N1304"/>
      <c r="W1304"/>
    </row>
    <row r="1305" spans="8:23" x14ac:dyDescent="0.35">
      <c r="H1305"/>
      <c r="I1305"/>
      <c r="J1305"/>
      <c r="K1305"/>
      <c r="L1305"/>
      <c r="M1305"/>
      <c r="N1305"/>
      <c r="W1305"/>
    </row>
    <row r="1306" spans="8:23" x14ac:dyDescent="0.35">
      <c r="H1306"/>
      <c r="I1306"/>
      <c r="J1306"/>
      <c r="K1306"/>
      <c r="L1306"/>
      <c r="M1306"/>
      <c r="N1306"/>
      <c r="W1306"/>
    </row>
    <row r="1307" spans="8:23" x14ac:dyDescent="0.35">
      <c r="H1307"/>
      <c r="I1307"/>
      <c r="J1307"/>
      <c r="K1307"/>
      <c r="L1307"/>
      <c r="M1307"/>
      <c r="N1307"/>
      <c r="W1307"/>
    </row>
    <row r="1308" spans="8:23" x14ac:dyDescent="0.35">
      <c r="H1308"/>
      <c r="I1308"/>
      <c r="J1308"/>
      <c r="K1308"/>
      <c r="L1308"/>
      <c r="M1308"/>
      <c r="N1308"/>
      <c r="W1308"/>
    </row>
    <row r="1309" spans="8:23" x14ac:dyDescent="0.35">
      <c r="H1309"/>
      <c r="I1309"/>
      <c r="J1309"/>
      <c r="K1309"/>
      <c r="L1309"/>
      <c r="M1309"/>
      <c r="N1309"/>
      <c r="W1309"/>
    </row>
    <row r="1310" spans="8:23" x14ac:dyDescent="0.35">
      <c r="H1310"/>
      <c r="I1310"/>
      <c r="J1310"/>
      <c r="K1310"/>
      <c r="L1310"/>
      <c r="M1310"/>
      <c r="N1310"/>
      <c r="W1310"/>
    </row>
    <row r="1311" spans="8:23" x14ac:dyDescent="0.35">
      <c r="H1311"/>
      <c r="I1311"/>
      <c r="J1311"/>
      <c r="K1311"/>
      <c r="L1311"/>
      <c r="M1311"/>
      <c r="N1311"/>
      <c r="W1311"/>
    </row>
    <row r="1312" spans="8:23" x14ac:dyDescent="0.35">
      <c r="H1312"/>
      <c r="I1312"/>
      <c r="J1312"/>
      <c r="K1312"/>
      <c r="L1312"/>
      <c r="M1312"/>
      <c r="N1312"/>
      <c r="W1312"/>
    </row>
    <row r="1313" spans="8:23" x14ac:dyDescent="0.35">
      <c r="H1313"/>
      <c r="I1313"/>
      <c r="J1313"/>
      <c r="K1313"/>
      <c r="L1313"/>
      <c r="M1313"/>
      <c r="N1313"/>
      <c r="W1313"/>
    </row>
    <row r="1314" spans="8:23" x14ac:dyDescent="0.35">
      <c r="H1314"/>
      <c r="I1314"/>
      <c r="J1314"/>
      <c r="K1314"/>
      <c r="L1314"/>
      <c r="M1314"/>
      <c r="N1314"/>
      <c r="W1314"/>
    </row>
    <row r="1315" spans="8:23" x14ac:dyDescent="0.35">
      <c r="H1315"/>
      <c r="I1315"/>
      <c r="J1315"/>
      <c r="K1315"/>
      <c r="L1315"/>
      <c r="M1315"/>
      <c r="N1315"/>
      <c r="W1315"/>
    </row>
    <row r="1316" spans="8:23" x14ac:dyDescent="0.35">
      <c r="H1316"/>
      <c r="I1316"/>
      <c r="J1316"/>
      <c r="K1316"/>
      <c r="L1316"/>
      <c r="M1316"/>
      <c r="N1316"/>
      <c r="W1316"/>
    </row>
    <row r="1317" spans="8:23" x14ac:dyDescent="0.35">
      <c r="H1317"/>
      <c r="I1317"/>
      <c r="J1317"/>
      <c r="K1317"/>
      <c r="L1317"/>
      <c r="M1317"/>
      <c r="N1317"/>
      <c r="W1317"/>
    </row>
    <row r="1318" spans="8:23" x14ac:dyDescent="0.35">
      <c r="H1318"/>
      <c r="I1318"/>
      <c r="J1318"/>
      <c r="K1318"/>
      <c r="L1318"/>
      <c r="M1318"/>
      <c r="N1318"/>
      <c r="W1318"/>
    </row>
    <row r="1319" spans="8:23" x14ac:dyDescent="0.35">
      <c r="H1319"/>
      <c r="I1319"/>
      <c r="J1319"/>
      <c r="K1319"/>
      <c r="L1319"/>
      <c r="M1319"/>
      <c r="N1319"/>
      <c r="W1319"/>
    </row>
    <row r="1320" spans="8:23" x14ac:dyDescent="0.35">
      <c r="H1320"/>
      <c r="I1320"/>
      <c r="J1320"/>
      <c r="K1320"/>
      <c r="L1320"/>
      <c r="M1320"/>
      <c r="N1320"/>
      <c r="W1320"/>
    </row>
    <row r="1321" spans="8:23" x14ac:dyDescent="0.35">
      <c r="H1321"/>
      <c r="I1321"/>
      <c r="J1321"/>
      <c r="K1321"/>
      <c r="L1321"/>
      <c r="M1321"/>
      <c r="N1321"/>
      <c r="W1321"/>
    </row>
    <row r="1322" spans="8:23" x14ac:dyDescent="0.35">
      <c r="H1322"/>
      <c r="I1322"/>
      <c r="J1322"/>
      <c r="K1322"/>
      <c r="L1322"/>
      <c r="M1322"/>
      <c r="N1322"/>
      <c r="W1322"/>
    </row>
    <row r="1323" spans="8:23" x14ac:dyDescent="0.35">
      <c r="H1323"/>
      <c r="I1323"/>
      <c r="J1323"/>
      <c r="K1323"/>
      <c r="L1323"/>
      <c r="M1323"/>
      <c r="N1323"/>
      <c r="W1323"/>
    </row>
    <row r="1324" spans="8:23" x14ac:dyDescent="0.35">
      <c r="H1324"/>
      <c r="I1324"/>
      <c r="J1324"/>
      <c r="K1324"/>
      <c r="L1324"/>
      <c r="M1324"/>
      <c r="N1324"/>
      <c r="W1324"/>
    </row>
    <row r="1325" spans="8:23" x14ac:dyDescent="0.35">
      <c r="H1325"/>
      <c r="I1325"/>
      <c r="J1325"/>
      <c r="K1325"/>
      <c r="L1325"/>
      <c r="M1325"/>
      <c r="N1325"/>
      <c r="W1325"/>
    </row>
    <row r="1326" spans="8:23" x14ac:dyDescent="0.35">
      <c r="H1326"/>
      <c r="I1326"/>
      <c r="J1326"/>
      <c r="K1326"/>
      <c r="L1326"/>
      <c r="M1326"/>
      <c r="N1326"/>
      <c r="W1326"/>
    </row>
    <row r="1327" spans="8:23" x14ac:dyDescent="0.35">
      <c r="H1327"/>
      <c r="I1327"/>
      <c r="J1327"/>
      <c r="K1327"/>
      <c r="L1327"/>
      <c r="M1327"/>
      <c r="N1327"/>
      <c r="W1327"/>
    </row>
    <row r="1328" spans="8:23" x14ac:dyDescent="0.35">
      <c r="H1328"/>
      <c r="I1328"/>
      <c r="J1328"/>
      <c r="K1328"/>
      <c r="L1328"/>
      <c r="M1328"/>
      <c r="N1328"/>
      <c r="W1328"/>
    </row>
    <row r="1329" spans="8:23" x14ac:dyDescent="0.35">
      <c r="H1329"/>
      <c r="I1329"/>
      <c r="J1329"/>
      <c r="K1329"/>
      <c r="L1329"/>
      <c r="M1329"/>
      <c r="N1329"/>
      <c r="W1329"/>
    </row>
    <row r="1330" spans="8:23" x14ac:dyDescent="0.35">
      <c r="H1330"/>
      <c r="I1330"/>
      <c r="J1330"/>
      <c r="K1330"/>
      <c r="L1330"/>
      <c r="M1330"/>
      <c r="N1330"/>
      <c r="W1330"/>
    </row>
    <row r="1331" spans="8:23" x14ac:dyDescent="0.35">
      <c r="H1331"/>
      <c r="I1331"/>
      <c r="J1331"/>
      <c r="K1331"/>
      <c r="L1331"/>
      <c r="M1331"/>
      <c r="N1331"/>
      <c r="W1331"/>
    </row>
    <row r="1332" spans="8:23" x14ac:dyDescent="0.35">
      <c r="H1332"/>
      <c r="I1332"/>
      <c r="J1332"/>
      <c r="K1332"/>
      <c r="L1332"/>
      <c r="M1332"/>
      <c r="N1332"/>
      <c r="W1332"/>
    </row>
    <row r="1333" spans="8:23" x14ac:dyDescent="0.35">
      <c r="H1333"/>
      <c r="I1333"/>
      <c r="J1333"/>
      <c r="K1333"/>
      <c r="L1333"/>
      <c r="M1333"/>
      <c r="N1333"/>
      <c r="W1333"/>
    </row>
    <row r="1334" spans="8:23" x14ac:dyDescent="0.35">
      <c r="H1334"/>
      <c r="I1334"/>
      <c r="J1334"/>
      <c r="K1334"/>
      <c r="L1334"/>
      <c r="M1334"/>
      <c r="N1334"/>
      <c r="W1334"/>
    </row>
    <row r="1335" spans="8:23" x14ac:dyDescent="0.35">
      <c r="H1335"/>
      <c r="I1335"/>
      <c r="J1335"/>
      <c r="K1335"/>
      <c r="L1335"/>
      <c r="M1335"/>
      <c r="N1335"/>
      <c r="W1335"/>
    </row>
    <row r="1336" spans="8:23" x14ac:dyDescent="0.35">
      <c r="H1336"/>
      <c r="I1336"/>
      <c r="J1336"/>
      <c r="K1336"/>
      <c r="L1336"/>
      <c r="M1336"/>
      <c r="N1336"/>
      <c r="W1336"/>
    </row>
    <row r="1337" spans="8:23" x14ac:dyDescent="0.35">
      <c r="H1337"/>
      <c r="I1337"/>
      <c r="J1337"/>
      <c r="K1337"/>
      <c r="L1337"/>
      <c r="M1337"/>
      <c r="N1337"/>
      <c r="W1337"/>
    </row>
    <row r="1338" spans="8:23" x14ac:dyDescent="0.35">
      <c r="H1338"/>
      <c r="I1338"/>
      <c r="J1338"/>
      <c r="K1338"/>
      <c r="L1338"/>
      <c r="M1338"/>
      <c r="N1338"/>
      <c r="W1338"/>
    </row>
    <row r="1339" spans="8:23" x14ac:dyDescent="0.35">
      <c r="H1339"/>
      <c r="I1339"/>
      <c r="J1339"/>
      <c r="K1339"/>
      <c r="L1339"/>
      <c r="M1339"/>
      <c r="N1339"/>
      <c r="W1339"/>
    </row>
    <row r="1340" spans="8:23" x14ac:dyDescent="0.35">
      <c r="H1340"/>
      <c r="I1340"/>
      <c r="J1340"/>
      <c r="K1340"/>
      <c r="L1340"/>
      <c r="M1340"/>
      <c r="N1340"/>
      <c r="W1340"/>
    </row>
    <row r="1341" spans="8:23" x14ac:dyDescent="0.35">
      <c r="H1341"/>
      <c r="I1341"/>
      <c r="J1341"/>
      <c r="K1341"/>
      <c r="L1341"/>
      <c r="M1341"/>
      <c r="N1341"/>
      <c r="W1341"/>
    </row>
    <row r="1342" spans="8:23" x14ac:dyDescent="0.35">
      <c r="H1342"/>
      <c r="I1342"/>
      <c r="J1342"/>
      <c r="K1342"/>
      <c r="L1342"/>
      <c r="M1342"/>
      <c r="N1342"/>
      <c r="W1342"/>
    </row>
    <row r="1343" spans="8:23" x14ac:dyDescent="0.35">
      <c r="H1343"/>
      <c r="I1343"/>
      <c r="J1343"/>
      <c r="K1343"/>
      <c r="L1343"/>
      <c r="M1343"/>
      <c r="N1343"/>
      <c r="W1343"/>
    </row>
    <row r="1344" spans="8:23" x14ac:dyDescent="0.35">
      <c r="H1344"/>
      <c r="I1344"/>
      <c r="J1344"/>
      <c r="K1344"/>
      <c r="L1344"/>
      <c r="M1344"/>
      <c r="N1344"/>
      <c r="W1344"/>
    </row>
    <row r="1345" spans="8:23" x14ac:dyDescent="0.35">
      <c r="H1345"/>
      <c r="I1345"/>
      <c r="J1345"/>
      <c r="K1345"/>
      <c r="L1345"/>
      <c r="M1345"/>
      <c r="N1345"/>
      <c r="W1345"/>
    </row>
    <row r="1346" spans="8:23" x14ac:dyDescent="0.35">
      <c r="H1346"/>
      <c r="I1346"/>
      <c r="J1346"/>
      <c r="K1346"/>
      <c r="L1346"/>
      <c r="M1346"/>
      <c r="N1346"/>
      <c r="W1346"/>
    </row>
    <row r="1347" spans="8:23" x14ac:dyDescent="0.35">
      <c r="H1347"/>
      <c r="I1347"/>
      <c r="J1347"/>
      <c r="K1347"/>
      <c r="L1347"/>
      <c r="M1347"/>
      <c r="N1347"/>
      <c r="W1347"/>
    </row>
    <row r="1348" spans="8:23" x14ac:dyDescent="0.35">
      <c r="H1348"/>
      <c r="I1348"/>
      <c r="J1348"/>
      <c r="K1348"/>
      <c r="L1348"/>
      <c r="M1348"/>
      <c r="N1348"/>
      <c r="W1348"/>
    </row>
    <row r="1349" spans="8:23" x14ac:dyDescent="0.35">
      <c r="H1349"/>
      <c r="I1349"/>
      <c r="J1349"/>
      <c r="K1349"/>
      <c r="L1349"/>
      <c r="M1349"/>
      <c r="N1349"/>
      <c r="W1349"/>
    </row>
    <row r="1350" spans="8:23" x14ac:dyDescent="0.35">
      <c r="H1350"/>
      <c r="I1350"/>
      <c r="J1350"/>
      <c r="K1350"/>
      <c r="L1350"/>
      <c r="M1350"/>
      <c r="N1350"/>
      <c r="W1350"/>
    </row>
    <row r="1351" spans="8:23" x14ac:dyDescent="0.35">
      <c r="H1351"/>
      <c r="I1351"/>
      <c r="J1351"/>
      <c r="K1351"/>
      <c r="L1351"/>
      <c r="M1351"/>
      <c r="N1351"/>
      <c r="W1351"/>
    </row>
    <row r="1352" spans="8:23" x14ac:dyDescent="0.35">
      <c r="H1352"/>
      <c r="I1352"/>
      <c r="J1352"/>
      <c r="K1352"/>
      <c r="L1352"/>
      <c r="M1352"/>
      <c r="N1352"/>
      <c r="W1352"/>
    </row>
    <row r="1353" spans="8:23" x14ac:dyDescent="0.35">
      <c r="H1353"/>
      <c r="I1353"/>
      <c r="J1353"/>
      <c r="K1353"/>
      <c r="L1353"/>
      <c r="M1353"/>
      <c r="N1353"/>
      <c r="W1353"/>
    </row>
    <row r="1354" spans="8:23" x14ac:dyDescent="0.35">
      <c r="H1354"/>
      <c r="I1354"/>
      <c r="J1354"/>
      <c r="K1354"/>
      <c r="L1354"/>
      <c r="M1354"/>
      <c r="N1354"/>
      <c r="W1354"/>
    </row>
    <row r="1355" spans="8:23" x14ac:dyDescent="0.35">
      <c r="H1355"/>
      <c r="I1355"/>
      <c r="J1355"/>
      <c r="K1355"/>
      <c r="L1355"/>
      <c r="M1355"/>
      <c r="N1355"/>
      <c r="W1355"/>
    </row>
    <row r="1356" spans="8:23" x14ac:dyDescent="0.35">
      <c r="H1356"/>
      <c r="I1356"/>
      <c r="J1356"/>
      <c r="K1356"/>
      <c r="L1356"/>
      <c r="M1356"/>
      <c r="N1356"/>
      <c r="W1356"/>
    </row>
    <row r="1357" spans="8:23" x14ac:dyDescent="0.35">
      <c r="H1357"/>
      <c r="I1357"/>
      <c r="J1357"/>
      <c r="K1357"/>
      <c r="L1357"/>
      <c r="M1357"/>
      <c r="N1357"/>
      <c r="W1357"/>
    </row>
    <row r="1358" spans="8:23" x14ac:dyDescent="0.35">
      <c r="H1358"/>
      <c r="I1358"/>
      <c r="J1358"/>
      <c r="K1358"/>
      <c r="L1358"/>
      <c r="M1358"/>
      <c r="N1358"/>
      <c r="W1358"/>
    </row>
    <row r="1359" spans="8:23" x14ac:dyDescent="0.35">
      <c r="H1359"/>
      <c r="I1359"/>
      <c r="J1359"/>
      <c r="K1359"/>
      <c r="L1359"/>
      <c r="M1359"/>
      <c r="N1359"/>
      <c r="W1359"/>
    </row>
    <row r="1360" spans="8:23" x14ac:dyDescent="0.35">
      <c r="H1360"/>
      <c r="I1360"/>
      <c r="J1360"/>
      <c r="K1360"/>
      <c r="L1360"/>
      <c r="M1360"/>
      <c r="N1360"/>
      <c r="W1360"/>
    </row>
    <row r="1361" spans="8:23" x14ac:dyDescent="0.35">
      <c r="H1361"/>
      <c r="I1361"/>
      <c r="J1361"/>
      <c r="K1361"/>
      <c r="L1361"/>
      <c r="M1361"/>
      <c r="N1361"/>
      <c r="W1361"/>
    </row>
    <row r="1362" spans="8:23" x14ac:dyDescent="0.35">
      <c r="H1362"/>
      <c r="I1362"/>
      <c r="J1362"/>
      <c r="K1362"/>
      <c r="L1362"/>
      <c r="M1362"/>
      <c r="N1362"/>
      <c r="W1362"/>
    </row>
  </sheetData>
  <sortState xmlns:xlrd2="http://schemas.microsoft.com/office/spreadsheetml/2017/richdata2" ref="A2:V490">
    <sortCondition ref="G2:G490"/>
  </sortState>
  <phoneticPr fontId="2" type="noConversion"/>
  <hyperlinks>
    <hyperlink ref="AK515" r:id="rId1" xr:uid="{765C2098-DE7C-465F-A817-5BE3C2B84CD8}"/>
  </hyperlink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EEFDEB55-00DA-4BA7-A705-6AFBC1CF5080}">
          <xm:f>'Empathy Alone'!$V$1:$V$19</xm:f>
        </x15:webExtension>
        <x15:webExtension appRef="{C3669588-726E-4566-97A7-80427DA3D2E3}">
          <xm:f>'Empathy Alone'!$U$1:$U$19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92DB-A5AA-4E70-9084-C9738A72E8E5}">
  <dimension ref="A1:AF1371"/>
  <sheetViews>
    <sheetView tabSelected="1" zoomScale="55" zoomScaleNormal="55" workbookViewId="0">
      <selection activeCell="AB510" sqref="AB510"/>
    </sheetView>
  </sheetViews>
  <sheetFormatPr defaultColWidth="9.1796875" defaultRowHeight="14.5" x14ac:dyDescent="0.35"/>
  <cols>
    <col min="1" max="1" width="10.54296875" style="3" bestFit="1" customWidth="1"/>
    <col min="2" max="2" width="7.1796875" style="3" bestFit="1" customWidth="1"/>
    <col min="3" max="3" width="11" style="3" customWidth="1"/>
    <col min="4" max="4" width="12.81640625" style="3" bestFit="1" customWidth="1"/>
    <col min="5" max="5" width="8.1796875" style="3" bestFit="1" customWidth="1"/>
    <col min="6" max="9" width="9.26953125" style="3" bestFit="1" customWidth="1"/>
    <col min="10" max="10" width="8.1796875" style="3" bestFit="1" customWidth="1"/>
    <col min="11" max="11" width="9.26953125" style="3" bestFit="1" customWidth="1"/>
    <col min="12" max="12" width="13.26953125" style="3" bestFit="1" customWidth="1"/>
    <col min="13" max="13" width="13.7265625" style="3" customWidth="1"/>
    <col min="14" max="14" width="12.81640625" style="3" bestFit="1" customWidth="1"/>
    <col min="15" max="16" width="8.81640625" style="3" bestFit="1" customWidth="1"/>
    <col min="17" max="17" width="9" style="3" bestFit="1" customWidth="1"/>
    <col min="18" max="18" width="8.1796875" style="3" bestFit="1" customWidth="1"/>
    <col min="19" max="19" width="8.81640625" style="3" bestFit="1" customWidth="1"/>
    <col min="20" max="20" width="8.81640625" style="3" customWidth="1"/>
    <col min="21" max="21" width="9.26953125" style="3" bestFit="1" customWidth="1"/>
    <col min="22" max="22" width="9.1796875" style="3"/>
    <col min="23" max="23" width="9.26953125" style="3" bestFit="1" customWidth="1"/>
    <col min="24" max="16384" width="9.1796875" style="3"/>
  </cols>
  <sheetData>
    <row r="1" spans="1:32" ht="14.25" customHeight="1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9" t="s">
        <v>17</v>
      </c>
      <c r="T1" s="4" t="s">
        <v>68</v>
      </c>
      <c r="U1" s="4" t="s">
        <v>61</v>
      </c>
      <c r="V1" s="4" t="s">
        <v>62</v>
      </c>
      <c r="W1" s="4" t="s">
        <v>63</v>
      </c>
      <c r="X1" s="4" t="s">
        <v>64</v>
      </c>
      <c r="Y1" s="4" t="s">
        <v>65</v>
      </c>
      <c r="Z1" s="4" t="s">
        <v>66</v>
      </c>
      <c r="AA1" s="4" t="s">
        <v>67</v>
      </c>
      <c r="AB1" s="4"/>
      <c r="AC1" s="4"/>
      <c r="AD1" s="4"/>
      <c r="AE1" s="4"/>
    </row>
    <row r="2" spans="1:32" customFormat="1" ht="14.25" customHeight="1" x14ac:dyDescent="0.35">
      <c r="A2" s="30">
        <f t="shared" ref="A2:A33" si="0">IF(COUNTBLANK(J2:T2)&gt;0,99,1)</f>
        <v>1</v>
      </c>
      <c r="B2">
        <v>23</v>
      </c>
      <c r="C2">
        <v>4</v>
      </c>
      <c r="D2">
        <v>2</v>
      </c>
      <c r="E2">
        <v>5</v>
      </c>
      <c r="F2">
        <v>2</v>
      </c>
      <c r="G2">
        <v>1</v>
      </c>
      <c r="H2">
        <v>5</v>
      </c>
      <c r="I2">
        <v>3</v>
      </c>
      <c r="J2">
        <v>3</v>
      </c>
      <c r="K2">
        <v>1</v>
      </c>
      <c r="L2">
        <v>1</v>
      </c>
      <c r="M2">
        <v>2</v>
      </c>
      <c r="N2">
        <v>3</v>
      </c>
      <c r="O2">
        <v>6</v>
      </c>
      <c r="P2">
        <v>2</v>
      </c>
      <c r="Q2">
        <v>1</v>
      </c>
      <c r="R2">
        <v>1</v>
      </c>
      <c r="S2">
        <v>1</v>
      </c>
      <c r="T2" s="3">
        <f t="shared" ref="T2:T33" si="1">AVERAGE(U2:AA2)</f>
        <v>0.27254888530652382</v>
      </c>
      <c r="U2" s="32">
        <f t="shared" ref="U2:U33" si="2">IF(ISTEXT(C2),"",STANDARDIZE(C2,AVERAGE(C$2:C$497),STDEV(C$2:C$497)))</f>
        <v>-5.6401471461296142E-2</v>
      </c>
      <c r="V2" s="32">
        <f t="shared" ref="V2:V33" si="3">IF(ISTEXT(D2),"",-1*STANDARDIZE(D2,AVERAGE(D$2:D$497),STDEV(D$2:D$497)))</f>
        <v>0.26360832519077404</v>
      </c>
      <c r="W2" s="32">
        <f t="shared" ref="W2:W33" si="4">IF(ISTEXT(E2),"",STANDARDIZE(E2,AVERAGE(E$2:E$497),STDEV(E$2:E$497)))</f>
        <v>0.80698132232978881</v>
      </c>
      <c r="X2" s="32">
        <f t="shared" ref="X2:X33" si="5">IF(ISTEXT(F2),"",-1*STANDARDIZE(F2,AVERAGE(F$2:F$497),STDEV(F$2:F$497)))</f>
        <v>0.21586162773242673</v>
      </c>
      <c r="Y2" s="32">
        <f t="shared" ref="Y2:Y33" si="6">IF(ISTEXT(G2),"",-1*STANDARDIZE(G2,AVERAGE(G$2:G$497),STDEV(G$2:G$497)))</f>
        <v>0.86866731645372852</v>
      </c>
      <c r="Z2" s="32">
        <f t="shared" ref="Z2:Z33" si="7">IF(ISTEXT(H2),"",STANDARDIZE(H2,AVERAGE(H$2:H$497),STDEV(H$2:H$497)))</f>
        <v>0.81206041627470116</v>
      </c>
      <c r="AA2" s="32">
        <f t="shared" ref="AA2:AA33" si="8">IF(ISTEXT(I2),"",STANDARDIZE(I2,AVERAGE(I$2:I$497),STDEV(I$2:I$497)))</f>
        <v>-1.002935339374456</v>
      </c>
      <c r="AF2" s="40"/>
    </row>
    <row r="3" spans="1:32" customFormat="1" ht="14.25" customHeight="1" x14ac:dyDescent="0.35">
      <c r="A3" s="30">
        <f t="shared" si="0"/>
        <v>1</v>
      </c>
      <c r="B3">
        <v>32</v>
      </c>
      <c r="C3">
        <v>4</v>
      </c>
      <c r="D3">
        <v>2</v>
      </c>
      <c r="E3">
        <v>4</v>
      </c>
      <c r="F3">
        <v>3</v>
      </c>
      <c r="G3">
        <v>2</v>
      </c>
      <c r="H3">
        <v>4</v>
      </c>
      <c r="I3">
        <v>3</v>
      </c>
      <c r="J3">
        <v>1</v>
      </c>
      <c r="K3">
        <v>1</v>
      </c>
      <c r="L3">
        <v>1</v>
      </c>
      <c r="M3">
        <v>2</v>
      </c>
      <c r="N3">
        <v>0</v>
      </c>
      <c r="O3">
        <v>6</v>
      </c>
      <c r="P3">
        <v>5</v>
      </c>
      <c r="Q3">
        <v>2</v>
      </c>
      <c r="R3">
        <v>3</v>
      </c>
      <c r="S3">
        <v>3</v>
      </c>
      <c r="T3" s="3">
        <f t="shared" si="1"/>
        <v>-0.23038900262547199</v>
      </c>
      <c r="U3" s="32">
        <f t="shared" si="2"/>
        <v>-5.6401471461296142E-2</v>
      </c>
      <c r="V3" s="32">
        <f t="shared" si="3"/>
        <v>0.26360832519077404</v>
      </c>
      <c r="W3" s="32">
        <f t="shared" si="4"/>
        <v>-9.6984149849158471E-2</v>
      </c>
      <c r="X3" s="32">
        <f t="shared" si="5"/>
        <v>-0.61891576076406762</v>
      </c>
      <c r="Y3" s="32">
        <f t="shared" si="6"/>
        <v>2.4129647679270151E-2</v>
      </c>
      <c r="Z3" s="32">
        <f t="shared" si="7"/>
        <v>-0.12522426979936985</v>
      </c>
      <c r="AA3" s="32">
        <f t="shared" si="8"/>
        <v>-1.002935339374456</v>
      </c>
      <c r="AF3" s="40"/>
    </row>
    <row r="4" spans="1:32" customFormat="1" ht="14.25" customHeight="1" x14ac:dyDescent="0.35">
      <c r="A4" s="30">
        <f t="shared" si="0"/>
        <v>1</v>
      </c>
      <c r="B4">
        <v>37</v>
      </c>
      <c r="C4">
        <v>4</v>
      </c>
      <c r="D4">
        <v>2</v>
      </c>
      <c r="E4">
        <v>5</v>
      </c>
      <c r="F4">
        <v>1</v>
      </c>
      <c r="G4">
        <v>1</v>
      </c>
      <c r="H4">
        <v>5</v>
      </c>
      <c r="I4">
        <v>4</v>
      </c>
      <c r="J4">
        <v>3</v>
      </c>
      <c r="K4">
        <v>1</v>
      </c>
      <c r="L4">
        <v>1</v>
      </c>
      <c r="M4">
        <v>4</v>
      </c>
      <c r="N4">
        <v>15</v>
      </c>
      <c r="O4">
        <v>6</v>
      </c>
      <c r="P4">
        <v>3</v>
      </c>
      <c r="Q4">
        <v>1</v>
      </c>
      <c r="R4">
        <v>3</v>
      </c>
      <c r="S4">
        <v>2</v>
      </c>
      <c r="T4" s="3">
        <f t="shared" si="1"/>
        <v>0.52098650676760394</v>
      </c>
      <c r="U4" s="32">
        <f t="shared" si="2"/>
        <v>-5.6401471461296142E-2</v>
      </c>
      <c r="V4" s="32">
        <f t="shared" si="3"/>
        <v>0.26360832519077404</v>
      </c>
      <c r="W4" s="32">
        <f t="shared" si="4"/>
        <v>0.80698132232978881</v>
      </c>
      <c r="X4" s="32">
        <f t="shared" si="5"/>
        <v>1.0506390162289212</v>
      </c>
      <c r="Y4" s="32">
        <f t="shared" si="6"/>
        <v>0.86866731645372852</v>
      </c>
      <c r="Z4" s="32">
        <f t="shared" si="7"/>
        <v>0.81206041627470116</v>
      </c>
      <c r="AA4" s="32">
        <f t="shared" si="8"/>
        <v>-9.8649377643389324E-2</v>
      </c>
      <c r="AF4" s="40"/>
    </row>
    <row r="5" spans="1:32" customFormat="1" ht="14.25" customHeight="1" x14ac:dyDescent="0.35">
      <c r="A5" s="30">
        <f t="shared" si="0"/>
        <v>1</v>
      </c>
      <c r="B5">
        <v>56</v>
      </c>
      <c r="C5">
        <v>5</v>
      </c>
      <c r="D5">
        <v>1</v>
      </c>
      <c r="E5">
        <v>5</v>
      </c>
      <c r="F5">
        <v>1</v>
      </c>
      <c r="G5">
        <v>5</v>
      </c>
      <c r="H5">
        <v>5</v>
      </c>
      <c r="I5">
        <v>5</v>
      </c>
      <c r="J5">
        <v>1</v>
      </c>
      <c r="K5">
        <v>1</v>
      </c>
      <c r="L5">
        <v>1</v>
      </c>
      <c r="M5">
        <v>3</v>
      </c>
      <c r="N5">
        <v>0</v>
      </c>
      <c r="O5">
        <v>6</v>
      </c>
      <c r="P5">
        <v>6</v>
      </c>
      <c r="Q5">
        <v>1</v>
      </c>
      <c r="R5">
        <v>2</v>
      </c>
      <c r="S5">
        <v>1</v>
      </c>
      <c r="T5" s="3">
        <f t="shared" si="1"/>
        <v>0.40740600099037177</v>
      </c>
      <c r="U5" s="32">
        <f t="shared" si="2"/>
        <v>0.84420266961423651</v>
      </c>
      <c r="V5" s="32">
        <f t="shared" si="3"/>
        <v>1.0418053570413823</v>
      </c>
      <c r="W5" s="32">
        <f t="shared" si="4"/>
        <v>0.80698132232978881</v>
      </c>
      <c r="X5" s="32">
        <f t="shared" si="5"/>
        <v>1.0506390162289212</v>
      </c>
      <c r="Y5" s="32">
        <f t="shared" si="6"/>
        <v>-2.509483358644105</v>
      </c>
      <c r="Z5" s="32">
        <f t="shared" si="7"/>
        <v>0.81206041627470116</v>
      </c>
      <c r="AA5" s="32">
        <f t="shared" si="8"/>
        <v>0.80563658408767735</v>
      </c>
      <c r="AF5" s="40"/>
    </row>
    <row r="6" spans="1:32" customFormat="1" ht="14.25" customHeight="1" x14ac:dyDescent="0.35">
      <c r="A6" s="30">
        <f t="shared" si="0"/>
        <v>1</v>
      </c>
      <c r="B6">
        <v>64</v>
      </c>
      <c r="C6">
        <v>4</v>
      </c>
      <c r="D6">
        <v>4</v>
      </c>
      <c r="E6">
        <v>4</v>
      </c>
      <c r="F6">
        <v>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2</v>
      </c>
      <c r="N6">
        <v>0</v>
      </c>
      <c r="O6">
        <v>5</v>
      </c>
      <c r="P6">
        <v>6</v>
      </c>
      <c r="Q6">
        <v>2</v>
      </c>
      <c r="R6">
        <v>3</v>
      </c>
      <c r="S6">
        <v>2</v>
      </c>
      <c r="T6" s="3">
        <f t="shared" si="1"/>
        <v>-1.2306514531403425</v>
      </c>
      <c r="U6" s="32">
        <f t="shared" si="2"/>
        <v>-5.6401471461296142E-2</v>
      </c>
      <c r="V6" s="32">
        <f t="shared" si="3"/>
        <v>-1.2927857385104427</v>
      </c>
      <c r="W6" s="32">
        <f t="shared" si="4"/>
        <v>-9.6984149849158471E-2</v>
      </c>
      <c r="X6" s="32">
        <f t="shared" si="5"/>
        <v>-2.2884705377570564</v>
      </c>
      <c r="Y6" s="32">
        <f t="shared" si="6"/>
        <v>0.86866731645372852</v>
      </c>
      <c r="Z6" s="32">
        <f t="shared" si="7"/>
        <v>-2.9370783280215829</v>
      </c>
      <c r="AA6" s="32">
        <f t="shared" si="8"/>
        <v>-2.8115072628365891</v>
      </c>
      <c r="AF6" s="40"/>
    </row>
    <row r="7" spans="1:32" customFormat="1" ht="14.25" customHeight="1" x14ac:dyDescent="0.35">
      <c r="A7" s="30">
        <f t="shared" si="0"/>
        <v>1</v>
      </c>
      <c r="B7">
        <v>82</v>
      </c>
      <c r="C7">
        <v>4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2</v>
      </c>
      <c r="K7">
        <v>1</v>
      </c>
      <c r="L7">
        <v>1</v>
      </c>
      <c r="M7">
        <v>2</v>
      </c>
      <c r="N7">
        <v>25</v>
      </c>
      <c r="O7">
        <v>6</v>
      </c>
      <c r="P7">
        <v>5</v>
      </c>
      <c r="Q7">
        <v>2</v>
      </c>
      <c r="R7">
        <v>3</v>
      </c>
      <c r="S7">
        <v>3</v>
      </c>
      <c r="T7" s="3">
        <f t="shared" si="1"/>
        <v>-0.64295140221876301</v>
      </c>
      <c r="U7" s="32">
        <f t="shared" si="2"/>
        <v>-5.6401471461296142E-2</v>
      </c>
      <c r="V7" s="32">
        <f t="shared" si="3"/>
        <v>-2.0709827703610508</v>
      </c>
      <c r="W7" s="32">
        <f t="shared" si="4"/>
        <v>0.80698132232978881</v>
      </c>
      <c r="X7" s="32">
        <f t="shared" si="5"/>
        <v>-2.2884705377570564</v>
      </c>
      <c r="Y7" s="32">
        <f t="shared" si="6"/>
        <v>-2.509483358644105</v>
      </c>
      <c r="Z7" s="32">
        <f t="shared" si="7"/>
        <v>0.81206041627470116</v>
      </c>
      <c r="AA7" s="32">
        <f t="shared" si="8"/>
        <v>0.80563658408767735</v>
      </c>
      <c r="AF7" s="40"/>
    </row>
    <row r="8" spans="1:32" customFormat="1" ht="14.25" customHeight="1" x14ac:dyDescent="0.35">
      <c r="A8" s="30">
        <f t="shared" si="0"/>
        <v>1</v>
      </c>
      <c r="B8">
        <v>136</v>
      </c>
      <c r="C8">
        <v>4</v>
      </c>
      <c r="D8">
        <v>2</v>
      </c>
      <c r="E8">
        <v>4</v>
      </c>
      <c r="F8">
        <v>2</v>
      </c>
      <c r="G8">
        <v>1</v>
      </c>
      <c r="H8">
        <v>5</v>
      </c>
      <c r="I8">
        <v>4</v>
      </c>
      <c r="J8">
        <v>2</v>
      </c>
      <c r="K8">
        <v>2</v>
      </c>
      <c r="L8">
        <v>2</v>
      </c>
      <c r="M8">
        <v>2</v>
      </c>
      <c r="N8">
        <v>2</v>
      </c>
      <c r="O8">
        <v>6</v>
      </c>
      <c r="P8">
        <v>6</v>
      </c>
      <c r="Q8">
        <v>2</v>
      </c>
      <c r="R8">
        <v>3</v>
      </c>
      <c r="S8">
        <v>2</v>
      </c>
      <c r="T8" s="3">
        <f t="shared" si="1"/>
        <v>0.27259466952825523</v>
      </c>
      <c r="U8" s="32">
        <f t="shared" si="2"/>
        <v>-5.6401471461296142E-2</v>
      </c>
      <c r="V8" s="32">
        <f t="shared" si="3"/>
        <v>0.26360832519077404</v>
      </c>
      <c r="W8" s="32">
        <f t="shared" si="4"/>
        <v>-9.6984149849158471E-2</v>
      </c>
      <c r="X8" s="32">
        <f t="shared" si="5"/>
        <v>0.21586162773242673</v>
      </c>
      <c r="Y8" s="32">
        <f t="shared" si="6"/>
        <v>0.86866731645372852</v>
      </c>
      <c r="Z8" s="32">
        <f t="shared" si="7"/>
        <v>0.81206041627470116</v>
      </c>
      <c r="AA8" s="32">
        <f t="shared" si="8"/>
        <v>-9.8649377643389324E-2</v>
      </c>
      <c r="AF8" s="40"/>
    </row>
    <row r="9" spans="1:32" customFormat="1" ht="14.25" customHeight="1" x14ac:dyDescent="0.35">
      <c r="A9" s="30">
        <f t="shared" si="0"/>
        <v>1</v>
      </c>
      <c r="B9">
        <v>159</v>
      </c>
      <c r="C9">
        <v>5</v>
      </c>
      <c r="D9">
        <v>1</v>
      </c>
      <c r="E9">
        <v>4</v>
      </c>
      <c r="F9">
        <v>1</v>
      </c>
      <c r="G9">
        <v>1</v>
      </c>
      <c r="H9">
        <v>4</v>
      </c>
      <c r="I9">
        <v>5</v>
      </c>
      <c r="J9">
        <v>1</v>
      </c>
      <c r="K9">
        <v>1</v>
      </c>
      <c r="L9">
        <v>1</v>
      </c>
      <c r="M9">
        <v>1</v>
      </c>
      <c r="N9">
        <v>0</v>
      </c>
      <c r="O9">
        <v>6</v>
      </c>
      <c r="P9">
        <v>4</v>
      </c>
      <c r="Q9">
        <v>1</v>
      </c>
      <c r="R9">
        <v>4</v>
      </c>
      <c r="S9">
        <v>2</v>
      </c>
      <c r="T9" s="3">
        <f t="shared" si="1"/>
        <v>0.62696321768248819</v>
      </c>
      <c r="U9" s="32">
        <f t="shared" si="2"/>
        <v>0.84420266961423651</v>
      </c>
      <c r="V9" s="32">
        <f t="shared" si="3"/>
        <v>1.0418053570413823</v>
      </c>
      <c r="W9" s="32">
        <f t="shared" si="4"/>
        <v>-9.6984149849158471E-2</v>
      </c>
      <c r="X9" s="32">
        <f t="shared" si="5"/>
        <v>1.0506390162289212</v>
      </c>
      <c r="Y9" s="32">
        <f t="shared" si="6"/>
        <v>0.86866731645372852</v>
      </c>
      <c r="Z9" s="32">
        <f t="shared" si="7"/>
        <v>-0.12522426979936985</v>
      </c>
      <c r="AA9" s="32">
        <f t="shared" si="8"/>
        <v>0.80563658408767735</v>
      </c>
      <c r="AF9" s="40"/>
    </row>
    <row r="10" spans="1:32" customFormat="1" ht="14.25" customHeight="1" x14ac:dyDescent="0.35">
      <c r="A10" s="30">
        <f t="shared" si="0"/>
        <v>1</v>
      </c>
      <c r="B10">
        <v>180</v>
      </c>
      <c r="C10">
        <v>1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3</v>
      </c>
      <c r="K10">
        <v>2</v>
      </c>
      <c r="L10">
        <v>4</v>
      </c>
      <c r="M10">
        <v>1</v>
      </c>
      <c r="N10">
        <v>0</v>
      </c>
      <c r="O10">
        <v>6</v>
      </c>
      <c r="P10">
        <v>4</v>
      </c>
      <c r="Q10">
        <v>2</v>
      </c>
      <c r="R10">
        <v>2</v>
      </c>
      <c r="S10">
        <v>2</v>
      </c>
      <c r="T10" s="3">
        <f t="shared" si="1"/>
        <v>-1.1523634759065016</v>
      </c>
      <c r="U10" s="32">
        <f t="shared" si="2"/>
        <v>-2.758213894687894</v>
      </c>
      <c r="V10" s="32">
        <f t="shared" si="3"/>
        <v>0.26360832519077404</v>
      </c>
      <c r="W10" s="32">
        <f t="shared" si="4"/>
        <v>-1.904915094207053</v>
      </c>
      <c r="X10" s="32">
        <f t="shared" si="5"/>
        <v>0.21586162773242673</v>
      </c>
      <c r="Y10" s="32">
        <f t="shared" si="6"/>
        <v>2.4129647679270151E-2</v>
      </c>
      <c r="Z10" s="32">
        <f t="shared" si="7"/>
        <v>-1.9997936419475117</v>
      </c>
      <c r="AA10" s="32">
        <f t="shared" si="8"/>
        <v>-1.9072213011055226</v>
      </c>
      <c r="AF10" s="40"/>
    </row>
    <row r="11" spans="1:32" customFormat="1" ht="14.25" customHeight="1" x14ac:dyDescent="0.35">
      <c r="A11" s="30">
        <f t="shared" si="0"/>
        <v>1</v>
      </c>
      <c r="B11">
        <v>183</v>
      </c>
      <c r="C11">
        <v>5</v>
      </c>
      <c r="D11">
        <v>5</v>
      </c>
      <c r="E11">
        <v>4</v>
      </c>
      <c r="F11">
        <v>4</v>
      </c>
      <c r="G11">
        <v>4</v>
      </c>
      <c r="H11">
        <v>5</v>
      </c>
      <c r="I11">
        <v>5</v>
      </c>
      <c r="J11">
        <v>2</v>
      </c>
      <c r="K11">
        <v>3</v>
      </c>
      <c r="L11">
        <v>2</v>
      </c>
      <c r="M11">
        <v>2</v>
      </c>
      <c r="N11">
        <v>0</v>
      </c>
      <c r="O11">
        <v>6</v>
      </c>
      <c r="P11">
        <v>6</v>
      </c>
      <c r="Q11">
        <v>1</v>
      </c>
      <c r="R11">
        <v>1</v>
      </c>
      <c r="S11">
        <v>1</v>
      </c>
      <c r="T11" s="3">
        <f t="shared" si="1"/>
        <v>-0.40352944133768609</v>
      </c>
      <c r="U11" s="32">
        <f t="shared" si="2"/>
        <v>0.84420266961423651</v>
      </c>
      <c r="V11" s="32">
        <f t="shared" si="3"/>
        <v>-2.0709827703610508</v>
      </c>
      <c r="W11" s="32">
        <f t="shared" si="4"/>
        <v>-9.6984149849158471E-2</v>
      </c>
      <c r="X11" s="32">
        <f t="shared" si="5"/>
        <v>-1.453693149260562</v>
      </c>
      <c r="Y11" s="32">
        <f t="shared" si="6"/>
        <v>-1.6649456898696466</v>
      </c>
      <c r="Z11" s="32">
        <f t="shared" si="7"/>
        <v>0.81206041627470116</v>
      </c>
      <c r="AA11" s="32">
        <f t="shared" si="8"/>
        <v>0.80563658408767735</v>
      </c>
      <c r="AF11" s="40"/>
    </row>
    <row r="12" spans="1:32" customFormat="1" ht="14.25" customHeight="1" x14ac:dyDescent="0.35">
      <c r="A12" s="30">
        <f t="shared" si="0"/>
        <v>1</v>
      </c>
      <c r="B12">
        <v>202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2</v>
      </c>
      <c r="K12">
        <v>2</v>
      </c>
      <c r="L12">
        <v>2</v>
      </c>
      <c r="M12">
        <v>3</v>
      </c>
      <c r="N12">
        <v>0</v>
      </c>
      <c r="O12">
        <v>4</v>
      </c>
      <c r="P12">
        <v>5</v>
      </c>
      <c r="Q12">
        <v>3</v>
      </c>
      <c r="R12">
        <v>3</v>
      </c>
      <c r="S12">
        <v>3</v>
      </c>
      <c r="T12" s="3">
        <f t="shared" si="1"/>
        <v>-0.85390171690456029</v>
      </c>
      <c r="U12" s="32">
        <f t="shared" si="2"/>
        <v>-0.95700561253682881</v>
      </c>
      <c r="V12" s="32">
        <f t="shared" si="3"/>
        <v>-0.51458870665983425</v>
      </c>
      <c r="W12" s="32">
        <f t="shared" si="4"/>
        <v>-1.0009496220281058</v>
      </c>
      <c r="X12" s="32">
        <f t="shared" si="5"/>
        <v>-0.61891576076406762</v>
      </c>
      <c r="Y12" s="32">
        <f t="shared" si="6"/>
        <v>-0.82040802109518818</v>
      </c>
      <c r="Z12" s="32">
        <f t="shared" si="7"/>
        <v>-1.0625089558734409</v>
      </c>
      <c r="AA12" s="32">
        <f t="shared" si="8"/>
        <v>-1.002935339374456</v>
      </c>
      <c r="AF12" s="40"/>
    </row>
    <row r="13" spans="1:32" customFormat="1" ht="14.25" customHeight="1" x14ac:dyDescent="0.35">
      <c r="A13" s="30">
        <f t="shared" si="0"/>
        <v>1</v>
      </c>
      <c r="B13">
        <v>220</v>
      </c>
      <c r="C13">
        <v>4</v>
      </c>
      <c r="D13">
        <v>3</v>
      </c>
      <c r="E13">
        <v>3</v>
      </c>
      <c r="F13">
        <v>2</v>
      </c>
      <c r="G13">
        <v>2</v>
      </c>
      <c r="H13">
        <v>3</v>
      </c>
      <c r="I13">
        <v>3</v>
      </c>
      <c r="J13">
        <v>1</v>
      </c>
      <c r="K13">
        <v>1</v>
      </c>
      <c r="L13">
        <v>2</v>
      </c>
      <c r="M13">
        <v>4</v>
      </c>
      <c r="N13">
        <v>0</v>
      </c>
      <c r="O13">
        <v>6</v>
      </c>
      <c r="P13">
        <v>6</v>
      </c>
      <c r="Q13">
        <v>2</v>
      </c>
      <c r="R13">
        <v>2</v>
      </c>
      <c r="S13">
        <v>2</v>
      </c>
      <c r="T13" s="3">
        <f t="shared" si="1"/>
        <v>-0.4853418314264909</v>
      </c>
      <c r="U13" s="32">
        <f t="shared" si="2"/>
        <v>-5.6401471461296142E-2</v>
      </c>
      <c r="V13" s="32">
        <f t="shared" si="3"/>
        <v>-0.51458870665983425</v>
      </c>
      <c r="W13" s="32">
        <f t="shared" si="4"/>
        <v>-1.0009496220281058</v>
      </c>
      <c r="X13" s="32">
        <f t="shared" si="5"/>
        <v>0.21586162773242673</v>
      </c>
      <c r="Y13" s="32">
        <f t="shared" si="6"/>
        <v>2.4129647679270151E-2</v>
      </c>
      <c r="Z13" s="32">
        <f t="shared" si="7"/>
        <v>-1.0625089558734409</v>
      </c>
      <c r="AA13" s="32">
        <f t="shared" si="8"/>
        <v>-1.002935339374456</v>
      </c>
      <c r="AF13" s="40"/>
    </row>
    <row r="14" spans="1:32" customFormat="1" ht="14.25" customHeight="1" x14ac:dyDescent="0.35">
      <c r="A14" s="30">
        <f t="shared" si="0"/>
        <v>1</v>
      </c>
      <c r="B14">
        <v>227</v>
      </c>
      <c r="C14">
        <v>4</v>
      </c>
      <c r="D14">
        <v>4</v>
      </c>
      <c r="E14">
        <v>5</v>
      </c>
      <c r="F14">
        <v>4</v>
      </c>
      <c r="G14">
        <v>5</v>
      </c>
      <c r="H14">
        <v>5</v>
      </c>
      <c r="I14">
        <v>3</v>
      </c>
      <c r="J14">
        <v>2</v>
      </c>
      <c r="K14">
        <v>2</v>
      </c>
      <c r="L14">
        <v>2</v>
      </c>
      <c r="M14">
        <v>2</v>
      </c>
      <c r="N14">
        <v>0</v>
      </c>
      <c r="O14">
        <v>6</v>
      </c>
      <c r="P14">
        <v>4</v>
      </c>
      <c r="Q14">
        <v>1</v>
      </c>
      <c r="R14">
        <v>2</v>
      </c>
      <c r="S14">
        <v>2</v>
      </c>
      <c r="T14" s="3">
        <f t="shared" si="1"/>
        <v>-0.67089390266376736</v>
      </c>
      <c r="U14" s="32">
        <f t="shared" si="2"/>
        <v>-5.6401471461296142E-2</v>
      </c>
      <c r="V14" s="32">
        <f t="shared" si="3"/>
        <v>-1.2927857385104427</v>
      </c>
      <c r="W14" s="32">
        <f t="shared" si="4"/>
        <v>0.80698132232978881</v>
      </c>
      <c r="X14" s="32">
        <f t="shared" si="5"/>
        <v>-1.453693149260562</v>
      </c>
      <c r="Y14" s="32">
        <f t="shared" si="6"/>
        <v>-2.509483358644105</v>
      </c>
      <c r="Z14" s="32">
        <f t="shared" si="7"/>
        <v>0.81206041627470116</v>
      </c>
      <c r="AA14" s="32">
        <f t="shared" si="8"/>
        <v>-1.002935339374456</v>
      </c>
      <c r="AF14" s="40"/>
    </row>
    <row r="15" spans="1:32" customFormat="1" ht="14.25" customHeight="1" x14ac:dyDescent="0.35">
      <c r="A15" s="30">
        <f t="shared" si="0"/>
        <v>1</v>
      </c>
      <c r="B15">
        <v>228</v>
      </c>
      <c r="C15">
        <v>4</v>
      </c>
      <c r="D15">
        <v>2</v>
      </c>
      <c r="E15">
        <v>4</v>
      </c>
      <c r="F15">
        <v>2</v>
      </c>
      <c r="G15">
        <v>4</v>
      </c>
      <c r="H15">
        <v>3</v>
      </c>
      <c r="I15">
        <v>3</v>
      </c>
      <c r="J15">
        <v>2</v>
      </c>
      <c r="K15">
        <v>1</v>
      </c>
      <c r="L15">
        <v>2</v>
      </c>
      <c r="M15">
        <v>2</v>
      </c>
      <c r="N15">
        <v>15</v>
      </c>
      <c r="O15">
        <v>5</v>
      </c>
      <c r="P15">
        <v>5</v>
      </c>
      <c r="Q15">
        <v>2</v>
      </c>
      <c r="R15">
        <v>3</v>
      </c>
      <c r="S15">
        <v>2</v>
      </c>
      <c r="T15" s="3">
        <f t="shared" si="1"/>
        <v>-0.48632937907211388</v>
      </c>
      <c r="U15" s="32">
        <f t="shared" si="2"/>
        <v>-5.6401471461296142E-2</v>
      </c>
      <c r="V15" s="32">
        <f t="shared" si="3"/>
        <v>0.26360832519077404</v>
      </c>
      <c r="W15" s="32">
        <f t="shared" si="4"/>
        <v>-9.6984149849158471E-2</v>
      </c>
      <c r="X15" s="32">
        <f t="shared" si="5"/>
        <v>0.21586162773242673</v>
      </c>
      <c r="Y15" s="32">
        <f t="shared" si="6"/>
        <v>-1.6649456898696466</v>
      </c>
      <c r="Z15" s="32">
        <f t="shared" si="7"/>
        <v>-1.0625089558734409</v>
      </c>
      <c r="AA15" s="32">
        <f t="shared" si="8"/>
        <v>-1.002935339374456</v>
      </c>
      <c r="AF15" s="40"/>
    </row>
    <row r="16" spans="1:32" customFormat="1" ht="14.25" customHeight="1" x14ac:dyDescent="0.35">
      <c r="A16" s="30">
        <f t="shared" si="0"/>
        <v>1</v>
      </c>
      <c r="B16">
        <v>235</v>
      </c>
      <c r="C16">
        <v>5</v>
      </c>
      <c r="D16">
        <v>3</v>
      </c>
      <c r="E16">
        <v>4</v>
      </c>
      <c r="F16">
        <v>2</v>
      </c>
      <c r="G16">
        <v>2</v>
      </c>
      <c r="H16">
        <v>5</v>
      </c>
      <c r="I16">
        <v>4</v>
      </c>
      <c r="J16">
        <v>2</v>
      </c>
      <c r="K16">
        <v>2</v>
      </c>
      <c r="L16">
        <v>1</v>
      </c>
      <c r="M16">
        <v>3</v>
      </c>
      <c r="N16">
        <v>1</v>
      </c>
      <c r="O16">
        <v>6</v>
      </c>
      <c r="P16">
        <v>3</v>
      </c>
      <c r="Q16">
        <v>2</v>
      </c>
      <c r="R16">
        <v>4</v>
      </c>
      <c r="S16">
        <v>2</v>
      </c>
      <c r="T16" s="3">
        <f t="shared" si="1"/>
        <v>0.16943316102117892</v>
      </c>
      <c r="U16" s="32">
        <f t="shared" si="2"/>
        <v>0.84420266961423651</v>
      </c>
      <c r="V16" s="32">
        <f t="shared" si="3"/>
        <v>-0.51458870665983425</v>
      </c>
      <c r="W16" s="32">
        <f t="shared" si="4"/>
        <v>-9.6984149849158471E-2</v>
      </c>
      <c r="X16" s="32">
        <f t="shared" si="5"/>
        <v>0.21586162773242673</v>
      </c>
      <c r="Y16" s="32">
        <f t="shared" si="6"/>
        <v>2.4129647679270151E-2</v>
      </c>
      <c r="Z16" s="32">
        <f t="shared" si="7"/>
        <v>0.81206041627470116</v>
      </c>
      <c r="AA16" s="32">
        <f t="shared" si="8"/>
        <v>-9.8649377643389324E-2</v>
      </c>
      <c r="AF16" s="40"/>
    </row>
    <row r="17" spans="1:32" customFormat="1" ht="14.25" customHeight="1" x14ac:dyDescent="0.35">
      <c r="A17" s="30">
        <f t="shared" si="0"/>
        <v>1</v>
      </c>
      <c r="B17">
        <v>239</v>
      </c>
      <c r="C17">
        <v>3</v>
      </c>
      <c r="D17">
        <v>3</v>
      </c>
      <c r="E17">
        <v>4</v>
      </c>
      <c r="F17">
        <v>3</v>
      </c>
      <c r="G17">
        <v>1</v>
      </c>
      <c r="H17">
        <v>4</v>
      </c>
      <c r="I17">
        <v>3</v>
      </c>
      <c r="J17">
        <v>3</v>
      </c>
      <c r="K17">
        <v>2</v>
      </c>
      <c r="L17">
        <v>2</v>
      </c>
      <c r="M17">
        <v>2</v>
      </c>
      <c r="N17">
        <v>0</v>
      </c>
      <c r="O17">
        <v>6</v>
      </c>
      <c r="P17">
        <v>5</v>
      </c>
      <c r="Q17">
        <v>2</v>
      </c>
      <c r="R17">
        <v>2</v>
      </c>
      <c r="S17">
        <v>1</v>
      </c>
      <c r="T17" s="3">
        <f t="shared" si="1"/>
        <v>-0.34956950321856944</v>
      </c>
      <c r="U17" s="32">
        <f t="shared" si="2"/>
        <v>-0.95700561253682881</v>
      </c>
      <c r="V17" s="32">
        <f t="shared" si="3"/>
        <v>-0.51458870665983425</v>
      </c>
      <c r="W17" s="32">
        <f t="shared" si="4"/>
        <v>-9.6984149849158471E-2</v>
      </c>
      <c r="X17" s="32">
        <f t="shared" si="5"/>
        <v>-0.61891576076406762</v>
      </c>
      <c r="Y17" s="32">
        <f t="shared" si="6"/>
        <v>0.86866731645372852</v>
      </c>
      <c r="Z17" s="32">
        <f t="shared" si="7"/>
        <v>-0.12522426979936985</v>
      </c>
      <c r="AA17" s="32">
        <f t="shared" si="8"/>
        <v>-1.002935339374456</v>
      </c>
      <c r="AF17" s="40"/>
    </row>
    <row r="18" spans="1:32" customFormat="1" ht="14.25" customHeight="1" x14ac:dyDescent="0.35">
      <c r="A18" s="30">
        <f t="shared" si="0"/>
        <v>1</v>
      </c>
      <c r="B18">
        <v>246</v>
      </c>
      <c r="C18">
        <v>4</v>
      </c>
      <c r="D18">
        <v>3</v>
      </c>
      <c r="E18">
        <v>4</v>
      </c>
      <c r="F18">
        <v>2</v>
      </c>
      <c r="G18">
        <v>1</v>
      </c>
      <c r="H18">
        <v>4</v>
      </c>
      <c r="I18">
        <v>4</v>
      </c>
      <c r="J18">
        <v>2</v>
      </c>
      <c r="K18">
        <v>1</v>
      </c>
      <c r="L18">
        <v>1</v>
      </c>
      <c r="M18">
        <v>3</v>
      </c>
      <c r="N18">
        <v>0</v>
      </c>
      <c r="O18">
        <v>4</v>
      </c>
      <c r="P18">
        <v>3</v>
      </c>
      <c r="Q18">
        <v>2</v>
      </c>
      <c r="R18">
        <v>4</v>
      </c>
      <c r="S18">
        <v>2</v>
      </c>
      <c r="T18" s="3">
        <f t="shared" si="1"/>
        <v>2.7525852681872458E-2</v>
      </c>
      <c r="U18" s="32">
        <f t="shared" si="2"/>
        <v>-5.6401471461296142E-2</v>
      </c>
      <c r="V18" s="32">
        <f t="shared" si="3"/>
        <v>-0.51458870665983425</v>
      </c>
      <c r="W18" s="32">
        <f t="shared" si="4"/>
        <v>-9.6984149849158471E-2</v>
      </c>
      <c r="X18" s="32">
        <f t="shared" si="5"/>
        <v>0.21586162773242673</v>
      </c>
      <c r="Y18" s="32">
        <f t="shared" si="6"/>
        <v>0.86866731645372852</v>
      </c>
      <c r="Z18" s="32">
        <f t="shared" si="7"/>
        <v>-0.12522426979936985</v>
      </c>
      <c r="AA18" s="32">
        <f t="shared" si="8"/>
        <v>-9.8649377643389324E-2</v>
      </c>
      <c r="AF18" s="40"/>
    </row>
    <row r="19" spans="1:32" customFormat="1" ht="14.25" customHeight="1" x14ac:dyDescent="0.35">
      <c r="A19" s="30">
        <f t="shared" si="0"/>
        <v>1</v>
      </c>
      <c r="B19">
        <v>252</v>
      </c>
      <c r="C19">
        <v>5</v>
      </c>
      <c r="D19">
        <v>1</v>
      </c>
      <c r="E19">
        <v>5</v>
      </c>
      <c r="F19">
        <v>1</v>
      </c>
      <c r="G19">
        <v>1</v>
      </c>
      <c r="H19">
        <v>5</v>
      </c>
      <c r="I19">
        <v>5</v>
      </c>
      <c r="J19">
        <v>2</v>
      </c>
      <c r="K19">
        <v>2</v>
      </c>
      <c r="L19">
        <v>1</v>
      </c>
      <c r="M19">
        <v>1</v>
      </c>
      <c r="N19">
        <v>0</v>
      </c>
      <c r="O19">
        <v>6</v>
      </c>
      <c r="P19">
        <v>5</v>
      </c>
      <c r="Q19">
        <v>1</v>
      </c>
      <c r="R19">
        <v>2</v>
      </c>
      <c r="S19">
        <v>1</v>
      </c>
      <c r="T19" s="3">
        <f t="shared" si="1"/>
        <v>0.88999895457577671</v>
      </c>
      <c r="U19" s="32">
        <f t="shared" si="2"/>
        <v>0.84420266961423651</v>
      </c>
      <c r="V19" s="32">
        <f t="shared" si="3"/>
        <v>1.0418053570413823</v>
      </c>
      <c r="W19" s="32">
        <f t="shared" si="4"/>
        <v>0.80698132232978881</v>
      </c>
      <c r="X19" s="32">
        <f t="shared" si="5"/>
        <v>1.0506390162289212</v>
      </c>
      <c r="Y19" s="32">
        <f t="shared" si="6"/>
        <v>0.86866731645372852</v>
      </c>
      <c r="Z19" s="32">
        <f t="shared" si="7"/>
        <v>0.81206041627470116</v>
      </c>
      <c r="AA19" s="32">
        <f t="shared" si="8"/>
        <v>0.80563658408767735</v>
      </c>
      <c r="AF19" s="40"/>
    </row>
    <row r="20" spans="1:32" customFormat="1" ht="14.25" customHeight="1" x14ac:dyDescent="0.35">
      <c r="A20" s="30">
        <f t="shared" si="0"/>
        <v>1</v>
      </c>
      <c r="B20">
        <v>279</v>
      </c>
      <c r="C20">
        <v>5</v>
      </c>
      <c r="D20">
        <v>4</v>
      </c>
      <c r="E20">
        <v>5</v>
      </c>
      <c r="F20">
        <v>1</v>
      </c>
      <c r="G20">
        <v>1</v>
      </c>
      <c r="H20">
        <v>5</v>
      </c>
      <c r="I20">
        <v>5</v>
      </c>
      <c r="J20">
        <v>2</v>
      </c>
      <c r="K20">
        <v>1</v>
      </c>
      <c r="L20">
        <v>1</v>
      </c>
      <c r="M20">
        <v>3</v>
      </c>
      <c r="N20">
        <v>0</v>
      </c>
      <c r="O20">
        <v>6</v>
      </c>
      <c r="P20">
        <v>4</v>
      </c>
      <c r="Q20">
        <v>2</v>
      </c>
      <c r="R20">
        <v>3</v>
      </c>
      <c r="S20">
        <v>2</v>
      </c>
      <c r="T20" s="3">
        <f t="shared" si="1"/>
        <v>0.55648594092551584</v>
      </c>
      <c r="U20" s="32">
        <f t="shared" si="2"/>
        <v>0.84420266961423651</v>
      </c>
      <c r="V20" s="32">
        <f t="shared" si="3"/>
        <v>-1.2927857385104427</v>
      </c>
      <c r="W20" s="32">
        <f t="shared" si="4"/>
        <v>0.80698132232978881</v>
      </c>
      <c r="X20" s="32">
        <f t="shared" si="5"/>
        <v>1.0506390162289212</v>
      </c>
      <c r="Y20" s="32">
        <f t="shared" si="6"/>
        <v>0.86866731645372852</v>
      </c>
      <c r="Z20" s="32">
        <f t="shared" si="7"/>
        <v>0.81206041627470116</v>
      </c>
      <c r="AA20" s="32">
        <f t="shared" si="8"/>
        <v>0.80563658408767735</v>
      </c>
      <c r="AF20" s="40"/>
    </row>
    <row r="21" spans="1:32" customFormat="1" ht="14.25" customHeight="1" x14ac:dyDescent="0.35">
      <c r="A21" s="30">
        <f t="shared" si="0"/>
        <v>1</v>
      </c>
      <c r="B21">
        <v>287</v>
      </c>
      <c r="C21">
        <v>3</v>
      </c>
      <c r="D21">
        <v>3</v>
      </c>
      <c r="E21">
        <v>4</v>
      </c>
      <c r="F21">
        <v>2</v>
      </c>
      <c r="G21">
        <v>2</v>
      </c>
      <c r="H21">
        <v>3</v>
      </c>
      <c r="I21">
        <v>2</v>
      </c>
      <c r="J21">
        <v>1</v>
      </c>
      <c r="K21">
        <v>1</v>
      </c>
      <c r="L21">
        <v>1</v>
      </c>
      <c r="M21">
        <v>2</v>
      </c>
      <c r="N21">
        <v>2</v>
      </c>
      <c r="O21">
        <v>6</v>
      </c>
      <c r="P21">
        <v>6</v>
      </c>
      <c r="Q21">
        <v>2</v>
      </c>
      <c r="R21">
        <v>2</v>
      </c>
      <c r="S21">
        <v>3</v>
      </c>
      <c r="T21" s="3">
        <f t="shared" si="1"/>
        <v>-0.61404535008758399</v>
      </c>
      <c r="U21" s="32">
        <f t="shared" si="2"/>
        <v>-0.95700561253682881</v>
      </c>
      <c r="V21" s="32">
        <f t="shared" si="3"/>
        <v>-0.51458870665983425</v>
      </c>
      <c r="W21" s="32">
        <f t="shared" si="4"/>
        <v>-9.6984149849158471E-2</v>
      </c>
      <c r="X21" s="32">
        <f t="shared" si="5"/>
        <v>0.21586162773242673</v>
      </c>
      <c r="Y21" s="32">
        <f t="shared" si="6"/>
        <v>2.4129647679270151E-2</v>
      </c>
      <c r="Z21" s="32">
        <f t="shared" si="7"/>
        <v>-1.0625089558734409</v>
      </c>
      <c r="AA21" s="32">
        <f t="shared" si="8"/>
        <v>-1.9072213011055226</v>
      </c>
      <c r="AF21" s="40"/>
    </row>
    <row r="22" spans="1:32" customFormat="1" ht="14.25" customHeight="1" x14ac:dyDescent="0.35">
      <c r="A22" s="30">
        <f t="shared" si="0"/>
        <v>1</v>
      </c>
      <c r="B22">
        <v>358</v>
      </c>
      <c r="C22">
        <v>5</v>
      </c>
      <c r="D22">
        <v>1</v>
      </c>
      <c r="E22">
        <v>5</v>
      </c>
      <c r="F22">
        <v>4</v>
      </c>
      <c r="G22">
        <v>1</v>
      </c>
      <c r="H22">
        <v>5</v>
      </c>
      <c r="I22">
        <v>5</v>
      </c>
      <c r="J22">
        <v>2</v>
      </c>
      <c r="K22">
        <v>1</v>
      </c>
      <c r="L22">
        <v>1</v>
      </c>
      <c r="M22">
        <v>1</v>
      </c>
      <c r="N22">
        <v>0</v>
      </c>
      <c r="O22">
        <v>6</v>
      </c>
      <c r="P22">
        <v>3</v>
      </c>
      <c r="Q22">
        <v>2</v>
      </c>
      <c r="R22">
        <v>4</v>
      </c>
      <c r="S22">
        <v>1</v>
      </c>
      <c r="T22" s="3">
        <f t="shared" si="1"/>
        <v>0.53223721664870749</v>
      </c>
      <c r="U22" s="32">
        <f t="shared" si="2"/>
        <v>0.84420266961423651</v>
      </c>
      <c r="V22" s="32">
        <f t="shared" si="3"/>
        <v>1.0418053570413823</v>
      </c>
      <c r="W22" s="32">
        <f t="shared" si="4"/>
        <v>0.80698132232978881</v>
      </c>
      <c r="X22" s="32">
        <f t="shared" si="5"/>
        <v>-1.453693149260562</v>
      </c>
      <c r="Y22" s="32">
        <f t="shared" si="6"/>
        <v>0.86866731645372852</v>
      </c>
      <c r="Z22" s="32">
        <f t="shared" si="7"/>
        <v>0.81206041627470116</v>
      </c>
      <c r="AA22" s="32">
        <f t="shared" si="8"/>
        <v>0.80563658408767735</v>
      </c>
      <c r="AF22" s="40"/>
    </row>
    <row r="23" spans="1:32" customFormat="1" ht="14.25" customHeight="1" x14ac:dyDescent="0.35">
      <c r="A23" s="30">
        <f t="shared" si="0"/>
        <v>1</v>
      </c>
      <c r="B23">
        <v>408</v>
      </c>
      <c r="C23">
        <v>4</v>
      </c>
      <c r="D23">
        <v>2</v>
      </c>
      <c r="E23">
        <v>4</v>
      </c>
      <c r="F23">
        <v>2</v>
      </c>
      <c r="G23">
        <v>2</v>
      </c>
      <c r="H23">
        <v>4</v>
      </c>
      <c r="I23">
        <v>4</v>
      </c>
      <c r="J23">
        <v>2</v>
      </c>
      <c r="K23">
        <v>1</v>
      </c>
      <c r="L23">
        <v>1</v>
      </c>
      <c r="M23">
        <v>2</v>
      </c>
      <c r="N23">
        <v>0</v>
      </c>
      <c r="O23">
        <v>6</v>
      </c>
      <c r="P23">
        <v>6</v>
      </c>
      <c r="Q23">
        <v>2</v>
      </c>
      <c r="R23">
        <v>4</v>
      </c>
      <c r="S23">
        <v>3</v>
      </c>
      <c r="T23" s="3">
        <f t="shared" si="1"/>
        <v>1.8048618835608161E-2</v>
      </c>
      <c r="U23" s="32">
        <f t="shared" si="2"/>
        <v>-5.6401471461296142E-2</v>
      </c>
      <c r="V23" s="32">
        <f t="shared" si="3"/>
        <v>0.26360832519077404</v>
      </c>
      <c r="W23" s="32">
        <f t="shared" si="4"/>
        <v>-9.6984149849158471E-2</v>
      </c>
      <c r="X23" s="32">
        <f t="shared" si="5"/>
        <v>0.21586162773242673</v>
      </c>
      <c r="Y23" s="32">
        <f t="shared" si="6"/>
        <v>2.4129647679270151E-2</v>
      </c>
      <c r="Z23" s="32">
        <f t="shared" si="7"/>
        <v>-0.12522426979936985</v>
      </c>
      <c r="AA23" s="32">
        <f t="shared" si="8"/>
        <v>-9.8649377643389324E-2</v>
      </c>
      <c r="AF23" s="40"/>
    </row>
    <row r="24" spans="1:32" customFormat="1" ht="14.25" customHeight="1" x14ac:dyDescent="0.35">
      <c r="A24" s="30">
        <f t="shared" si="0"/>
        <v>1</v>
      </c>
      <c r="B24">
        <v>476</v>
      </c>
      <c r="C24">
        <v>3</v>
      </c>
      <c r="D24">
        <v>3</v>
      </c>
      <c r="E24">
        <v>5</v>
      </c>
      <c r="F24">
        <v>3</v>
      </c>
      <c r="G24">
        <v>4</v>
      </c>
      <c r="H24">
        <v>5</v>
      </c>
      <c r="I24">
        <v>5</v>
      </c>
      <c r="J24">
        <v>2</v>
      </c>
      <c r="K24">
        <v>1</v>
      </c>
      <c r="L24">
        <v>2</v>
      </c>
      <c r="M24">
        <v>1</v>
      </c>
      <c r="N24">
        <v>0</v>
      </c>
      <c r="O24">
        <v>6</v>
      </c>
      <c r="P24">
        <v>6</v>
      </c>
      <c r="Q24">
        <v>3</v>
      </c>
      <c r="R24">
        <v>1</v>
      </c>
      <c r="S24">
        <v>3</v>
      </c>
      <c r="T24" s="3">
        <f t="shared" si="1"/>
        <v>-0.19011106387688717</v>
      </c>
      <c r="U24" s="32">
        <f t="shared" si="2"/>
        <v>-0.95700561253682881</v>
      </c>
      <c r="V24" s="32">
        <f t="shared" si="3"/>
        <v>-0.51458870665983425</v>
      </c>
      <c r="W24" s="32">
        <f t="shared" si="4"/>
        <v>0.80698132232978881</v>
      </c>
      <c r="X24" s="32">
        <f t="shared" si="5"/>
        <v>-0.61891576076406762</v>
      </c>
      <c r="Y24" s="32">
        <f t="shared" si="6"/>
        <v>-1.6649456898696466</v>
      </c>
      <c r="Z24" s="32">
        <f t="shared" si="7"/>
        <v>0.81206041627470116</v>
      </c>
      <c r="AA24" s="32">
        <f t="shared" si="8"/>
        <v>0.80563658408767735</v>
      </c>
      <c r="AF24" s="40"/>
    </row>
    <row r="25" spans="1:32" customFormat="1" ht="14.25" customHeight="1" x14ac:dyDescent="0.35">
      <c r="A25" s="30">
        <f t="shared" si="0"/>
        <v>1</v>
      </c>
      <c r="B25">
        <v>487</v>
      </c>
      <c r="C25">
        <v>3</v>
      </c>
      <c r="D25">
        <v>3</v>
      </c>
      <c r="E25">
        <v>4</v>
      </c>
      <c r="F25">
        <v>3</v>
      </c>
      <c r="G25">
        <v>3</v>
      </c>
      <c r="H25">
        <v>2</v>
      </c>
      <c r="I25">
        <v>2</v>
      </c>
      <c r="J25">
        <v>1</v>
      </c>
      <c r="K25">
        <v>1</v>
      </c>
      <c r="L25">
        <v>2</v>
      </c>
      <c r="M25">
        <v>1</v>
      </c>
      <c r="N25">
        <v>0</v>
      </c>
      <c r="O25">
        <v>6</v>
      </c>
      <c r="P25">
        <v>6</v>
      </c>
      <c r="Q25">
        <v>3</v>
      </c>
      <c r="R25">
        <v>2</v>
      </c>
      <c r="S25">
        <v>3</v>
      </c>
      <c r="T25" s="3">
        <f t="shared" si="1"/>
        <v>-0.98784531342258741</v>
      </c>
      <c r="U25" s="32">
        <f t="shared" si="2"/>
        <v>-0.95700561253682881</v>
      </c>
      <c r="V25" s="32">
        <f t="shared" si="3"/>
        <v>-0.51458870665983425</v>
      </c>
      <c r="W25" s="32">
        <f t="shared" si="4"/>
        <v>-9.6984149849158471E-2</v>
      </c>
      <c r="X25" s="32">
        <f t="shared" si="5"/>
        <v>-0.61891576076406762</v>
      </c>
      <c r="Y25" s="32">
        <f t="shared" si="6"/>
        <v>-0.82040802109518818</v>
      </c>
      <c r="Z25" s="32">
        <f t="shared" si="7"/>
        <v>-1.9997936419475117</v>
      </c>
      <c r="AA25" s="32">
        <f t="shared" si="8"/>
        <v>-1.9072213011055226</v>
      </c>
      <c r="AF25" s="40"/>
    </row>
    <row r="26" spans="1:32" customFormat="1" ht="14.25" customHeight="1" x14ac:dyDescent="0.35">
      <c r="A26" s="30">
        <f t="shared" si="0"/>
        <v>1</v>
      </c>
      <c r="B26">
        <v>499</v>
      </c>
      <c r="C26">
        <v>5</v>
      </c>
      <c r="D26">
        <v>1</v>
      </c>
      <c r="E26">
        <v>5</v>
      </c>
      <c r="F26">
        <v>1</v>
      </c>
      <c r="G26">
        <v>1</v>
      </c>
      <c r="H26">
        <v>5</v>
      </c>
      <c r="I26">
        <v>4</v>
      </c>
      <c r="J26">
        <v>2</v>
      </c>
      <c r="K26">
        <v>1</v>
      </c>
      <c r="L26">
        <v>1</v>
      </c>
      <c r="M26">
        <v>2</v>
      </c>
      <c r="N26">
        <v>4</v>
      </c>
      <c r="O26">
        <v>6</v>
      </c>
      <c r="P26">
        <v>6</v>
      </c>
      <c r="Q26">
        <v>2</v>
      </c>
      <c r="R26">
        <v>2</v>
      </c>
      <c r="S26">
        <v>2</v>
      </c>
      <c r="T26" s="3">
        <f t="shared" si="1"/>
        <v>0.76081524575705284</v>
      </c>
      <c r="U26" s="32">
        <f t="shared" si="2"/>
        <v>0.84420266961423651</v>
      </c>
      <c r="V26" s="32">
        <f t="shared" si="3"/>
        <v>1.0418053570413823</v>
      </c>
      <c r="W26" s="32">
        <f t="shared" si="4"/>
        <v>0.80698132232978881</v>
      </c>
      <c r="X26" s="32">
        <f t="shared" si="5"/>
        <v>1.0506390162289212</v>
      </c>
      <c r="Y26" s="32">
        <f t="shared" si="6"/>
        <v>0.86866731645372852</v>
      </c>
      <c r="Z26" s="32">
        <f t="shared" si="7"/>
        <v>0.81206041627470116</v>
      </c>
      <c r="AA26" s="32">
        <f t="shared" si="8"/>
        <v>-9.8649377643389324E-2</v>
      </c>
      <c r="AF26" s="40"/>
    </row>
    <row r="27" spans="1:32" customFormat="1" ht="14.25" customHeight="1" x14ac:dyDescent="0.35">
      <c r="A27" s="30">
        <f t="shared" si="0"/>
        <v>1</v>
      </c>
      <c r="B27">
        <v>501</v>
      </c>
      <c r="C27">
        <v>4</v>
      </c>
      <c r="D27">
        <v>1</v>
      </c>
      <c r="E27">
        <v>1</v>
      </c>
      <c r="F27">
        <v>2</v>
      </c>
      <c r="G27">
        <v>2</v>
      </c>
      <c r="H27">
        <v>3</v>
      </c>
      <c r="I27">
        <v>3</v>
      </c>
      <c r="J27">
        <v>1</v>
      </c>
      <c r="K27">
        <v>1</v>
      </c>
      <c r="L27">
        <v>1</v>
      </c>
      <c r="M27">
        <v>2</v>
      </c>
      <c r="N27">
        <v>0</v>
      </c>
      <c r="O27">
        <v>6</v>
      </c>
      <c r="P27">
        <v>6</v>
      </c>
      <c r="Q27">
        <v>1</v>
      </c>
      <c r="R27">
        <v>2</v>
      </c>
      <c r="S27">
        <v>2</v>
      </c>
      <c r="T27" s="3">
        <f t="shared" si="1"/>
        <v>-0.52127567152030196</v>
      </c>
      <c r="U27" s="32">
        <f t="shared" si="2"/>
        <v>-5.6401471461296142E-2</v>
      </c>
      <c r="V27" s="32">
        <f t="shared" si="3"/>
        <v>1.0418053570413823</v>
      </c>
      <c r="W27" s="32">
        <f t="shared" si="4"/>
        <v>-2.8088805663860001</v>
      </c>
      <c r="X27" s="32">
        <f t="shared" si="5"/>
        <v>0.21586162773242673</v>
      </c>
      <c r="Y27" s="32">
        <f t="shared" si="6"/>
        <v>2.4129647679270151E-2</v>
      </c>
      <c r="Z27" s="32">
        <f t="shared" si="7"/>
        <v>-1.0625089558734409</v>
      </c>
      <c r="AA27" s="32">
        <f t="shared" si="8"/>
        <v>-1.002935339374456</v>
      </c>
      <c r="AF27" s="40"/>
    </row>
    <row r="28" spans="1:32" customFormat="1" ht="14.25" customHeight="1" x14ac:dyDescent="0.35">
      <c r="A28" s="30">
        <f t="shared" si="0"/>
        <v>1</v>
      </c>
      <c r="B28">
        <v>504</v>
      </c>
      <c r="C28">
        <v>4</v>
      </c>
      <c r="D28">
        <v>2</v>
      </c>
      <c r="E28">
        <v>4</v>
      </c>
      <c r="F28">
        <v>3</v>
      </c>
      <c r="G28">
        <v>4</v>
      </c>
      <c r="H28">
        <v>4</v>
      </c>
      <c r="I28">
        <v>4</v>
      </c>
      <c r="J28">
        <v>2</v>
      </c>
      <c r="K28">
        <v>1</v>
      </c>
      <c r="L28">
        <v>2</v>
      </c>
      <c r="M28">
        <v>3</v>
      </c>
      <c r="N28">
        <v>0</v>
      </c>
      <c r="O28">
        <v>6</v>
      </c>
      <c r="P28">
        <v>2</v>
      </c>
      <c r="Q28">
        <v>1</v>
      </c>
      <c r="R28">
        <v>2</v>
      </c>
      <c r="S28">
        <v>2</v>
      </c>
      <c r="T28" s="3">
        <f t="shared" si="1"/>
        <v>-0.34250177059945053</v>
      </c>
      <c r="U28" s="32">
        <f t="shared" si="2"/>
        <v>-5.6401471461296142E-2</v>
      </c>
      <c r="V28" s="32">
        <f t="shared" si="3"/>
        <v>0.26360832519077404</v>
      </c>
      <c r="W28" s="32">
        <f t="shared" si="4"/>
        <v>-9.6984149849158471E-2</v>
      </c>
      <c r="X28" s="32">
        <f t="shared" si="5"/>
        <v>-0.61891576076406762</v>
      </c>
      <c r="Y28" s="32">
        <f t="shared" si="6"/>
        <v>-1.6649456898696466</v>
      </c>
      <c r="Z28" s="32">
        <f t="shared" si="7"/>
        <v>-0.12522426979936985</v>
      </c>
      <c r="AA28" s="32">
        <f t="shared" si="8"/>
        <v>-9.8649377643389324E-2</v>
      </c>
      <c r="AF28" s="40"/>
    </row>
    <row r="29" spans="1:32" customFormat="1" ht="14.25" customHeight="1" x14ac:dyDescent="0.35">
      <c r="A29" s="30">
        <f t="shared" si="0"/>
        <v>1</v>
      </c>
      <c r="B29">
        <v>510</v>
      </c>
      <c r="C29">
        <v>5</v>
      </c>
      <c r="D29">
        <v>1</v>
      </c>
      <c r="E29">
        <v>5</v>
      </c>
      <c r="F29">
        <v>1</v>
      </c>
      <c r="G29">
        <v>1</v>
      </c>
      <c r="H29">
        <v>5</v>
      </c>
      <c r="I29">
        <v>5</v>
      </c>
      <c r="J29">
        <v>3</v>
      </c>
      <c r="K29">
        <v>3</v>
      </c>
      <c r="L29">
        <v>2</v>
      </c>
      <c r="M29">
        <v>5</v>
      </c>
      <c r="N29">
        <v>30</v>
      </c>
      <c r="O29">
        <v>6</v>
      </c>
      <c r="P29">
        <v>4</v>
      </c>
      <c r="Q29">
        <v>1</v>
      </c>
      <c r="R29">
        <v>5</v>
      </c>
      <c r="S29">
        <v>1</v>
      </c>
      <c r="T29" s="3">
        <f t="shared" si="1"/>
        <v>0.88999895457577671</v>
      </c>
      <c r="U29" s="32">
        <f t="shared" si="2"/>
        <v>0.84420266961423651</v>
      </c>
      <c r="V29" s="32">
        <f t="shared" si="3"/>
        <v>1.0418053570413823</v>
      </c>
      <c r="W29" s="32">
        <f t="shared" si="4"/>
        <v>0.80698132232978881</v>
      </c>
      <c r="X29" s="32">
        <f t="shared" si="5"/>
        <v>1.0506390162289212</v>
      </c>
      <c r="Y29" s="32">
        <f t="shared" si="6"/>
        <v>0.86866731645372852</v>
      </c>
      <c r="Z29" s="32">
        <f t="shared" si="7"/>
        <v>0.81206041627470116</v>
      </c>
      <c r="AA29" s="32">
        <f t="shared" si="8"/>
        <v>0.80563658408767735</v>
      </c>
      <c r="AF29" s="40"/>
    </row>
    <row r="30" spans="1:32" customFormat="1" ht="14.25" customHeight="1" x14ac:dyDescent="0.35">
      <c r="A30" s="30">
        <f t="shared" si="0"/>
        <v>1</v>
      </c>
      <c r="B30">
        <v>535</v>
      </c>
      <c r="C30">
        <v>3</v>
      </c>
      <c r="D30">
        <v>3</v>
      </c>
      <c r="E30">
        <v>4</v>
      </c>
      <c r="F30">
        <v>4</v>
      </c>
      <c r="G30">
        <v>4</v>
      </c>
      <c r="H30">
        <v>4</v>
      </c>
      <c r="I30">
        <v>3</v>
      </c>
      <c r="J30">
        <v>1</v>
      </c>
      <c r="K30">
        <v>1</v>
      </c>
      <c r="L30">
        <v>2</v>
      </c>
      <c r="M30">
        <v>1</v>
      </c>
      <c r="N30">
        <v>1</v>
      </c>
      <c r="O30">
        <v>6</v>
      </c>
      <c r="P30">
        <v>6</v>
      </c>
      <c r="Q30">
        <v>2</v>
      </c>
      <c r="R30">
        <v>4</v>
      </c>
      <c r="S30">
        <v>2</v>
      </c>
      <c r="T30" s="3">
        <f t="shared" si="1"/>
        <v>-0.83076813104997937</v>
      </c>
      <c r="U30" s="32">
        <f t="shared" si="2"/>
        <v>-0.95700561253682881</v>
      </c>
      <c r="V30" s="32">
        <f t="shared" si="3"/>
        <v>-0.51458870665983425</v>
      </c>
      <c r="W30" s="32">
        <f t="shared" si="4"/>
        <v>-9.6984149849158471E-2</v>
      </c>
      <c r="X30" s="32">
        <f t="shared" si="5"/>
        <v>-1.453693149260562</v>
      </c>
      <c r="Y30" s="32">
        <f t="shared" si="6"/>
        <v>-1.6649456898696466</v>
      </c>
      <c r="Z30" s="32">
        <f t="shared" si="7"/>
        <v>-0.12522426979936985</v>
      </c>
      <c r="AA30" s="32">
        <f t="shared" si="8"/>
        <v>-1.002935339374456</v>
      </c>
      <c r="AF30" s="40"/>
    </row>
    <row r="31" spans="1:32" customFormat="1" ht="14.25" customHeight="1" x14ac:dyDescent="0.35">
      <c r="A31" s="30">
        <f t="shared" si="0"/>
        <v>1</v>
      </c>
      <c r="B31">
        <v>545</v>
      </c>
      <c r="C31">
        <v>3</v>
      </c>
      <c r="D31">
        <v>1</v>
      </c>
      <c r="E31">
        <v>5</v>
      </c>
      <c r="F31">
        <v>3</v>
      </c>
      <c r="G31">
        <v>1</v>
      </c>
      <c r="H31">
        <v>4</v>
      </c>
      <c r="I31">
        <v>4</v>
      </c>
      <c r="J31">
        <v>2</v>
      </c>
      <c r="K31">
        <v>2</v>
      </c>
      <c r="L31">
        <v>1</v>
      </c>
      <c r="M31">
        <v>3</v>
      </c>
      <c r="N31">
        <v>7</v>
      </c>
      <c r="O31">
        <v>6</v>
      </c>
      <c r="P31">
        <v>6</v>
      </c>
      <c r="Q31">
        <v>2</v>
      </c>
      <c r="R31">
        <v>2</v>
      </c>
      <c r="S31">
        <v>2</v>
      </c>
      <c r="T31" s="3">
        <f t="shared" si="1"/>
        <v>0.13109413929732058</v>
      </c>
      <c r="U31" s="32">
        <f t="shared" si="2"/>
        <v>-0.95700561253682881</v>
      </c>
      <c r="V31" s="32">
        <f t="shared" si="3"/>
        <v>1.0418053570413823</v>
      </c>
      <c r="W31" s="32">
        <f t="shared" si="4"/>
        <v>0.80698132232978881</v>
      </c>
      <c r="X31" s="32">
        <f t="shared" si="5"/>
        <v>-0.61891576076406762</v>
      </c>
      <c r="Y31" s="32">
        <f t="shared" si="6"/>
        <v>0.86866731645372852</v>
      </c>
      <c r="Z31" s="32">
        <f t="shared" si="7"/>
        <v>-0.12522426979936985</v>
      </c>
      <c r="AA31" s="32">
        <f t="shared" si="8"/>
        <v>-9.8649377643389324E-2</v>
      </c>
      <c r="AF31" s="40"/>
    </row>
    <row r="32" spans="1:32" customFormat="1" ht="14.25" customHeight="1" x14ac:dyDescent="0.35">
      <c r="A32" s="30">
        <f t="shared" si="0"/>
        <v>1</v>
      </c>
      <c r="B32">
        <v>599</v>
      </c>
      <c r="C32">
        <v>4</v>
      </c>
      <c r="D32">
        <v>5</v>
      </c>
      <c r="E32">
        <v>4</v>
      </c>
      <c r="F32">
        <v>3</v>
      </c>
      <c r="G32">
        <v>2</v>
      </c>
      <c r="H32">
        <v>5</v>
      </c>
      <c r="I32">
        <v>5</v>
      </c>
      <c r="J32">
        <v>2</v>
      </c>
      <c r="K32">
        <v>2</v>
      </c>
      <c r="L32">
        <v>2</v>
      </c>
      <c r="M32">
        <v>3</v>
      </c>
      <c r="N32">
        <v>0</v>
      </c>
      <c r="O32">
        <v>5</v>
      </c>
      <c r="P32">
        <v>6</v>
      </c>
      <c r="Q32">
        <v>1</v>
      </c>
      <c r="R32">
        <v>3</v>
      </c>
      <c r="S32">
        <v>2</v>
      </c>
      <c r="T32" s="3">
        <f t="shared" si="1"/>
        <v>-0.17163678634198917</v>
      </c>
      <c r="U32" s="32">
        <f t="shared" si="2"/>
        <v>-5.6401471461296142E-2</v>
      </c>
      <c r="V32" s="32">
        <f t="shared" si="3"/>
        <v>-2.0709827703610508</v>
      </c>
      <c r="W32" s="32">
        <f t="shared" si="4"/>
        <v>-9.6984149849158471E-2</v>
      </c>
      <c r="X32" s="32">
        <f t="shared" si="5"/>
        <v>-0.61891576076406762</v>
      </c>
      <c r="Y32" s="32">
        <f t="shared" si="6"/>
        <v>2.4129647679270151E-2</v>
      </c>
      <c r="Z32" s="32">
        <f t="shared" si="7"/>
        <v>0.81206041627470116</v>
      </c>
      <c r="AA32" s="32">
        <f t="shared" si="8"/>
        <v>0.80563658408767735</v>
      </c>
      <c r="AF32" s="40"/>
    </row>
    <row r="33" spans="1:32" customFormat="1" ht="14.25" customHeight="1" x14ac:dyDescent="0.35">
      <c r="A33" s="30">
        <f t="shared" si="0"/>
        <v>1</v>
      </c>
      <c r="B33">
        <v>601</v>
      </c>
      <c r="C33">
        <v>5</v>
      </c>
      <c r="D33">
        <v>2</v>
      </c>
      <c r="E33">
        <v>4</v>
      </c>
      <c r="F33">
        <v>1</v>
      </c>
      <c r="G33">
        <v>1</v>
      </c>
      <c r="H33">
        <v>5</v>
      </c>
      <c r="I33">
        <v>5</v>
      </c>
      <c r="J33">
        <v>1</v>
      </c>
      <c r="K33">
        <v>1</v>
      </c>
      <c r="L33">
        <v>1</v>
      </c>
      <c r="M33">
        <v>3</v>
      </c>
      <c r="N33">
        <v>0</v>
      </c>
      <c r="O33">
        <v>6</v>
      </c>
      <c r="P33">
        <v>4</v>
      </c>
      <c r="Q33">
        <v>1</v>
      </c>
      <c r="R33">
        <v>1</v>
      </c>
      <c r="S33">
        <v>2</v>
      </c>
      <c r="T33" s="3">
        <f t="shared" si="1"/>
        <v>0.64969002542869714</v>
      </c>
      <c r="U33" s="32">
        <f t="shared" si="2"/>
        <v>0.84420266961423651</v>
      </c>
      <c r="V33" s="32">
        <f t="shared" si="3"/>
        <v>0.26360832519077404</v>
      </c>
      <c r="W33" s="32">
        <f t="shared" si="4"/>
        <v>-9.6984149849158471E-2</v>
      </c>
      <c r="X33" s="32">
        <f t="shared" si="5"/>
        <v>1.0506390162289212</v>
      </c>
      <c r="Y33" s="32">
        <f t="shared" si="6"/>
        <v>0.86866731645372852</v>
      </c>
      <c r="Z33" s="32">
        <f t="shared" si="7"/>
        <v>0.81206041627470116</v>
      </c>
      <c r="AA33" s="32">
        <f t="shared" si="8"/>
        <v>0.80563658408767735</v>
      </c>
      <c r="AF33" s="40"/>
    </row>
    <row r="34" spans="1:32" customFormat="1" ht="14.25" customHeight="1" x14ac:dyDescent="0.35">
      <c r="A34" s="30">
        <f t="shared" ref="A34:A65" si="9">IF(COUNTBLANK(J34:T34)&gt;0,99,1)</f>
        <v>1</v>
      </c>
      <c r="B34">
        <v>617</v>
      </c>
      <c r="C34">
        <v>5</v>
      </c>
      <c r="D34">
        <v>5</v>
      </c>
      <c r="E34">
        <v>5</v>
      </c>
      <c r="F34">
        <v>1</v>
      </c>
      <c r="G34">
        <v>1</v>
      </c>
      <c r="H34">
        <v>5</v>
      </c>
      <c r="I34">
        <v>4</v>
      </c>
      <c r="J34">
        <v>1</v>
      </c>
      <c r="K34">
        <v>1</v>
      </c>
      <c r="L34">
        <v>1</v>
      </c>
      <c r="M34">
        <v>2</v>
      </c>
      <c r="N34">
        <v>0</v>
      </c>
      <c r="O34">
        <v>6</v>
      </c>
      <c r="P34">
        <v>4</v>
      </c>
      <c r="Q34">
        <v>1</v>
      </c>
      <c r="R34">
        <v>1</v>
      </c>
      <c r="S34">
        <v>1</v>
      </c>
      <c r="T34" s="3">
        <f t="shared" ref="T34:T65" si="10">AVERAGE(U34:AA34)</f>
        <v>0.31613122755670514</v>
      </c>
      <c r="U34" s="32">
        <f t="shared" ref="U34:U65" si="11">IF(ISTEXT(C34),"",STANDARDIZE(C34,AVERAGE(C$2:C$497),STDEV(C$2:C$497)))</f>
        <v>0.84420266961423651</v>
      </c>
      <c r="V34" s="32">
        <f t="shared" ref="V34:V65" si="12">IF(ISTEXT(D34),"",-1*STANDARDIZE(D34,AVERAGE(D$2:D$497),STDEV(D$2:D$497)))</f>
        <v>-2.0709827703610508</v>
      </c>
      <c r="W34" s="32">
        <f t="shared" ref="W34:W65" si="13">IF(ISTEXT(E34),"",STANDARDIZE(E34,AVERAGE(E$2:E$497),STDEV(E$2:E$497)))</f>
        <v>0.80698132232978881</v>
      </c>
      <c r="X34" s="32">
        <f t="shared" ref="X34:X65" si="14">IF(ISTEXT(F34),"",-1*STANDARDIZE(F34,AVERAGE(F$2:F$497),STDEV(F$2:F$497)))</f>
        <v>1.0506390162289212</v>
      </c>
      <c r="Y34" s="32">
        <f t="shared" ref="Y34:Y65" si="15">IF(ISTEXT(G34),"",-1*STANDARDIZE(G34,AVERAGE(G$2:G$497),STDEV(G$2:G$497)))</f>
        <v>0.86866731645372852</v>
      </c>
      <c r="Z34" s="32">
        <f t="shared" ref="Z34:Z65" si="16">IF(ISTEXT(H34),"",STANDARDIZE(H34,AVERAGE(H$2:H$497),STDEV(H$2:H$497)))</f>
        <v>0.81206041627470116</v>
      </c>
      <c r="AA34" s="32">
        <f t="shared" ref="AA34:AA65" si="17">IF(ISTEXT(I34),"",STANDARDIZE(I34,AVERAGE(I$2:I$497),STDEV(I$2:I$497)))</f>
        <v>-9.8649377643389324E-2</v>
      </c>
      <c r="AF34" s="40"/>
    </row>
    <row r="35" spans="1:32" customFormat="1" ht="14.25" customHeight="1" x14ac:dyDescent="0.35">
      <c r="A35" s="30">
        <f t="shared" si="9"/>
        <v>1</v>
      </c>
      <c r="B35">
        <v>627</v>
      </c>
      <c r="C35">
        <v>2</v>
      </c>
      <c r="D35">
        <v>2</v>
      </c>
      <c r="E35">
        <v>4</v>
      </c>
      <c r="F35">
        <v>4</v>
      </c>
      <c r="G35">
        <v>3</v>
      </c>
      <c r="H35">
        <v>2</v>
      </c>
      <c r="I35">
        <v>4</v>
      </c>
      <c r="J35">
        <v>2</v>
      </c>
      <c r="K35">
        <v>3</v>
      </c>
      <c r="L35">
        <v>2</v>
      </c>
      <c r="M35">
        <v>1</v>
      </c>
      <c r="N35">
        <v>3</v>
      </c>
      <c r="O35">
        <v>6</v>
      </c>
      <c r="P35">
        <v>6</v>
      </c>
      <c r="Q35">
        <v>2</v>
      </c>
      <c r="R35">
        <v>2</v>
      </c>
      <c r="S35">
        <v>4</v>
      </c>
      <c r="T35" s="3">
        <f t="shared" si="10"/>
        <v>-0.86621853831677098</v>
      </c>
      <c r="U35" s="32">
        <f t="shared" si="11"/>
        <v>-1.8576097536123615</v>
      </c>
      <c r="V35" s="32">
        <f t="shared" si="12"/>
        <v>0.26360832519077404</v>
      </c>
      <c r="W35" s="32">
        <f t="shared" si="13"/>
        <v>-9.6984149849158471E-2</v>
      </c>
      <c r="X35" s="32">
        <f t="shared" si="14"/>
        <v>-1.453693149260562</v>
      </c>
      <c r="Y35" s="32">
        <f t="shared" si="15"/>
        <v>-0.82040802109518818</v>
      </c>
      <c r="Z35" s="32">
        <f t="shared" si="16"/>
        <v>-1.9997936419475117</v>
      </c>
      <c r="AA35" s="32">
        <f t="shared" si="17"/>
        <v>-9.8649377643389324E-2</v>
      </c>
      <c r="AF35" s="40"/>
    </row>
    <row r="36" spans="1:32" customFormat="1" ht="14.25" customHeight="1" x14ac:dyDescent="0.35">
      <c r="A36" s="30">
        <f t="shared" si="9"/>
        <v>1</v>
      </c>
      <c r="B36">
        <v>635</v>
      </c>
      <c r="C36">
        <v>3</v>
      </c>
      <c r="D36">
        <v>2</v>
      </c>
      <c r="E36">
        <v>3</v>
      </c>
      <c r="F36">
        <v>2</v>
      </c>
      <c r="G36">
        <v>2</v>
      </c>
      <c r="H36">
        <v>4</v>
      </c>
      <c r="I36">
        <v>2</v>
      </c>
      <c r="J36">
        <v>2</v>
      </c>
      <c r="K36">
        <v>2</v>
      </c>
      <c r="L36">
        <v>2</v>
      </c>
      <c r="M36">
        <v>3</v>
      </c>
      <c r="N36">
        <v>0</v>
      </c>
      <c r="O36">
        <v>6</v>
      </c>
      <c r="P36">
        <v>6</v>
      </c>
      <c r="Q36">
        <v>2</v>
      </c>
      <c r="R36">
        <v>2</v>
      </c>
      <c r="S36">
        <v>2</v>
      </c>
      <c r="T36" s="3">
        <f t="shared" si="10"/>
        <v>-0.49811445783819375</v>
      </c>
      <c r="U36" s="32">
        <f t="shared" si="11"/>
        <v>-0.95700561253682881</v>
      </c>
      <c r="V36" s="32">
        <f t="shared" si="12"/>
        <v>0.26360832519077404</v>
      </c>
      <c r="W36" s="32">
        <f t="shared" si="13"/>
        <v>-1.0009496220281058</v>
      </c>
      <c r="X36" s="32">
        <f t="shared" si="14"/>
        <v>0.21586162773242673</v>
      </c>
      <c r="Y36" s="32">
        <f t="shared" si="15"/>
        <v>2.4129647679270151E-2</v>
      </c>
      <c r="Z36" s="32">
        <f t="shared" si="16"/>
        <v>-0.12522426979936985</v>
      </c>
      <c r="AA36" s="32">
        <f t="shared" si="17"/>
        <v>-1.9072213011055226</v>
      </c>
      <c r="AF36" s="40"/>
    </row>
    <row r="37" spans="1:32" customFormat="1" ht="14.25" customHeight="1" x14ac:dyDescent="0.35">
      <c r="A37" s="30">
        <f t="shared" si="9"/>
        <v>1</v>
      </c>
      <c r="B37">
        <v>685</v>
      </c>
      <c r="C37">
        <v>4</v>
      </c>
      <c r="D37">
        <v>2</v>
      </c>
      <c r="E37">
        <v>5</v>
      </c>
      <c r="F37">
        <v>2</v>
      </c>
      <c r="G37">
        <v>1</v>
      </c>
      <c r="H37">
        <v>3</v>
      </c>
      <c r="I37">
        <v>2</v>
      </c>
      <c r="J37">
        <v>2</v>
      </c>
      <c r="K37">
        <v>2</v>
      </c>
      <c r="L37">
        <v>2</v>
      </c>
      <c r="M37">
        <v>1</v>
      </c>
      <c r="N37">
        <v>0</v>
      </c>
      <c r="O37">
        <v>5</v>
      </c>
      <c r="P37">
        <v>6</v>
      </c>
      <c r="Q37">
        <v>1</v>
      </c>
      <c r="R37">
        <v>2</v>
      </c>
      <c r="S37">
        <v>2</v>
      </c>
      <c r="T37" s="3">
        <f t="shared" si="10"/>
        <v>-0.12443044810479166</v>
      </c>
      <c r="U37" s="32">
        <f t="shared" si="11"/>
        <v>-5.6401471461296142E-2</v>
      </c>
      <c r="V37" s="32">
        <f t="shared" si="12"/>
        <v>0.26360832519077404</v>
      </c>
      <c r="W37" s="32">
        <f t="shared" si="13"/>
        <v>0.80698132232978881</v>
      </c>
      <c r="X37" s="32">
        <f t="shared" si="14"/>
        <v>0.21586162773242673</v>
      </c>
      <c r="Y37" s="32">
        <f t="shared" si="15"/>
        <v>0.86866731645372852</v>
      </c>
      <c r="Z37" s="32">
        <f t="shared" si="16"/>
        <v>-1.0625089558734409</v>
      </c>
      <c r="AA37" s="32">
        <f t="shared" si="17"/>
        <v>-1.9072213011055226</v>
      </c>
      <c r="AF37" s="40"/>
    </row>
    <row r="38" spans="1:32" customFormat="1" ht="14.25" customHeight="1" x14ac:dyDescent="0.35">
      <c r="A38" s="30">
        <f t="shared" si="9"/>
        <v>1</v>
      </c>
      <c r="B38">
        <v>704</v>
      </c>
      <c r="C38">
        <v>5</v>
      </c>
      <c r="D38">
        <v>1</v>
      </c>
      <c r="E38">
        <v>4</v>
      </c>
      <c r="F38">
        <v>2</v>
      </c>
      <c r="G38">
        <v>1</v>
      </c>
      <c r="H38">
        <v>5</v>
      </c>
      <c r="I38">
        <v>5</v>
      </c>
      <c r="J38">
        <v>1</v>
      </c>
      <c r="K38">
        <v>1</v>
      </c>
      <c r="L38">
        <v>1</v>
      </c>
      <c r="M38">
        <v>1</v>
      </c>
      <c r="N38">
        <v>0</v>
      </c>
      <c r="O38">
        <v>6</v>
      </c>
      <c r="P38">
        <v>2</v>
      </c>
      <c r="Q38">
        <v>1</v>
      </c>
      <c r="R38">
        <v>3</v>
      </c>
      <c r="S38">
        <v>1</v>
      </c>
      <c r="T38" s="3">
        <f t="shared" si="10"/>
        <v>0.64160711733642783</v>
      </c>
      <c r="U38" s="32">
        <f t="shared" si="11"/>
        <v>0.84420266961423651</v>
      </c>
      <c r="V38" s="32">
        <f t="shared" si="12"/>
        <v>1.0418053570413823</v>
      </c>
      <c r="W38" s="32">
        <f t="shared" si="13"/>
        <v>-9.6984149849158471E-2</v>
      </c>
      <c r="X38" s="32">
        <f t="shared" si="14"/>
        <v>0.21586162773242673</v>
      </c>
      <c r="Y38" s="32">
        <f t="shared" si="15"/>
        <v>0.86866731645372852</v>
      </c>
      <c r="Z38" s="32">
        <f t="shared" si="16"/>
        <v>0.81206041627470116</v>
      </c>
      <c r="AA38" s="32">
        <f t="shared" si="17"/>
        <v>0.80563658408767735</v>
      </c>
      <c r="AF38" s="40"/>
    </row>
    <row r="39" spans="1:32" customFormat="1" ht="14.25" customHeight="1" x14ac:dyDescent="0.35">
      <c r="A39" s="30">
        <f t="shared" si="9"/>
        <v>1</v>
      </c>
      <c r="B39">
        <v>708</v>
      </c>
      <c r="C39">
        <v>5</v>
      </c>
      <c r="D39">
        <v>4</v>
      </c>
      <c r="E39">
        <v>5</v>
      </c>
      <c r="F39">
        <v>4</v>
      </c>
      <c r="G39">
        <v>1</v>
      </c>
      <c r="H39">
        <v>5</v>
      </c>
      <c r="I39">
        <v>5</v>
      </c>
      <c r="J39">
        <v>2</v>
      </c>
      <c r="K39">
        <v>2</v>
      </c>
      <c r="L39">
        <v>2</v>
      </c>
      <c r="M39">
        <v>1</v>
      </c>
      <c r="N39">
        <v>0</v>
      </c>
      <c r="O39">
        <v>6</v>
      </c>
      <c r="P39">
        <v>3</v>
      </c>
      <c r="Q39">
        <v>1</v>
      </c>
      <c r="R39">
        <v>4</v>
      </c>
      <c r="S39">
        <v>1</v>
      </c>
      <c r="T39" s="3">
        <f t="shared" si="10"/>
        <v>0.19872420299844684</v>
      </c>
      <c r="U39" s="32">
        <f t="shared" si="11"/>
        <v>0.84420266961423651</v>
      </c>
      <c r="V39" s="32">
        <f t="shared" si="12"/>
        <v>-1.2927857385104427</v>
      </c>
      <c r="W39" s="32">
        <f t="shared" si="13"/>
        <v>0.80698132232978881</v>
      </c>
      <c r="X39" s="32">
        <f t="shared" si="14"/>
        <v>-1.453693149260562</v>
      </c>
      <c r="Y39" s="32">
        <f t="shared" si="15"/>
        <v>0.86866731645372852</v>
      </c>
      <c r="Z39" s="32">
        <f t="shared" si="16"/>
        <v>0.81206041627470116</v>
      </c>
      <c r="AA39" s="32">
        <f t="shared" si="17"/>
        <v>0.80563658408767735</v>
      </c>
      <c r="AF39" s="40"/>
    </row>
    <row r="40" spans="1:32" customFormat="1" ht="14.25" customHeight="1" x14ac:dyDescent="0.35">
      <c r="A40" s="30">
        <f t="shared" si="9"/>
        <v>1</v>
      </c>
      <c r="B40">
        <v>712</v>
      </c>
      <c r="C40">
        <v>5</v>
      </c>
      <c r="D40">
        <v>1</v>
      </c>
      <c r="E40">
        <v>5</v>
      </c>
      <c r="F40">
        <v>1</v>
      </c>
      <c r="G40">
        <v>1</v>
      </c>
      <c r="H40">
        <v>5</v>
      </c>
      <c r="I40">
        <v>5</v>
      </c>
      <c r="J40">
        <v>1</v>
      </c>
      <c r="K40">
        <v>1</v>
      </c>
      <c r="L40">
        <v>1</v>
      </c>
      <c r="M40">
        <v>3</v>
      </c>
      <c r="N40">
        <v>0</v>
      </c>
      <c r="O40">
        <v>6</v>
      </c>
      <c r="P40">
        <v>2</v>
      </c>
      <c r="Q40">
        <v>1</v>
      </c>
      <c r="R40">
        <v>2</v>
      </c>
      <c r="S40">
        <v>1</v>
      </c>
      <c r="T40" s="3">
        <f t="shared" si="10"/>
        <v>0.88999895457577671</v>
      </c>
      <c r="U40" s="32">
        <f t="shared" si="11"/>
        <v>0.84420266961423651</v>
      </c>
      <c r="V40" s="32">
        <f t="shared" si="12"/>
        <v>1.0418053570413823</v>
      </c>
      <c r="W40" s="32">
        <f t="shared" si="13"/>
        <v>0.80698132232978881</v>
      </c>
      <c r="X40" s="32">
        <f t="shared" si="14"/>
        <v>1.0506390162289212</v>
      </c>
      <c r="Y40" s="32">
        <f t="shared" si="15"/>
        <v>0.86866731645372852</v>
      </c>
      <c r="Z40" s="32">
        <f t="shared" si="16"/>
        <v>0.81206041627470116</v>
      </c>
      <c r="AA40" s="32">
        <f t="shared" si="17"/>
        <v>0.80563658408767735</v>
      </c>
      <c r="AF40" s="40"/>
    </row>
    <row r="41" spans="1:32" customFormat="1" ht="14.25" customHeight="1" x14ac:dyDescent="0.35">
      <c r="A41" s="30">
        <f t="shared" si="9"/>
        <v>1</v>
      </c>
      <c r="B41">
        <v>724</v>
      </c>
      <c r="C41">
        <v>3</v>
      </c>
      <c r="D41">
        <v>4</v>
      </c>
      <c r="E41">
        <v>3</v>
      </c>
      <c r="F41">
        <v>3</v>
      </c>
      <c r="G41">
        <v>2</v>
      </c>
      <c r="H41">
        <v>4</v>
      </c>
      <c r="I41">
        <v>3</v>
      </c>
      <c r="J41">
        <v>1</v>
      </c>
      <c r="K41">
        <v>1</v>
      </c>
      <c r="L41">
        <v>2</v>
      </c>
      <c r="M41">
        <v>1</v>
      </c>
      <c r="N41">
        <v>0</v>
      </c>
      <c r="O41">
        <v>6</v>
      </c>
      <c r="P41">
        <v>6</v>
      </c>
      <c r="Q41">
        <v>2</v>
      </c>
      <c r="R41">
        <v>2</v>
      </c>
      <c r="S41">
        <v>1</v>
      </c>
      <c r="T41" s="3">
        <f t="shared" si="10"/>
        <v>-0.71052667076200016</v>
      </c>
      <c r="U41" s="32">
        <f t="shared" si="11"/>
        <v>-0.95700561253682881</v>
      </c>
      <c r="V41" s="32">
        <f t="shared" si="12"/>
        <v>-1.2927857385104427</v>
      </c>
      <c r="W41" s="32">
        <f t="shared" si="13"/>
        <v>-1.0009496220281058</v>
      </c>
      <c r="X41" s="32">
        <f t="shared" si="14"/>
        <v>-0.61891576076406762</v>
      </c>
      <c r="Y41" s="32">
        <f t="shared" si="15"/>
        <v>2.4129647679270151E-2</v>
      </c>
      <c r="Z41" s="32">
        <f t="shared" si="16"/>
        <v>-0.12522426979936985</v>
      </c>
      <c r="AA41" s="32">
        <f t="shared" si="17"/>
        <v>-1.002935339374456</v>
      </c>
      <c r="AF41" s="40"/>
    </row>
    <row r="42" spans="1:32" customFormat="1" ht="14.25" customHeight="1" x14ac:dyDescent="0.35">
      <c r="A42" s="30">
        <f t="shared" si="9"/>
        <v>1</v>
      </c>
      <c r="B42">
        <v>738</v>
      </c>
      <c r="C42">
        <v>5</v>
      </c>
      <c r="D42">
        <v>2</v>
      </c>
      <c r="E42">
        <v>5</v>
      </c>
      <c r="F42">
        <v>1</v>
      </c>
      <c r="G42">
        <v>1</v>
      </c>
      <c r="H42">
        <v>5</v>
      </c>
      <c r="I42">
        <v>5</v>
      </c>
      <c r="J42">
        <v>1</v>
      </c>
      <c r="K42">
        <v>1</v>
      </c>
      <c r="L42">
        <v>1</v>
      </c>
      <c r="M42">
        <v>1</v>
      </c>
      <c r="N42">
        <v>0</v>
      </c>
      <c r="O42">
        <v>6</v>
      </c>
      <c r="P42">
        <v>4</v>
      </c>
      <c r="Q42">
        <v>1</v>
      </c>
      <c r="R42">
        <v>4</v>
      </c>
      <c r="S42">
        <v>1</v>
      </c>
      <c r="T42" s="3">
        <f t="shared" si="10"/>
        <v>0.77882795002568961</v>
      </c>
      <c r="U42" s="32">
        <f t="shared" si="11"/>
        <v>0.84420266961423651</v>
      </c>
      <c r="V42" s="32">
        <f t="shared" si="12"/>
        <v>0.26360832519077404</v>
      </c>
      <c r="W42" s="32">
        <f t="shared" si="13"/>
        <v>0.80698132232978881</v>
      </c>
      <c r="X42" s="32">
        <f t="shared" si="14"/>
        <v>1.0506390162289212</v>
      </c>
      <c r="Y42" s="32">
        <f t="shared" si="15"/>
        <v>0.86866731645372852</v>
      </c>
      <c r="Z42" s="32">
        <f t="shared" si="16"/>
        <v>0.81206041627470116</v>
      </c>
      <c r="AA42" s="32">
        <f t="shared" si="17"/>
        <v>0.80563658408767735</v>
      </c>
      <c r="AF42" s="40"/>
    </row>
    <row r="43" spans="1:32" customFormat="1" ht="14.25" customHeight="1" x14ac:dyDescent="0.35">
      <c r="A43" s="30">
        <f t="shared" si="9"/>
        <v>1</v>
      </c>
      <c r="B43">
        <v>764</v>
      </c>
      <c r="C43">
        <v>4</v>
      </c>
      <c r="D43">
        <v>2</v>
      </c>
      <c r="E43">
        <v>5</v>
      </c>
      <c r="F43">
        <v>3</v>
      </c>
      <c r="G43">
        <v>2</v>
      </c>
      <c r="H43">
        <v>4</v>
      </c>
      <c r="I43">
        <v>4</v>
      </c>
      <c r="J43">
        <v>2</v>
      </c>
      <c r="K43">
        <v>1</v>
      </c>
      <c r="L43">
        <v>2</v>
      </c>
      <c r="M43">
        <v>2</v>
      </c>
      <c r="N43">
        <v>0</v>
      </c>
      <c r="O43">
        <v>6</v>
      </c>
      <c r="P43">
        <v>2</v>
      </c>
      <c r="Q43">
        <v>2</v>
      </c>
      <c r="R43">
        <v>4</v>
      </c>
      <c r="S43">
        <v>2</v>
      </c>
      <c r="T43" s="3">
        <f t="shared" si="10"/>
        <v>2.793263079024428E-2</v>
      </c>
      <c r="U43" s="32">
        <f t="shared" si="11"/>
        <v>-5.6401471461296142E-2</v>
      </c>
      <c r="V43" s="32">
        <f t="shared" si="12"/>
        <v>0.26360832519077404</v>
      </c>
      <c r="W43" s="32">
        <f t="shared" si="13"/>
        <v>0.80698132232978881</v>
      </c>
      <c r="X43" s="32">
        <f t="shared" si="14"/>
        <v>-0.61891576076406762</v>
      </c>
      <c r="Y43" s="32">
        <f t="shared" si="15"/>
        <v>2.4129647679270151E-2</v>
      </c>
      <c r="Z43" s="32">
        <f t="shared" si="16"/>
        <v>-0.12522426979936985</v>
      </c>
      <c r="AA43" s="32">
        <f t="shared" si="17"/>
        <v>-9.8649377643389324E-2</v>
      </c>
      <c r="AF43" s="40"/>
    </row>
    <row r="44" spans="1:32" customFormat="1" ht="14.25" customHeight="1" x14ac:dyDescent="0.35">
      <c r="A44" s="30">
        <f t="shared" si="9"/>
        <v>1</v>
      </c>
      <c r="B44">
        <v>776</v>
      </c>
      <c r="C44">
        <v>1</v>
      </c>
      <c r="D44">
        <v>1</v>
      </c>
      <c r="E44">
        <v>5</v>
      </c>
      <c r="F44">
        <v>1</v>
      </c>
      <c r="G44">
        <v>1</v>
      </c>
      <c r="H44">
        <v>5</v>
      </c>
      <c r="I44">
        <v>5</v>
      </c>
      <c r="J44">
        <v>2</v>
      </c>
      <c r="K44">
        <v>2</v>
      </c>
      <c r="L44">
        <v>2</v>
      </c>
      <c r="M44">
        <v>1</v>
      </c>
      <c r="N44">
        <v>0</v>
      </c>
      <c r="O44">
        <v>6</v>
      </c>
      <c r="P44">
        <v>4</v>
      </c>
      <c r="Q44">
        <v>2</v>
      </c>
      <c r="R44">
        <v>4</v>
      </c>
      <c r="S44">
        <v>3</v>
      </c>
      <c r="T44" s="3">
        <f t="shared" si="10"/>
        <v>0.37536801681832938</v>
      </c>
      <c r="U44" s="32">
        <f t="shared" si="11"/>
        <v>-2.758213894687894</v>
      </c>
      <c r="V44" s="32">
        <f t="shared" si="12"/>
        <v>1.0418053570413823</v>
      </c>
      <c r="W44" s="32">
        <f t="shared" si="13"/>
        <v>0.80698132232978881</v>
      </c>
      <c r="X44" s="32">
        <f t="shared" si="14"/>
        <v>1.0506390162289212</v>
      </c>
      <c r="Y44" s="32">
        <f t="shared" si="15"/>
        <v>0.86866731645372852</v>
      </c>
      <c r="Z44" s="32">
        <f t="shared" si="16"/>
        <v>0.81206041627470116</v>
      </c>
      <c r="AA44" s="32">
        <f t="shared" si="17"/>
        <v>0.80563658408767735</v>
      </c>
      <c r="AF44" s="40"/>
    </row>
    <row r="45" spans="1:32" customFormat="1" ht="14.25" customHeight="1" x14ac:dyDescent="0.35">
      <c r="A45" s="30">
        <f t="shared" si="9"/>
        <v>1</v>
      </c>
      <c r="B45">
        <v>830</v>
      </c>
      <c r="C45">
        <v>4</v>
      </c>
      <c r="D45">
        <v>2</v>
      </c>
      <c r="E45">
        <v>4</v>
      </c>
      <c r="F45">
        <v>3</v>
      </c>
      <c r="G45">
        <v>3</v>
      </c>
      <c r="H45">
        <v>4</v>
      </c>
      <c r="I45">
        <v>4</v>
      </c>
      <c r="J45">
        <v>1</v>
      </c>
      <c r="K45">
        <v>1</v>
      </c>
      <c r="L45">
        <v>1</v>
      </c>
      <c r="M45">
        <v>1</v>
      </c>
      <c r="N45">
        <v>0</v>
      </c>
      <c r="O45">
        <v>4</v>
      </c>
      <c r="P45">
        <v>4</v>
      </c>
      <c r="Q45">
        <v>1</v>
      </c>
      <c r="R45">
        <v>2</v>
      </c>
      <c r="S45">
        <v>2</v>
      </c>
      <c r="T45" s="3">
        <f t="shared" si="10"/>
        <v>-0.22185353220309936</v>
      </c>
      <c r="U45" s="32">
        <f t="shared" si="11"/>
        <v>-5.6401471461296142E-2</v>
      </c>
      <c r="V45" s="32">
        <f t="shared" si="12"/>
        <v>0.26360832519077404</v>
      </c>
      <c r="W45" s="32">
        <f t="shared" si="13"/>
        <v>-9.6984149849158471E-2</v>
      </c>
      <c r="X45" s="32">
        <f t="shared" si="14"/>
        <v>-0.61891576076406762</v>
      </c>
      <c r="Y45" s="32">
        <f t="shared" si="15"/>
        <v>-0.82040802109518818</v>
      </c>
      <c r="Z45" s="32">
        <f t="shared" si="16"/>
        <v>-0.12522426979936985</v>
      </c>
      <c r="AA45" s="32">
        <f t="shared" si="17"/>
        <v>-9.8649377643389324E-2</v>
      </c>
      <c r="AF45" s="40"/>
    </row>
    <row r="46" spans="1:32" customFormat="1" ht="14.25" customHeight="1" x14ac:dyDescent="0.35">
      <c r="A46" s="30">
        <f t="shared" si="9"/>
        <v>1</v>
      </c>
      <c r="B46">
        <v>837</v>
      </c>
      <c r="C46">
        <v>5</v>
      </c>
      <c r="D46">
        <v>4</v>
      </c>
      <c r="E46">
        <v>4</v>
      </c>
      <c r="F46">
        <v>4</v>
      </c>
      <c r="G46">
        <v>3</v>
      </c>
      <c r="H46">
        <v>3</v>
      </c>
      <c r="I46">
        <v>5</v>
      </c>
      <c r="J46">
        <v>1</v>
      </c>
      <c r="K46">
        <v>1</v>
      </c>
      <c r="L46">
        <v>1</v>
      </c>
      <c r="M46">
        <v>1</v>
      </c>
      <c r="N46">
        <v>0</v>
      </c>
      <c r="O46">
        <v>6</v>
      </c>
      <c r="P46">
        <v>4</v>
      </c>
      <c r="Q46">
        <v>2</v>
      </c>
      <c r="R46">
        <v>3</v>
      </c>
      <c r="S46">
        <v>2</v>
      </c>
      <c r="T46" s="3">
        <f t="shared" si="10"/>
        <v>-0.43950582298383978</v>
      </c>
      <c r="U46" s="32">
        <f t="shared" si="11"/>
        <v>0.84420266961423651</v>
      </c>
      <c r="V46" s="32">
        <f t="shared" si="12"/>
        <v>-1.2927857385104427</v>
      </c>
      <c r="W46" s="32">
        <f t="shared" si="13"/>
        <v>-9.6984149849158471E-2</v>
      </c>
      <c r="X46" s="32">
        <f t="shared" si="14"/>
        <v>-1.453693149260562</v>
      </c>
      <c r="Y46" s="32">
        <f t="shared" si="15"/>
        <v>-0.82040802109518818</v>
      </c>
      <c r="Z46" s="32">
        <f t="shared" si="16"/>
        <v>-1.0625089558734409</v>
      </c>
      <c r="AA46" s="32">
        <f t="shared" si="17"/>
        <v>0.80563658408767735</v>
      </c>
      <c r="AF46" s="40"/>
    </row>
    <row r="47" spans="1:32" customFormat="1" ht="14.25" customHeight="1" x14ac:dyDescent="0.35">
      <c r="A47" s="30">
        <f t="shared" si="9"/>
        <v>1</v>
      </c>
      <c r="B47">
        <v>843</v>
      </c>
      <c r="C47">
        <v>2</v>
      </c>
      <c r="D47">
        <v>1</v>
      </c>
      <c r="E47">
        <v>4</v>
      </c>
      <c r="F47">
        <v>3</v>
      </c>
      <c r="G47">
        <v>3</v>
      </c>
      <c r="H47">
        <v>3</v>
      </c>
      <c r="I47">
        <v>3</v>
      </c>
      <c r="J47">
        <v>1</v>
      </c>
      <c r="K47">
        <v>1</v>
      </c>
      <c r="L47">
        <v>2</v>
      </c>
      <c r="M47">
        <v>2</v>
      </c>
      <c r="N47">
        <v>0</v>
      </c>
      <c r="O47">
        <v>6</v>
      </c>
      <c r="P47">
        <v>3</v>
      </c>
      <c r="Q47">
        <v>1</v>
      </c>
      <c r="R47">
        <v>1</v>
      </c>
      <c r="S47">
        <v>1</v>
      </c>
      <c r="T47" s="3">
        <f t="shared" si="10"/>
        <v>-0.63107951764675563</v>
      </c>
      <c r="U47" s="32">
        <f t="shared" si="11"/>
        <v>-1.8576097536123615</v>
      </c>
      <c r="V47" s="32">
        <f t="shared" si="12"/>
        <v>1.0418053570413823</v>
      </c>
      <c r="W47" s="32">
        <f t="shared" si="13"/>
        <v>-9.6984149849158471E-2</v>
      </c>
      <c r="X47" s="32">
        <f t="shared" si="14"/>
        <v>-0.61891576076406762</v>
      </c>
      <c r="Y47" s="32">
        <f t="shared" si="15"/>
        <v>-0.82040802109518818</v>
      </c>
      <c r="Z47" s="32">
        <f t="shared" si="16"/>
        <v>-1.0625089558734409</v>
      </c>
      <c r="AA47" s="32">
        <f t="shared" si="17"/>
        <v>-1.002935339374456</v>
      </c>
      <c r="AF47" s="40"/>
    </row>
    <row r="48" spans="1:32" customFormat="1" ht="14.25" customHeight="1" x14ac:dyDescent="0.35">
      <c r="A48" s="30">
        <f t="shared" si="9"/>
        <v>1</v>
      </c>
      <c r="B48">
        <v>855</v>
      </c>
      <c r="C48">
        <v>4</v>
      </c>
      <c r="D48">
        <v>2</v>
      </c>
      <c r="E48">
        <v>4</v>
      </c>
      <c r="F48">
        <v>2</v>
      </c>
      <c r="G48">
        <v>1</v>
      </c>
      <c r="H48">
        <v>4</v>
      </c>
      <c r="I48">
        <v>4</v>
      </c>
      <c r="J48">
        <v>2</v>
      </c>
      <c r="K48">
        <v>2</v>
      </c>
      <c r="L48">
        <v>2</v>
      </c>
      <c r="M48">
        <v>2</v>
      </c>
      <c r="N48">
        <v>0</v>
      </c>
      <c r="O48">
        <v>6</v>
      </c>
      <c r="P48">
        <v>6</v>
      </c>
      <c r="Q48">
        <v>1</v>
      </c>
      <c r="R48">
        <v>2</v>
      </c>
      <c r="S48">
        <v>3</v>
      </c>
      <c r="T48" s="3">
        <f t="shared" si="10"/>
        <v>0.13869685723195932</v>
      </c>
      <c r="U48" s="32">
        <f t="shared" si="11"/>
        <v>-5.6401471461296142E-2</v>
      </c>
      <c r="V48" s="32">
        <f t="shared" si="12"/>
        <v>0.26360832519077404</v>
      </c>
      <c r="W48" s="32">
        <f t="shared" si="13"/>
        <v>-9.6984149849158471E-2</v>
      </c>
      <c r="X48" s="32">
        <f t="shared" si="14"/>
        <v>0.21586162773242673</v>
      </c>
      <c r="Y48" s="32">
        <f t="shared" si="15"/>
        <v>0.86866731645372852</v>
      </c>
      <c r="Z48" s="32">
        <f t="shared" si="16"/>
        <v>-0.12522426979936985</v>
      </c>
      <c r="AA48" s="32">
        <f t="shared" si="17"/>
        <v>-9.8649377643389324E-2</v>
      </c>
      <c r="AF48" s="40"/>
    </row>
    <row r="49" spans="1:32" customFormat="1" ht="14.25" customHeight="1" x14ac:dyDescent="0.35">
      <c r="A49" s="30">
        <f t="shared" si="9"/>
        <v>1</v>
      </c>
      <c r="B49">
        <v>876</v>
      </c>
      <c r="C49">
        <v>5</v>
      </c>
      <c r="D49">
        <v>4</v>
      </c>
      <c r="E49">
        <v>5</v>
      </c>
      <c r="F49">
        <v>2</v>
      </c>
      <c r="G49">
        <v>1</v>
      </c>
      <c r="H49">
        <v>5</v>
      </c>
      <c r="I49">
        <v>5</v>
      </c>
      <c r="J49">
        <v>2</v>
      </c>
      <c r="K49">
        <v>2</v>
      </c>
      <c r="L49">
        <v>2</v>
      </c>
      <c r="M49">
        <v>4</v>
      </c>
      <c r="N49">
        <v>0</v>
      </c>
      <c r="O49">
        <v>6</v>
      </c>
      <c r="P49">
        <v>5</v>
      </c>
      <c r="Q49">
        <v>2</v>
      </c>
      <c r="R49">
        <v>2</v>
      </c>
      <c r="S49">
        <v>2</v>
      </c>
      <c r="T49" s="3">
        <f t="shared" si="10"/>
        <v>0.43723202828315955</v>
      </c>
      <c r="U49" s="32">
        <f t="shared" si="11"/>
        <v>0.84420266961423651</v>
      </c>
      <c r="V49" s="32">
        <f t="shared" si="12"/>
        <v>-1.2927857385104427</v>
      </c>
      <c r="W49" s="32">
        <f t="shared" si="13"/>
        <v>0.80698132232978881</v>
      </c>
      <c r="X49" s="32">
        <f t="shared" si="14"/>
        <v>0.21586162773242673</v>
      </c>
      <c r="Y49" s="32">
        <f t="shared" si="15"/>
        <v>0.86866731645372852</v>
      </c>
      <c r="Z49" s="32">
        <f t="shared" si="16"/>
        <v>0.81206041627470116</v>
      </c>
      <c r="AA49" s="32">
        <f t="shared" si="17"/>
        <v>0.80563658408767735</v>
      </c>
      <c r="AF49" s="40"/>
    </row>
    <row r="50" spans="1:32" customFormat="1" ht="14.25" customHeight="1" x14ac:dyDescent="0.35">
      <c r="A50" s="30">
        <f t="shared" si="9"/>
        <v>1</v>
      </c>
      <c r="B50">
        <v>878</v>
      </c>
      <c r="C50">
        <v>5</v>
      </c>
      <c r="D50">
        <v>5</v>
      </c>
      <c r="E50">
        <v>5</v>
      </c>
      <c r="F50">
        <v>1</v>
      </c>
      <c r="G50">
        <v>1</v>
      </c>
      <c r="H50">
        <v>5</v>
      </c>
      <c r="I50">
        <v>5</v>
      </c>
      <c r="J50">
        <v>2</v>
      </c>
      <c r="K50">
        <v>2</v>
      </c>
      <c r="L50">
        <v>2</v>
      </c>
      <c r="M50">
        <v>3</v>
      </c>
      <c r="N50">
        <v>4</v>
      </c>
      <c r="O50">
        <v>6</v>
      </c>
      <c r="P50">
        <v>6</v>
      </c>
      <c r="Q50">
        <v>1</v>
      </c>
      <c r="R50">
        <v>2</v>
      </c>
      <c r="S50">
        <v>2</v>
      </c>
      <c r="T50" s="3">
        <f t="shared" si="10"/>
        <v>0.44531493637542902</v>
      </c>
      <c r="U50" s="32">
        <f t="shared" si="11"/>
        <v>0.84420266961423651</v>
      </c>
      <c r="V50" s="32">
        <f t="shared" si="12"/>
        <v>-2.0709827703610508</v>
      </c>
      <c r="W50" s="32">
        <f t="shared" si="13"/>
        <v>0.80698132232978881</v>
      </c>
      <c r="X50" s="32">
        <f t="shared" si="14"/>
        <v>1.0506390162289212</v>
      </c>
      <c r="Y50" s="32">
        <f t="shared" si="15"/>
        <v>0.86866731645372852</v>
      </c>
      <c r="Z50" s="32">
        <f t="shared" si="16"/>
        <v>0.81206041627470116</v>
      </c>
      <c r="AA50" s="32">
        <f t="shared" si="17"/>
        <v>0.80563658408767735</v>
      </c>
      <c r="AF50" s="40"/>
    </row>
    <row r="51" spans="1:32" customFormat="1" ht="14.25" customHeight="1" x14ac:dyDescent="0.35">
      <c r="A51" s="30">
        <f t="shared" si="9"/>
        <v>1</v>
      </c>
      <c r="B51">
        <v>882</v>
      </c>
      <c r="C51">
        <v>4</v>
      </c>
      <c r="D51">
        <v>1</v>
      </c>
      <c r="E51">
        <v>5</v>
      </c>
      <c r="F51">
        <v>1</v>
      </c>
      <c r="G51">
        <v>1</v>
      </c>
      <c r="H51">
        <v>3</v>
      </c>
      <c r="I51">
        <v>4</v>
      </c>
      <c r="J51">
        <v>2</v>
      </c>
      <c r="K51">
        <v>1</v>
      </c>
      <c r="L51">
        <v>1</v>
      </c>
      <c r="M51">
        <v>2</v>
      </c>
      <c r="N51">
        <v>0</v>
      </c>
      <c r="O51">
        <v>6</v>
      </c>
      <c r="P51">
        <v>5</v>
      </c>
      <c r="Q51">
        <v>2</v>
      </c>
      <c r="R51">
        <v>2</v>
      </c>
      <c r="S51">
        <v>2</v>
      </c>
      <c r="T51" s="3">
        <f t="shared" si="10"/>
        <v>0.36436188672509917</v>
      </c>
      <c r="U51" s="32">
        <f t="shared" si="11"/>
        <v>-5.6401471461296142E-2</v>
      </c>
      <c r="V51" s="32">
        <f t="shared" si="12"/>
        <v>1.0418053570413823</v>
      </c>
      <c r="W51" s="32">
        <f t="shared" si="13"/>
        <v>0.80698132232978881</v>
      </c>
      <c r="X51" s="32">
        <f t="shared" si="14"/>
        <v>1.0506390162289212</v>
      </c>
      <c r="Y51" s="32">
        <f t="shared" si="15"/>
        <v>0.86866731645372852</v>
      </c>
      <c r="Z51" s="32">
        <f t="shared" si="16"/>
        <v>-1.0625089558734409</v>
      </c>
      <c r="AA51" s="32">
        <f t="shared" si="17"/>
        <v>-9.8649377643389324E-2</v>
      </c>
      <c r="AF51" s="40"/>
    </row>
    <row r="52" spans="1:32" customFormat="1" ht="14.25" customHeight="1" x14ac:dyDescent="0.35">
      <c r="A52" s="30">
        <f t="shared" si="9"/>
        <v>1</v>
      </c>
      <c r="B52">
        <v>886</v>
      </c>
      <c r="C52">
        <v>3</v>
      </c>
      <c r="D52">
        <v>3</v>
      </c>
      <c r="E52">
        <v>4</v>
      </c>
      <c r="F52">
        <v>3</v>
      </c>
      <c r="G52">
        <v>2</v>
      </c>
      <c r="H52">
        <v>3</v>
      </c>
      <c r="I52">
        <v>3</v>
      </c>
      <c r="J52">
        <v>1</v>
      </c>
      <c r="K52">
        <v>1</v>
      </c>
      <c r="L52">
        <v>2</v>
      </c>
      <c r="M52">
        <v>2</v>
      </c>
      <c r="N52">
        <v>0</v>
      </c>
      <c r="O52">
        <v>5</v>
      </c>
      <c r="P52">
        <v>3</v>
      </c>
      <c r="Q52">
        <v>2</v>
      </c>
      <c r="R52">
        <v>3</v>
      </c>
      <c r="S52">
        <v>3</v>
      </c>
      <c r="T52" s="3">
        <f t="shared" si="10"/>
        <v>-0.60411555391121652</v>
      </c>
      <c r="U52" s="32">
        <f t="shared" si="11"/>
        <v>-0.95700561253682881</v>
      </c>
      <c r="V52" s="32">
        <f t="shared" si="12"/>
        <v>-0.51458870665983425</v>
      </c>
      <c r="W52" s="32">
        <f t="shared" si="13"/>
        <v>-9.6984149849158471E-2</v>
      </c>
      <c r="X52" s="32">
        <f t="shared" si="14"/>
        <v>-0.61891576076406762</v>
      </c>
      <c r="Y52" s="32">
        <f t="shared" si="15"/>
        <v>2.4129647679270151E-2</v>
      </c>
      <c r="Z52" s="32">
        <f t="shared" si="16"/>
        <v>-1.0625089558734409</v>
      </c>
      <c r="AA52" s="32">
        <f t="shared" si="17"/>
        <v>-1.002935339374456</v>
      </c>
      <c r="AF52" s="40"/>
    </row>
    <row r="53" spans="1:32" customFormat="1" ht="14.25" customHeight="1" x14ac:dyDescent="0.35">
      <c r="A53" s="30">
        <f t="shared" si="9"/>
        <v>1</v>
      </c>
      <c r="B53">
        <v>891</v>
      </c>
      <c r="C53">
        <v>4</v>
      </c>
      <c r="D53">
        <v>1</v>
      </c>
      <c r="E53">
        <v>5</v>
      </c>
      <c r="F53">
        <v>2</v>
      </c>
      <c r="G53">
        <v>2</v>
      </c>
      <c r="H53">
        <v>5</v>
      </c>
      <c r="I53">
        <v>5</v>
      </c>
      <c r="J53">
        <v>3</v>
      </c>
      <c r="K53">
        <v>1</v>
      </c>
      <c r="L53">
        <v>4</v>
      </c>
      <c r="M53">
        <v>4</v>
      </c>
      <c r="N53">
        <v>30</v>
      </c>
      <c r="O53">
        <v>3</v>
      </c>
      <c r="P53">
        <v>3</v>
      </c>
      <c r="Q53">
        <v>2</v>
      </c>
      <c r="R53">
        <v>2</v>
      </c>
      <c r="S53">
        <v>3</v>
      </c>
      <c r="T53" s="3">
        <f t="shared" si="10"/>
        <v>0.52143906909770721</v>
      </c>
      <c r="U53" s="32">
        <f t="shared" si="11"/>
        <v>-5.6401471461296142E-2</v>
      </c>
      <c r="V53" s="32">
        <f t="shared" si="12"/>
        <v>1.0418053570413823</v>
      </c>
      <c r="W53" s="32">
        <f t="shared" si="13"/>
        <v>0.80698132232978881</v>
      </c>
      <c r="X53" s="32">
        <f t="shared" si="14"/>
        <v>0.21586162773242673</v>
      </c>
      <c r="Y53" s="32">
        <f t="shared" si="15"/>
        <v>2.4129647679270151E-2</v>
      </c>
      <c r="Z53" s="32">
        <f t="shared" si="16"/>
        <v>0.81206041627470116</v>
      </c>
      <c r="AA53" s="32">
        <f t="shared" si="17"/>
        <v>0.80563658408767735</v>
      </c>
      <c r="AF53" s="40"/>
    </row>
    <row r="54" spans="1:32" customFormat="1" ht="14.25" customHeight="1" x14ac:dyDescent="0.35">
      <c r="A54" s="30">
        <f t="shared" si="9"/>
        <v>1</v>
      </c>
      <c r="B54">
        <v>894</v>
      </c>
      <c r="C54">
        <v>5</v>
      </c>
      <c r="D54">
        <v>1</v>
      </c>
      <c r="E54">
        <v>5</v>
      </c>
      <c r="F54">
        <v>1</v>
      </c>
      <c r="G54">
        <v>1</v>
      </c>
      <c r="H54">
        <v>5</v>
      </c>
      <c r="I54">
        <v>5</v>
      </c>
      <c r="J54">
        <v>1</v>
      </c>
      <c r="K54">
        <v>1</v>
      </c>
      <c r="L54">
        <v>1</v>
      </c>
      <c r="M54">
        <v>2</v>
      </c>
      <c r="N54">
        <v>0</v>
      </c>
      <c r="O54">
        <v>6</v>
      </c>
      <c r="P54">
        <v>4</v>
      </c>
      <c r="Q54">
        <v>1</v>
      </c>
      <c r="R54">
        <v>4</v>
      </c>
      <c r="S54">
        <v>1</v>
      </c>
      <c r="T54" s="3">
        <f t="shared" si="10"/>
        <v>0.88999895457577671</v>
      </c>
      <c r="U54" s="32">
        <f t="shared" si="11"/>
        <v>0.84420266961423651</v>
      </c>
      <c r="V54" s="32">
        <f t="shared" si="12"/>
        <v>1.0418053570413823</v>
      </c>
      <c r="W54" s="32">
        <f t="shared" si="13"/>
        <v>0.80698132232978881</v>
      </c>
      <c r="X54" s="32">
        <f t="shared" si="14"/>
        <v>1.0506390162289212</v>
      </c>
      <c r="Y54" s="32">
        <f t="shared" si="15"/>
        <v>0.86866731645372852</v>
      </c>
      <c r="Z54" s="32">
        <f t="shared" si="16"/>
        <v>0.81206041627470116</v>
      </c>
      <c r="AA54" s="32">
        <f t="shared" si="17"/>
        <v>0.80563658408767735</v>
      </c>
      <c r="AF54" s="40"/>
    </row>
    <row r="55" spans="1:32" customFormat="1" ht="14.25" customHeight="1" x14ac:dyDescent="0.35">
      <c r="A55" s="30">
        <f t="shared" si="9"/>
        <v>1</v>
      </c>
      <c r="B55">
        <v>960</v>
      </c>
      <c r="C55">
        <v>3</v>
      </c>
      <c r="D55">
        <v>1</v>
      </c>
      <c r="E55">
        <v>2</v>
      </c>
      <c r="F55">
        <v>2</v>
      </c>
      <c r="G55">
        <v>2</v>
      </c>
      <c r="H55">
        <v>4</v>
      </c>
      <c r="I55">
        <v>4</v>
      </c>
      <c r="J55">
        <v>2</v>
      </c>
      <c r="K55">
        <v>3</v>
      </c>
      <c r="L55">
        <v>2</v>
      </c>
      <c r="M55">
        <v>3</v>
      </c>
      <c r="N55">
        <v>0</v>
      </c>
      <c r="O55">
        <v>6</v>
      </c>
      <c r="P55">
        <v>6</v>
      </c>
      <c r="Q55">
        <v>2</v>
      </c>
      <c r="R55">
        <v>5</v>
      </c>
      <c r="S55">
        <v>4</v>
      </c>
      <c r="T55" s="3">
        <f t="shared" si="10"/>
        <v>-0.25771396024765164</v>
      </c>
      <c r="U55" s="32">
        <f t="shared" si="11"/>
        <v>-0.95700561253682881</v>
      </c>
      <c r="V55" s="32">
        <f t="shared" si="12"/>
        <v>1.0418053570413823</v>
      </c>
      <c r="W55" s="32">
        <f t="shared" si="13"/>
        <v>-1.904915094207053</v>
      </c>
      <c r="X55" s="32">
        <f t="shared" si="14"/>
        <v>0.21586162773242673</v>
      </c>
      <c r="Y55" s="32">
        <f t="shared" si="15"/>
        <v>2.4129647679270151E-2</v>
      </c>
      <c r="Z55" s="32">
        <f t="shared" si="16"/>
        <v>-0.12522426979936985</v>
      </c>
      <c r="AA55" s="32">
        <f t="shared" si="17"/>
        <v>-9.8649377643389324E-2</v>
      </c>
      <c r="AF55" s="40"/>
    </row>
    <row r="56" spans="1:32" customFormat="1" ht="14.25" customHeight="1" x14ac:dyDescent="0.35">
      <c r="A56" s="30">
        <f t="shared" si="9"/>
        <v>1</v>
      </c>
      <c r="B56">
        <v>971</v>
      </c>
      <c r="C56">
        <v>2</v>
      </c>
      <c r="D56">
        <v>4</v>
      </c>
      <c r="E56">
        <v>4</v>
      </c>
      <c r="F56">
        <v>3</v>
      </c>
      <c r="G56">
        <v>2</v>
      </c>
      <c r="H56">
        <v>2</v>
      </c>
      <c r="I56">
        <v>2</v>
      </c>
      <c r="J56">
        <v>2</v>
      </c>
      <c r="K56">
        <v>1</v>
      </c>
      <c r="L56">
        <v>1</v>
      </c>
      <c r="M56">
        <v>3</v>
      </c>
      <c r="N56">
        <v>7</v>
      </c>
      <c r="O56">
        <v>6</v>
      </c>
      <c r="P56">
        <v>6</v>
      </c>
      <c r="Q56">
        <v>3</v>
      </c>
      <c r="R56">
        <v>4</v>
      </c>
      <c r="S56">
        <v>3</v>
      </c>
      <c r="T56" s="3">
        <f t="shared" si="10"/>
        <v>-1.107025814015685</v>
      </c>
      <c r="U56" s="32">
        <f t="shared" si="11"/>
        <v>-1.8576097536123615</v>
      </c>
      <c r="V56" s="32">
        <f t="shared" si="12"/>
        <v>-1.2927857385104427</v>
      </c>
      <c r="W56" s="32">
        <f t="shared" si="13"/>
        <v>-9.6984149849158471E-2</v>
      </c>
      <c r="X56" s="32">
        <f t="shared" si="14"/>
        <v>-0.61891576076406762</v>
      </c>
      <c r="Y56" s="32">
        <f t="shared" si="15"/>
        <v>2.4129647679270151E-2</v>
      </c>
      <c r="Z56" s="32">
        <f t="shared" si="16"/>
        <v>-1.9997936419475117</v>
      </c>
      <c r="AA56" s="32">
        <f t="shared" si="17"/>
        <v>-1.9072213011055226</v>
      </c>
      <c r="AF56" s="40"/>
    </row>
    <row r="57" spans="1:32" customFormat="1" ht="14.25" customHeight="1" x14ac:dyDescent="0.35">
      <c r="A57" s="30">
        <f t="shared" si="9"/>
        <v>1</v>
      </c>
      <c r="B57">
        <v>994</v>
      </c>
      <c r="C57">
        <v>4</v>
      </c>
      <c r="D57">
        <v>1</v>
      </c>
      <c r="E57">
        <v>5</v>
      </c>
      <c r="F57">
        <v>1</v>
      </c>
      <c r="G57">
        <v>1</v>
      </c>
      <c r="H57">
        <v>5</v>
      </c>
      <c r="I57">
        <v>2</v>
      </c>
      <c r="J57">
        <v>2</v>
      </c>
      <c r="K57">
        <v>2</v>
      </c>
      <c r="L57">
        <v>1</v>
      </c>
      <c r="M57">
        <v>3</v>
      </c>
      <c r="N57">
        <v>0</v>
      </c>
      <c r="O57">
        <v>4</v>
      </c>
      <c r="P57">
        <v>4</v>
      </c>
      <c r="Q57">
        <v>1</v>
      </c>
      <c r="R57">
        <v>2</v>
      </c>
      <c r="S57">
        <v>2</v>
      </c>
      <c r="T57" s="3">
        <f t="shared" si="10"/>
        <v>0.37379009368024335</v>
      </c>
      <c r="U57" s="32">
        <f t="shared" si="11"/>
        <v>-5.6401471461296142E-2</v>
      </c>
      <c r="V57" s="32">
        <f t="shared" si="12"/>
        <v>1.0418053570413823</v>
      </c>
      <c r="W57" s="32">
        <f t="shared" si="13"/>
        <v>0.80698132232978881</v>
      </c>
      <c r="X57" s="32">
        <f t="shared" si="14"/>
        <v>1.0506390162289212</v>
      </c>
      <c r="Y57" s="32">
        <f t="shared" si="15"/>
        <v>0.86866731645372852</v>
      </c>
      <c r="Z57" s="32">
        <f t="shared" si="16"/>
        <v>0.81206041627470116</v>
      </c>
      <c r="AA57" s="32">
        <f t="shared" si="17"/>
        <v>-1.9072213011055226</v>
      </c>
      <c r="AF57" s="40"/>
    </row>
    <row r="58" spans="1:32" customFormat="1" ht="14.25" customHeight="1" x14ac:dyDescent="0.35">
      <c r="A58" s="30">
        <f t="shared" si="9"/>
        <v>1</v>
      </c>
      <c r="B58">
        <v>1014</v>
      </c>
      <c r="C58">
        <v>2</v>
      </c>
      <c r="D58">
        <v>2</v>
      </c>
      <c r="E58">
        <v>2</v>
      </c>
      <c r="F58">
        <v>5</v>
      </c>
      <c r="G58">
        <v>2</v>
      </c>
      <c r="H58">
        <v>3</v>
      </c>
      <c r="I58">
        <v>1</v>
      </c>
      <c r="J58">
        <v>2</v>
      </c>
      <c r="K58">
        <v>2</v>
      </c>
      <c r="L58">
        <v>1</v>
      </c>
      <c r="M58">
        <v>2</v>
      </c>
      <c r="N58">
        <v>0</v>
      </c>
      <c r="O58">
        <v>6</v>
      </c>
      <c r="P58">
        <v>6</v>
      </c>
      <c r="Q58">
        <v>5</v>
      </c>
      <c r="R58">
        <v>1</v>
      </c>
      <c r="S58">
        <v>5</v>
      </c>
      <c r="T58" s="3">
        <f t="shared" si="10"/>
        <v>-1.3767533759166368</v>
      </c>
      <c r="U58" s="32">
        <f t="shared" si="11"/>
        <v>-1.8576097536123615</v>
      </c>
      <c r="V58" s="32">
        <f t="shared" si="12"/>
        <v>0.26360832519077404</v>
      </c>
      <c r="W58" s="32">
        <f t="shared" si="13"/>
        <v>-1.904915094207053</v>
      </c>
      <c r="X58" s="32">
        <f t="shared" si="14"/>
        <v>-2.2884705377570564</v>
      </c>
      <c r="Y58" s="32">
        <f t="shared" si="15"/>
        <v>2.4129647679270151E-2</v>
      </c>
      <c r="Z58" s="32">
        <f t="shared" si="16"/>
        <v>-1.0625089558734409</v>
      </c>
      <c r="AA58" s="32">
        <f t="shared" si="17"/>
        <v>-2.8115072628365891</v>
      </c>
      <c r="AF58" s="40"/>
    </row>
    <row r="59" spans="1:32" customFormat="1" ht="14.25" customHeight="1" x14ac:dyDescent="0.35">
      <c r="A59" s="30">
        <f t="shared" si="9"/>
        <v>1</v>
      </c>
      <c r="B59">
        <v>1033</v>
      </c>
      <c r="C59">
        <v>1</v>
      </c>
      <c r="D59">
        <v>1</v>
      </c>
      <c r="E59">
        <v>5</v>
      </c>
      <c r="F59">
        <v>1</v>
      </c>
      <c r="G59">
        <v>4</v>
      </c>
      <c r="H59">
        <v>5</v>
      </c>
      <c r="I59">
        <v>5</v>
      </c>
      <c r="J59">
        <v>1</v>
      </c>
      <c r="K59">
        <v>1</v>
      </c>
      <c r="L59">
        <v>1</v>
      </c>
      <c r="M59">
        <v>3</v>
      </c>
      <c r="N59">
        <v>0</v>
      </c>
      <c r="O59">
        <v>3</v>
      </c>
      <c r="P59">
        <v>4</v>
      </c>
      <c r="Q59">
        <v>1</v>
      </c>
      <c r="R59">
        <v>4</v>
      </c>
      <c r="S59">
        <v>2</v>
      </c>
      <c r="T59" s="3">
        <f t="shared" si="10"/>
        <v>1.3423301629275741E-2</v>
      </c>
      <c r="U59" s="32">
        <f t="shared" si="11"/>
        <v>-2.758213894687894</v>
      </c>
      <c r="V59" s="32">
        <f t="shared" si="12"/>
        <v>1.0418053570413823</v>
      </c>
      <c r="W59" s="32">
        <f t="shared" si="13"/>
        <v>0.80698132232978881</v>
      </c>
      <c r="X59" s="32">
        <f t="shared" si="14"/>
        <v>1.0506390162289212</v>
      </c>
      <c r="Y59" s="32">
        <f t="shared" si="15"/>
        <v>-1.6649456898696466</v>
      </c>
      <c r="Z59" s="32">
        <f t="shared" si="16"/>
        <v>0.81206041627470116</v>
      </c>
      <c r="AA59" s="32">
        <f t="shared" si="17"/>
        <v>0.80563658408767735</v>
      </c>
      <c r="AF59" s="40"/>
    </row>
    <row r="60" spans="1:32" customFormat="1" ht="14.25" customHeight="1" x14ac:dyDescent="0.35">
      <c r="A60" s="30">
        <f t="shared" si="9"/>
        <v>1</v>
      </c>
      <c r="B60">
        <v>1072</v>
      </c>
      <c r="C60">
        <v>3</v>
      </c>
      <c r="D60">
        <v>3</v>
      </c>
      <c r="E60">
        <v>3</v>
      </c>
      <c r="F60">
        <v>3</v>
      </c>
      <c r="G60">
        <v>4</v>
      </c>
      <c r="H60">
        <v>3</v>
      </c>
      <c r="I60">
        <v>3</v>
      </c>
      <c r="J60">
        <v>1</v>
      </c>
      <c r="K60">
        <v>1</v>
      </c>
      <c r="L60">
        <v>1</v>
      </c>
      <c r="M60">
        <v>4</v>
      </c>
      <c r="N60">
        <v>0</v>
      </c>
      <c r="O60">
        <v>6</v>
      </c>
      <c r="P60">
        <v>5</v>
      </c>
      <c r="Q60">
        <v>2</v>
      </c>
      <c r="R60">
        <v>2</v>
      </c>
      <c r="S60">
        <v>2</v>
      </c>
      <c r="T60" s="3">
        <f t="shared" si="10"/>
        <v>-0.97454995530091126</v>
      </c>
      <c r="U60" s="32">
        <f t="shared" si="11"/>
        <v>-0.95700561253682881</v>
      </c>
      <c r="V60" s="32">
        <f t="shared" si="12"/>
        <v>-0.51458870665983425</v>
      </c>
      <c r="W60" s="32">
        <f t="shared" si="13"/>
        <v>-1.0009496220281058</v>
      </c>
      <c r="X60" s="32">
        <f t="shared" si="14"/>
        <v>-0.61891576076406762</v>
      </c>
      <c r="Y60" s="32">
        <f t="shared" si="15"/>
        <v>-1.6649456898696466</v>
      </c>
      <c r="Z60" s="32">
        <f t="shared" si="16"/>
        <v>-1.0625089558734409</v>
      </c>
      <c r="AA60" s="32">
        <f t="shared" si="17"/>
        <v>-1.002935339374456</v>
      </c>
      <c r="AF60" s="40"/>
    </row>
    <row r="61" spans="1:32" customFormat="1" ht="14.25" customHeight="1" x14ac:dyDescent="0.35">
      <c r="A61" s="30">
        <f t="shared" si="9"/>
        <v>1</v>
      </c>
      <c r="B61">
        <v>1094</v>
      </c>
      <c r="C61">
        <v>4</v>
      </c>
      <c r="D61">
        <v>5</v>
      </c>
      <c r="E61">
        <v>4</v>
      </c>
      <c r="F61">
        <v>4</v>
      </c>
      <c r="G61">
        <v>4</v>
      </c>
      <c r="H61">
        <v>5</v>
      </c>
      <c r="I61">
        <v>4</v>
      </c>
      <c r="J61">
        <v>1</v>
      </c>
      <c r="K61">
        <v>1</v>
      </c>
      <c r="L61">
        <v>2</v>
      </c>
      <c r="M61">
        <v>1</v>
      </c>
      <c r="N61">
        <v>0</v>
      </c>
      <c r="O61">
        <v>6</v>
      </c>
      <c r="P61">
        <v>4</v>
      </c>
      <c r="Q61">
        <v>4</v>
      </c>
      <c r="R61">
        <v>1</v>
      </c>
      <c r="S61">
        <v>1</v>
      </c>
      <c r="T61" s="3">
        <f t="shared" si="10"/>
        <v>-0.66137088459577176</v>
      </c>
      <c r="U61" s="32">
        <f t="shared" si="11"/>
        <v>-5.6401471461296142E-2</v>
      </c>
      <c r="V61" s="32">
        <f t="shared" si="12"/>
        <v>-2.0709827703610508</v>
      </c>
      <c r="W61" s="32">
        <f t="shared" si="13"/>
        <v>-9.6984149849158471E-2</v>
      </c>
      <c r="X61" s="32">
        <f t="shared" si="14"/>
        <v>-1.453693149260562</v>
      </c>
      <c r="Y61" s="32">
        <f t="shared" si="15"/>
        <v>-1.6649456898696466</v>
      </c>
      <c r="Z61" s="32">
        <f t="shared" si="16"/>
        <v>0.81206041627470116</v>
      </c>
      <c r="AA61" s="32">
        <f t="shared" si="17"/>
        <v>-9.8649377643389324E-2</v>
      </c>
      <c r="AF61" s="40"/>
    </row>
    <row r="62" spans="1:32" customFormat="1" ht="14.25" customHeight="1" x14ac:dyDescent="0.35">
      <c r="A62" s="30">
        <f t="shared" si="9"/>
        <v>1</v>
      </c>
      <c r="B62">
        <v>1176</v>
      </c>
      <c r="C62">
        <v>3</v>
      </c>
      <c r="D62">
        <v>2</v>
      </c>
      <c r="E62">
        <v>5</v>
      </c>
      <c r="F62">
        <v>2</v>
      </c>
      <c r="G62">
        <v>1</v>
      </c>
      <c r="H62">
        <v>5</v>
      </c>
      <c r="I62">
        <v>3</v>
      </c>
      <c r="J62">
        <v>1</v>
      </c>
      <c r="K62">
        <v>1</v>
      </c>
      <c r="L62">
        <v>1</v>
      </c>
      <c r="M62">
        <v>2</v>
      </c>
      <c r="N62">
        <v>0</v>
      </c>
      <c r="O62">
        <v>6</v>
      </c>
      <c r="P62">
        <v>6</v>
      </c>
      <c r="Q62">
        <v>1</v>
      </c>
      <c r="R62">
        <v>2</v>
      </c>
      <c r="S62">
        <v>2</v>
      </c>
      <c r="T62" s="3">
        <f t="shared" si="10"/>
        <v>0.14389115086716206</v>
      </c>
      <c r="U62" s="32">
        <f t="shared" si="11"/>
        <v>-0.95700561253682881</v>
      </c>
      <c r="V62" s="32">
        <f t="shared" si="12"/>
        <v>0.26360832519077404</v>
      </c>
      <c r="W62" s="32">
        <f t="shared" si="13"/>
        <v>0.80698132232978881</v>
      </c>
      <c r="X62" s="32">
        <f t="shared" si="14"/>
        <v>0.21586162773242673</v>
      </c>
      <c r="Y62" s="32">
        <f t="shared" si="15"/>
        <v>0.86866731645372852</v>
      </c>
      <c r="Z62" s="32">
        <f t="shared" si="16"/>
        <v>0.81206041627470116</v>
      </c>
      <c r="AA62" s="32">
        <f t="shared" si="17"/>
        <v>-1.002935339374456</v>
      </c>
      <c r="AF62" s="40"/>
    </row>
    <row r="63" spans="1:32" customFormat="1" ht="14.25" customHeight="1" x14ac:dyDescent="0.35">
      <c r="A63" s="30">
        <f t="shared" si="9"/>
        <v>1</v>
      </c>
      <c r="B63">
        <v>1213</v>
      </c>
      <c r="C63">
        <v>5</v>
      </c>
      <c r="D63">
        <v>1</v>
      </c>
      <c r="E63">
        <v>5</v>
      </c>
      <c r="F63">
        <v>4</v>
      </c>
      <c r="G63">
        <v>1</v>
      </c>
      <c r="H63">
        <v>3</v>
      </c>
      <c r="I63">
        <v>4</v>
      </c>
      <c r="J63">
        <v>1</v>
      </c>
      <c r="K63">
        <v>1</v>
      </c>
      <c r="L63">
        <v>2</v>
      </c>
      <c r="M63">
        <v>2</v>
      </c>
      <c r="N63">
        <v>0</v>
      </c>
      <c r="O63">
        <v>6</v>
      </c>
      <c r="P63">
        <v>4</v>
      </c>
      <c r="Q63">
        <v>2</v>
      </c>
      <c r="R63">
        <v>4</v>
      </c>
      <c r="S63">
        <v>2</v>
      </c>
      <c r="T63" s="3">
        <f t="shared" si="10"/>
        <v>0.13525788323739196</v>
      </c>
      <c r="U63" s="32">
        <f t="shared" si="11"/>
        <v>0.84420266961423651</v>
      </c>
      <c r="V63" s="32">
        <f t="shared" si="12"/>
        <v>1.0418053570413823</v>
      </c>
      <c r="W63" s="32">
        <f t="shared" si="13"/>
        <v>0.80698132232978881</v>
      </c>
      <c r="X63" s="32">
        <f t="shared" si="14"/>
        <v>-1.453693149260562</v>
      </c>
      <c r="Y63" s="32">
        <f t="shared" si="15"/>
        <v>0.86866731645372852</v>
      </c>
      <c r="Z63" s="32">
        <f t="shared" si="16"/>
        <v>-1.0625089558734409</v>
      </c>
      <c r="AA63" s="32">
        <f t="shared" si="17"/>
        <v>-9.8649377643389324E-2</v>
      </c>
      <c r="AF63" s="40"/>
    </row>
    <row r="64" spans="1:32" customFormat="1" ht="14.25" customHeight="1" x14ac:dyDescent="0.35">
      <c r="A64" s="30">
        <f t="shared" si="9"/>
        <v>1</v>
      </c>
      <c r="B64">
        <v>1230</v>
      </c>
      <c r="C64">
        <v>5</v>
      </c>
      <c r="D64">
        <v>4</v>
      </c>
      <c r="E64">
        <v>5</v>
      </c>
      <c r="F64">
        <v>1</v>
      </c>
      <c r="G64">
        <v>1</v>
      </c>
      <c r="H64">
        <v>5</v>
      </c>
      <c r="I64">
        <v>5</v>
      </c>
      <c r="J64">
        <v>2</v>
      </c>
      <c r="K64">
        <v>2</v>
      </c>
      <c r="L64">
        <v>3</v>
      </c>
      <c r="M64">
        <v>1</v>
      </c>
      <c r="N64">
        <v>4</v>
      </c>
      <c r="O64">
        <v>6</v>
      </c>
      <c r="P64">
        <v>3</v>
      </c>
      <c r="Q64">
        <v>2</v>
      </c>
      <c r="R64">
        <v>4</v>
      </c>
      <c r="S64">
        <v>2</v>
      </c>
      <c r="T64" s="3">
        <f t="shared" si="10"/>
        <v>0.55648594092551584</v>
      </c>
      <c r="U64" s="32">
        <f t="shared" si="11"/>
        <v>0.84420266961423651</v>
      </c>
      <c r="V64" s="32">
        <f t="shared" si="12"/>
        <v>-1.2927857385104427</v>
      </c>
      <c r="W64" s="32">
        <f t="shared" si="13"/>
        <v>0.80698132232978881</v>
      </c>
      <c r="X64" s="32">
        <f t="shared" si="14"/>
        <v>1.0506390162289212</v>
      </c>
      <c r="Y64" s="32">
        <f t="shared" si="15"/>
        <v>0.86866731645372852</v>
      </c>
      <c r="Z64" s="32">
        <f t="shared" si="16"/>
        <v>0.81206041627470116</v>
      </c>
      <c r="AA64" s="32">
        <f t="shared" si="17"/>
        <v>0.80563658408767735</v>
      </c>
      <c r="AF64" s="40"/>
    </row>
    <row r="65" spans="1:32" customFormat="1" ht="14.25" customHeight="1" x14ac:dyDescent="0.35">
      <c r="A65" s="30">
        <f t="shared" si="9"/>
        <v>1</v>
      </c>
      <c r="B65">
        <v>1247</v>
      </c>
      <c r="C65">
        <v>1</v>
      </c>
      <c r="D65">
        <v>5</v>
      </c>
      <c r="E65">
        <v>1</v>
      </c>
      <c r="F65">
        <v>5</v>
      </c>
      <c r="G65">
        <v>5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5</v>
      </c>
      <c r="O65">
        <v>6</v>
      </c>
      <c r="P65">
        <v>3</v>
      </c>
      <c r="Q65">
        <v>1</v>
      </c>
      <c r="R65">
        <v>4</v>
      </c>
      <c r="S65">
        <v>1</v>
      </c>
      <c r="T65" s="3">
        <f t="shared" si="10"/>
        <v>-2.5978023883848969</v>
      </c>
      <c r="U65" s="32">
        <f t="shared" si="11"/>
        <v>-2.758213894687894</v>
      </c>
      <c r="V65" s="32">
        <f t="shared" si="12"/>
        <v>-2.0709827703610508</v>
      </c>
      <c r="W65" s="32">
        <f t="shared" si="13"/>
        <v>-2.8088805663860001</v>
      </c>
      <c r="X65" s="32">
        <f t="shared" si="14"/>
        <v>-2.2884705377570564</v>
      </c>
      <c r="Y65" s="32">
        <f t="shared" si="15"/>
        <v>-2.509483358644105</v>
      </c>
      <c r="Z65" s="32">
        <f t="shared" si="16"/>
        <v>-2.9370783280215829</v>
      </c>
      <c r="AA65" s="32">
        <f t="shared" si="17"/>
        <v>-2.8115072628365891</v>
      </c>
      <c r="AF65" s="40"/>
    </row>
    <row r="66" spans="1:32" customFormat="1" ht="14.25" customHeight="1" x14ac:dyDescent="0.35">
      <c r="A66" s="30">
        <f t="shared" ref="A66:A97" si="18">IF(COUNTBLANK(J66:T66)&gt;0,99,1)</f>
        <v>1</v>
      </c>
      <c r="B66">
        <v>1257</v>
      </c>
      <c r="C66">
        <v>5</v>
      </c>
      <c r="D66">
        <v>1</v>
      </c>
      <c r="E66">
        <v>5</v>
      </c>
      <c r="F66">
        <v>2</v>
      </c>
      <c r="G66">
        <v>1</v>
      </c>
      <c r="H66">
        <v>5</v>
      </c>
      <c r="I66">
        <v>5</v>
      </c>
      <c r="J66">
        <v>2</v>
      </c>
      <c r="K66">
        <v>1</v>
      </c>
      <c r="L66">
        <v>3</v>
      </c>
      <c r="M66">
        <v>4</v>
      </c>
      <c r="N66">
        <v>5</v>
      </c>
      <c r="O66">
        <v>6</v>
      </c>
      <c r="P66">
        <v>3</v>
      </c>
      <c r="Q66">
        <v>2</v>
      </c>
      <c r="R66">
        <v>4</v>
      </c>
      <c r="S66">
        <v>2</v>
      </c>
      <c r="T66" s="3">
        <f t="shared" ref="T66:T97" si="19">AVERAGE(U66:AA66)</f>
        <v>0.77074504193342019</v>
      </c>
      <c r="U66" s="32">
        <f t="shared" ref="U66:U97" si="20">IF(ISTEXT(C66),"",STANDARDIZE(C66,AVERAGE(C$2:C$497),STDEV(C$2:C$497)))</f>
        <v>0.84420266961423651</v>
      </c>
      <c r="V66" s="32">
        <f t="shared" ref="V66:V97" si="21">IF(ISTEXT(D66),"",-1*STANDARDIZE(D66,AVERAGE(D$2:D$497),STDEV(D$2:D$497)))</f>
        <v>1.0418053570413823</v>
      </c>
      <c r="W66" s="32">
        <f t="shared" ref="W66:W97" si="22">IF(ISTEXT(E66),"",STANDARDIZE(E66,AVERAGE(E$2:E$497),STDEV(E$2:E$497)))</f>
        <v>0.80698132232978881</v>
      </c>
      <c r="X66" s="32">
        <f t="shared" ref="X66:X97" si="23">IF(ISTEXT(F66),"",-1*STANDARDIZE(F66,AVERAGE(F$2:F$497),STDEV(F$2:F$497)))</f>
        <v>0.21586162773242673</v>
      </c>
      <c r="Y66" s="32">
        <f t="shared" ref="Y66:Y97" si="24">IF(ISTEXT(G66),"",-1*STANDARDIZE(G66,AVERAGE(G$2:G$497),STDEV(G$2:G$497)))</f>
        <v>0.86866731645372852</v>
      </c>
      <c r="Z66" s="32">
        <f t="shared" ref="Z66:Z97" si="25">IF(ISTEXT(H66),"",STANDARDIZE(H66,AVERAGE(H$2:H$497),STDEV(H$2:H$497)))</f>
        <v>0.81206041627470116</v>
      </c>
      <c r="AA66" s="32">
        <f t="shared" ref="AA66:AA97" si="26">IF(ISTEXT(I66),"",STANDARDIZE(I66,AVERAGE(I$2:I$497),STDEV(I$2:I$497)))</f>
        <v>0.80563658408767735</v>
      </c>
      <c r="AF66" s="40"/>
    </row>
    <row r="67" spans="1:32" customFormat="1" ht="14.25" customHeight="1" x14ac:dyDescent="0.35">
      <c r="A67" s="30">
        <f t="shared" si="18"/>
        <v>1</v>
      </c>
      <c r="B67">
        <v>1300</v>
      </c>
      <c r="C67">
        <v>4</v>
      </c>
      <c r="D67">
        <v>2</v>
      </c>
      <c r="E67">
        <v>4</v>
      </c>
      <c r="F67">
        <v>2</v>
      </c>
      <c r="G67">
        <v>2</v>
      </c>
      <c r="H67">
        <v>4</v>
      </c>
      <c r="I67">
        <v>4</v>
      </c>
      <c r="J67">
        <v>2</v>
      </c>
      <c r="K67">
        <v>1</v>
      </c>
      <c r="L67">
        <v>1</v>
      </c>
      <c r="M67">
        <v>2</v>
      </c>
      <c r="N67">
        <v>0</v>
      </c>
      <c r="O67">
        <v>6</v>
      </c>
      <c r="P67">
        <v>6</v>
      </c>
      <c r="Q67">
        <v>1</v>
      </c>
      <c r="R67">
        <v>1</v>
      </c>
      <c r="S67">
        <v>1</v>
      </c>
      <c r="T67" s="3">
        <f t="shared" si="19"/>
        <v>1.8048618835608161E-2</v>
      </c>
      <c r="U67" s="32">
        <f t="shared" si="20"/>
        <v>-5.6401471461296142E-2</v>
      </c>
      <c r="V67" s="32">
        <f t="shared" si="21"/>
        <v>0.26360832519077404</v>
      </c>
      <c r="W67" s="32">
        <f t="shared" si="22"/>
        <v>-9.6984149849158471E-2</v>
      </c>
      <c r="X67" s="32">
        <f t="shared" si="23"/>
        <v>0.21586162773242673</v>
      </c>
      <c r="Y67" s="32">
        <f t="shared" si="24"/>
        <v>2.4129647679270151E-2</v>
      </c>
      <c r="Z67" s="32">
        <f t="shared" si="25"/>
        <v>-0.12522426979936985</v>
      </c>
      <c r="AA67" s="32">
        <f t="shared" si="26"/>
        <v>-9.8649377643389324E-2</v>
      </c>
      <c r="AF67" s="40"/>
    </row>
    <row r="68" spans="1:32" customFormat="1" ht="14.25" customHeight="1" x14ac:dyDescent="0.35">
      <c r="A68" s="30">
        <f t="shared" si="18"/>
        <v>1</v>
      </c>
      <c r="B68">
        <v>1314</v>
      </c>
      <c r="C68">
        <v>5</v>
      </c>
      <c r="D68">
        <v>3</v>
      </c>
      <c r="E68">
        <v>5</v>
      </c>
      <c r="F68">
        <v>2</v>
      </c>
      <c r="G68">
        <v>2</v>
      </c>
      <c r="H68">
        <v>4</v>
      </c>
      <c r="I68">
        <v>4</v>
      </c>
      <c r="J68">
        <v>1</v>
      </c>
      <c r="K68">
        <v>1</v>
      </c>
      <c r="L68">
        <v>2</v>
      </c>
      <c r="M68">
        <v>2</v>
      </c>
      <c r="N68">
        <v>0</v>
      </c>
      <c r="O68">
        <v>6</v>
      </c>
      <c r="P68">
        <v>5</v>
      </c>
      <c r="Q68">
        <v>1</v>
      </c>
      <c r="R68">
        <v>2</v>
      </c>
      <c r="S68">
        <v>2</v>
      </c>
      <c r="T68" s="3">
        <f t="shared" si="19"/>
        <v>0.16467327332187556</v>
      </c>
      <c r="U68" s="32">
        <f t="shared" si="20"/>
        <v>0.84420266961423651</v>
      </c>
      <c r="V68" s="32">
        <f t="shared" si="21"/>
        <v>-0.51458870665983425</v>
      </c>
      <c r="W68" s="32">
        <f t="shared" si="22"/>
        <v>0.80698132232978881</v>
      </c>
      <c r="X68" s="32">
        <f t="shared" si="23"/>
        <v>0.21586162773242673</v>
      </c>
      <c r="Y68" s="32">
        <f t="shared" si="24"/>
        <v>2.4129647679270151E-2</v>
      </c>
      <c r="Z68" s="32">
        <f t="shared" si="25"/>
        <v>-0.12522426979936985</v>
      </c>
      <c r="AA68" s="32">
        <f t="shared" si="26"/>
        <v>-9.8649377643389324E-2</v>
      </c>
      <c r="AF68" s="40"/>
    </row>
    <row r="69" spans="1:32" customFormat="1" ht="14.25" customHeight="1" x14ac:dyDescent="0.35">
      <c r="A69" s="30">
        <f t="shared" si="18"/>
        <v>1</v>
      </c>
      <c r="B69">
        <v>1321</v>
      </c>
      <c r="C69">
        <v>4</v>
      </c>
      <c r="D69">
        <v>2</v>
      </c>
      <c r="E69">
        <v>4</v>
      </c>
      <c r="F69">
        <v>2</v>
      </c>
      <c r="G69">
        <v>2</v>
      </c>
      <c r="H69">
        <v>4</v>
      </c>
      <c r="I69">
        <v>4</v>
      </c>
      <c r="J69">
        <v>2</v>
      </c>
      <c r="K69">
        <v>2</v>
      </c>
      <c r="L69">
        <v>1</v>
      </c>
      <c r="M69">
        <v>1</v>
      </c>
      <c r="N69">
        <v>0</v>
      </c>
      <c r="O69">
        <v>5</v>
      </c>
      <c r="P69">
        <v>6</v>
      </c>
      <c r="Q69">
        <v>2</v>
      </c>
      <c r="R69">
        <v>2</v>
      </c>
      <c r="S69">
        <v>3</v>
      </c>
      <c r="T69" s="3">
        <f t="shared" si="19"/>
        <v>1.8048618835608161E-2</v>
      </c>
      <c r="U69" s="32">
        <f t="shared" si="20"/>
        <v>-5.6401471461296142E-2</v>
      </c>
      <c r="V69" s="32">
        <f t="shared" si="21"/>
        <v>0.26360832519077404</v>
      </c>
      <c r="W69" s="32">
        <f t="shared" si="22"/>
        <v>-9.6984149849158471E-2</v>
      </c>
      <c r="X69" s="32">
        <f t="shared" si="23"/>
        <v>0.21586162773242673</v>
      </c>
      <c r="Y69" s="32">
        <f t="shared" si="24"/>
        <v>2.4129647679270151E-2</v>
      </c>
      <c r="Z69" s="32">
        <f t="shared" si="25"/>
        <v>-0.12522426979936985</v>
      </c>
      <c r="AA69" s="32">
        <f t="shared" si="26"/>
        <v>-9.8649377643389324E-2</v>
      </c>
      <c r="AF69" s="40"/>
    </row>
    <row r="70" spans="1:32" customFormat="1" ht="14.25" customHeight="1" x14ac:dyDescent="0.35">
      <c r="A70" s="30">
        <f t="shared" si="18"/>
        <v>1</v>
      </c>
      <c r="B70">
        <v>1355</v>
      </c>
      <c r="C70">
        <v>5</v>
      </c>
      <c r="D70">
        <v>4</v>
      </c>
      <c r="E70">
        <v>5</v>
      </c>
      <c r="F70">
        <v>1</v>
      </c>
      <c r="G70">
        <v>1</v>
      </c>
      <c r="H70">
        <v>3</v>
      </c>
      <c r="I70">
        <v>5</v>
      </c>
      <c r="J70">
        <v>1</v>
      </c>
      <c r="K70">
        <v>1</v>
      </c>
      <c r="L70">
        <v>1</v>
      </c>
      <c r="M70">
        <v>3</v>
      </c>
      <c r="N70">
        <v>5</v>
      </c>
      <c r="O70">
        <v>6</v>
      </c>
      <c r="P70">
        <v>6</v>
      </c>
      <c r="Q70">
        <v>1</v>
      </c>
      <c r="R70">
        <v>2</v>
      </c>
      <c r="S70">
        <v>1</v>
      </c>
      <c r="T70" s="3">
        <f t="shared" si="19"/>
        <v>0.28869031633292414</v>
      </c>
      <c r="U70" s="32">
        <f t="shared" si="20"/>
        <v>0.84420266961423651</v>
      </c>
      <c r="V70" s="32">
        <f t="shared" si="21"/>
        <v>-1.2927857385104427</v>
      </c>
      <c r="W70" s="32">
        <f t="shared" si="22"/>
        <v>0.80698132232978881</v>
      </c>
      <c r="X70" s="32">
        <f t="shared" si="23"/>
        <v>1.0506390162289212</v>
      </c>
      <c r="Y70" s="32">
        <f t="shared" si="24"/>
        <v>0.86866731645372852</v>
      </c>
      <c r="Z70" s="32">
        <f t="shared" si="25"/>
        <v>-1.0625089558734409</v>
      </c>
      <c r="AA70" s="32">
        <f t="shared" si="26"/>
        <v>0.80563658408767735</v>
      </c>
      <c r="AF70" s="40"/>
    </row>
    <row r="71" spans="1:32" customFormat="1" ht="14.25" customHeight="1" x14ac:dyDescent="0.35">
      <c r="A71" s="30">
        <f t="shared" si="18"/>
        <v>1</v>
      </c>
      <c r="B71">
        <v>1361</v>
      </c>
      <c r="C71">
        <v>4</v>
      </c>
      <c r="D71">
        <v>3</v>
      </c>
      <c r="E71">
        <v>5</v>
      </c>
      <c r="F71">
        <v>2</v>
      </c>
      <c r="G71">
        <v>2</v>
      </c>
      <c r="H71">
        <v>5</v>
      </c>
      <c r="I71">
        <v>5</v>
      </c>
      <c r="J71">
        <v>1</v>
      </c>
      <c r="K71">
        <v>1</v>
      </c>
      <c r="L71">
        <v>1</v>
      </c>
      <c r="M71">
        <v>2</v>
      </c>
      <c r="N71">
        <v>0</v>
      </c>
      <c r="O71">
        <v>4</v>
      </c>
      <c r="P71">
        <v>4</v>
      </c>
      <c r="Q71">
        <v>2</v>
      </c>
      <c r="R71">
        <v>4</v>
      </c>
      <c r="S71">
        <v>1</v>
      </c>
      <c r="T71" s="3">
        <f t="shared" si="19"/>
        <v>0.29909705999753339</v>
      </c>
      <c r="U71" s="32">
        <f t="shared" si="20"/>
        <v>-5.6401471461296142E-2</v>
      </c>
      <c r="V71" s="32">
        <f t="shared" si="21"/>
        <v>-0.51458870665983425</v>
      </c>
      <c r="W71" s="32">
        <f t="shared" si="22"/>
        <v>0.80698132232978881</v>
      </c>
      <c r="X71" s="32">
        <f t="shared" si="23"/>
        <v>0.21586162773242673</v>
      </c>
      <c r="Y71" s="32">
        <f t="shared" si="24"/>
        <v>2.4129647679270151E-2</v>
      </c>
      <c r="Z71" s="32">
        <f t="shared" si="25"/>
        <v>0.81206041627470116</v>
      </c>
      <c r="AA71" s="32">
        <f t="shared" si="26"/>
        <v>0.80563658408767735</v>
      </c>
      <c r="AF71" s="40"/>
    </row>
    <row r="72" spans="1:32" customFormat="1" ht="14.25" customHeight="1" x14ac:dyDescent="0.35">
      <c r="A72" s="30">
        <f t="shared" si="18"/>
        <v>1</v>
      </c>
      <c r="B72">
        <v>1389</v>
      </c>
      <c r="C72">
        <v>4</v>
      </c>
      <c r="D72">
        <v>3</v>
      </c>
      <c r="E72">
        <v>4</v>
      </c>
      <c r="F72">
        <v>2</v>
      </c>
      <c r="G72">
        <v>2</v>
      </c>
      <c r="H72">
        <v>4</v>
      </c>
      <c r="I72">
        <v>4</v>
      </c>
      <c r="J72">
        <v>1</v>
      </c>
      <c r="K72">
        <v>1</v>
      </c>
      <c r="L72">
        <v>2</v>
      </c>
      <c r="M72">
        <v>1</v>
      </c>
      <c r="N72">
        <v>0</v>
      </c>
      <c r="O72">
        <v>4</v>
      </c>
      <c r="P72">
        <v>4</v>
      </c>
      <c r="Q72">
        <v>2</v>
      </c>
      <c r="R72">
        <v>3</v>
      </c>
      <c r="S72">
        <v>2</v>
      </c>
      <c r="T72" s="3">
        <f t="shared" si="19"/>
        <v>-9.3122385714478742E-2</v>
      </c>
      <c r="U72" s="32">
        <f t="shared" si="20"/>
        <v>-5.6401471461296142E-2</v>
      </c>
      <c r="V72" s="32">
        <f t="shared" si="21"/>
        <v>-0.51458870665983425</v>
      </c>
      <c r="W72" s="32">
        <f t="shared" si="22"/>
        <v>-9.6984149849158471E-2</v>
      </c>
      <c r="X72" s="32">
        <f t="shared" si="23"/>
        <v>0.21586162773242673</v>
      </c>
      <c r="Y72" s="32">
        <f t="shared" si="24"/>
        <v>2.4129647679270151E-2</v>
      </c>
      <c r="Z72" s="32">
        <f t="shared" si="25"/>
        <v>-0.12522426979936985</v>
      </c>
      <c r="AA72" s="32">
        <f t="shared" si="26"/>
        <v>-9.8649377643389324E-2</v>
      </c>
      <c r="AF72" s="40"/>
    </row>
    <row r="73" spans="1:32" customFormat="1" ht="14.25" customHeight="1" x14ac:dyDescent="0.35">
      <c r="A73" s="30">
        <f t="shared" si="18"/>
        <v>1</v>
      </c>
      <c r="B73">
        <v>1402</v>
      </c>
      <c r="C73">
        <v>5</v>
      </c>
      <c r="D73">
        <v>2</v>
      </c>
      <c r="E73">
        <v>4</v>
      </c>
      <c r="F73">
        <v>1</v>
      </c>
      <c r="G73">
        <v>2</v>
      </c>
      <c r="H73">
        <v>4</v>
      </c>
      <c r="I73">
        <v>5</v>
      </c>
      <c r="J73">
        <v>2</v>
      </c>
      <c r="K73">
        <v>1</v>
      </c>
      <c r="L73">
        <v>1</v>
      </c>
      <c r="M73">
        <v>4</v>
      </c>
      <c r="N73">
        <v>0</v>
      </c>
      <c r="O73">
        <v>6</v>
      </c>
      <c r="P73">
        <v>3</v>
      </c>
      <c r="Q73">
        <v>2</v>
      </c>
      <c r="R73">
        <v>3</v>
      </c>
      <c r="S73">
        <v>4</v>
      </c>
      <c r="T73" s="3">
        <f t="shared" si="19"/>
        <v>0.39514397473605012</v>
      </c>
      <c r="U73" s="32">
        <f t="shared" si="20"/>
        <v>0.84420266961423651</v>
      </c>
      <c r="V73" s="32">
        <f t="shared" si="21"/>
        <v>0.26360832519077404</v>
      </c>
      <c r="W73" s="32">
        <f t="shared" si="22"/>
        <v>-9.6984149849158471E-2</v>
      </c>
      <c r="X73" s="32">
        <f t="shared" si="23"/>
        <v>1.0506390162289212</v>
      </c>
      <c r="Y73" s="32">
        <f t="shared" si="24"/>
        <v>2.4129647679270151E-2</v>
      </c>
      <c r="Z73" s="32">
        <f t="shared" si="25"/>
        <v>-0.12522426979936985</v>
      </c>
      <c r="AA73" s="32">
        <f t="shared" si="26"/>
        <v>0.80563658408767735</v>
      </c>
      <c r="AF73" s="40"/>
    </row>
    <row r="74" spans="1:32" customFormat="1" ht="14.25" customHeight="1" x14ac:dyDescent="0.35">
      <c r="A74" s="30">
        <f t="shared" si="18"/>
        <v>1</v>
      </c>
      <c r="B74">
        <v>1406</v>
      </c>
      <c r="C74">
        <v>4</v>
      </c>
      <c r="D74">
        <v>1</v>
      </c>
      <c r="E74">
        <v>4</v>
      </c>
      <c r="F74">
        <v>1</v>
      </c>
      <c r="G74">
        <v>1</v>
      </c>
      <c r="H74">
        <v>5</v>
      </c>
      <c r="I74">
        <v>4</v>
      </c>
      <c r="J74">
        <v>2</v>
      </c>
      <c r="K74">
        <v>2</v>
      </c>
      <c r="L74">
        <v>2</v>
      </c>
      <c r="M74">
        <v>4</v>
      </c>
      <c r="N74">
        <v>0</v>
      </c>
      <c r="O74">
        <v>6</v>
      </c>
      <c r="P74">
        <v>6</v>
      </c>
      <c r="Q74">
        <v>2</v>
      </c>
      <c r="R74">
        <v>2</v>
      </c>
      <c r="S74">
        <v>2</v>
      </c>
      <c r="T74" s="3">
        <f t="shared" si="19"/>
        <v>0.50301958672069846</v>
      </c>
      <c r="U74" s="32">
        <f t="shared" si="20"/>
        <v>-5.6401471461296142E-2</v>
      </c>
      <c r="V74" s="32">
        <f t="shared" si="21"/>
        <v>1.0418053570413823</v>
      </c>
      <c r="W74" s="32">
        <f t="shared" si="22"/>
        <v>-9.6984149849158471E-2</v>
      </c>
      <c r="X74" s="32">
        <f t="shared" si="23"/>
        <v>1.0506390162289212</v>
      </c>
      <c r="Y74" s="32">
        <f t="shared" si="24"/>
        <v>0.86866731645372852</v>
      </c>
      <c r="Z74" s="32">
        <f t="shared" si="25"/>
        <v>0.81206041627470116</v>
      </c>
      <c r="AA74" s="32">
        <f t="shared" si="26"/>
        <v>-9.8649377643389324E-2</v>
      </c>
      <c r="AF74" s="40"/>
    </row>
    <row r="75" spans="1:32" customFormat="1" ht="14.25" customHeight="1" x14ac:dyDescent="0.35">
      <c r="A75" s="30">
        <f t="shared" si="18"/>
        <v>1</v>
      </c>
      <c r="B75">
        <v>1425</v>
      </c>
      <c r="C75">
        <v>5</v>
      </c>
      <c r="D75">
        <v>1</v>
      </c>
      <c r="E75">
        <v>5</v>
      </c>
      <c r="F75">
        <v>1</v>
      </c>
      <c r="G75">
        <v>5</v>
      </c>
      <c r="H75">
        <v>5</v>
      </c>
      <c r="I75">
        <v>4</v>
      </c>
      <c r="J75">
        <v>2</v>
      </c>
      <c r="K75">
        <v>2</v>
      </c>
      <c r="L75">
        <v>1</v>
      </c>
      <c r="M75">
        <v>3</v>
      </c>
      <c r="N75">
        <v>0</v>
      </c>
      <c r="O75">
        <v>6</v>
      </c>
      <c r="P75">
        <v>6</v>
      </c>
      <c r="Q75">
        <v>2</v>
      </c>
      <c r="R75">
        <v>3</v>
      </c>
      <c r="S75">
        <v>2</v>
      </c>
      <c r="T75" s="3">
        <f t="shared" si="19"/>
        <v>0.2782222921716479</v>
      </c>
      <c r="U75" s="32">
        <f t="shared" si="20"/>
        <v>0.84420266961423651</v>
      </c>
      <c r="V75" s="32">
        <f t="shared" si="21"/>
        <v>1.0418053570413823</v>
      </c>
      <c r="W75" s="32">
        <f t="shared" si="22"/>
        <v>0.80698132232978881</v>
      </c>
      <c r="X75" s="32">
        <f t="shared" si="23"/>
        <v>1.0506390162289212</v>
      </c>
      <c r="Y75" s="32">
        <f t="shared" si="24"/>
        <v>-2.509483358644105</v>
      </c>
      <c r="Z75" s="32">
        <f t="shared" si="25"/>
        <v>0.81206041627470116</v>
      </c>
      <c r="AA75" s="32">
        <f t="shared" si="26"/>
        <v>-9.8649377643389324E-2</v>
      </c>
      <c r="AF75" s="40"/>
    </row>
    <row r="76" spans="1:32" customFormat="1" ht="14.25" customHeight="1" x14ac:dyDescent="0.35">
      <c r="A76" s="30">
        <f t="shared" si="18"/>
        <v>1</v>
      </c>
      <c r="B76">
        <v>1442</v>
      </c>
      <c r="C76">
        <v>3</v>
      </c>
      <c r="D76">
        <v>3</v>
      </c>
      <c r="E76">
        <v>5</v>
      </c>
      <c r="F76">
        <v>4</v>
      </c>
      <c r="G76">
        <v>3</v>
      </c>
      <c r="H76">
        <v>5</v>
      </c>
      <c r="I76">
        <v>5</v>
      </c>
      <c r="J76">
        <v>1</v>
      </c>
      <c r="K76">
        <v>2</v>
      </c>
      <c r="L76">
        <v>2</v>
      </c>
      <c r="M76">
        <v>2</v>
      </c>
      <c r="N76">
        <v>0</v>
      </c>
      <c r="O76">
        <v>6</v>
      </c>
      <c r="P76">
        <v>6</v>
      </c>
      <c r="Q76">
        <v>2</v>
      </c>
      <c r="R76">
        <v>2</v>
      </c>
      <c r="S76">
        <v>2</v>
      </c>
      <c r="T76" s="3">
        <f t="shared" si="19"/>
        <v>-0.18871673812289225</v>
      </c>
      <c r="U76" s="32">
        <f t="shared" si="20"/>
        <v>-0.95700561253682881</v>
      </c>
      <c r="V76" s="32">
        <f t="shared" si="21"/>
        <v>-0.51458870665983425</v>
      </c>
      <c r="W76" s="32">
        <f t="shared" si="22"/>
        <v>0.80698132232978881</v>
      </c>
      <c r="X76" s="32">
        <f t="shared" si="23"/>
        <v>-1.453693149260562</v>
      </c>
      <c r="Y76" s="32">
        <f t="shared" si="24"/>
        <v>-0.82040802109518818</v>
      </c>
      <c r="Z76" s="32">
        <f t="shared" si="25"/>
        <v>0.81206041627470116</v>
      </c>
      <c r="AA76" s="32">
        <f t="shared" si="26"/>
        <v>0.80563658408767735</v>
      </c>
      <c r="AF76" s="40"/>
    </row>
    <row r="77" spans="1:32" customFormat="1" ht="14.25" customHeight="1" x14ac:dyDescent="0.35">
      <c r="A77" s="30">
        <f t="shared" si="18"/>
        <v>1</v>
      </c>
      <c r="B77">
        <v>1491</v>
      </c>
      <c r="C77">
        <v>3</v>
      </c>
      <c r="D77">
        <v>2</v>
      </c>
      <c r="E77">
        <v>3</v>
      </c>
      <c r="F77">
        <v>3</v>
      </c>
      <c r="G77">
        <v>3</v>
      </c>
      <c r="H77">
        <v>3</v>
      </c>
      <c r="I77">
        <v>3</v>
      </c>
      <c r="J77">
        <v>1</v>
      </c>
      <c r="K77">
        <v>1</v>
      </c>
      <c r="L77">
        <v>2</v>
      </c>
      <c r="M77">
        <v>1</v>
      </c>
      <c r="N77">
        <v>0</v>
      </c>
      <c r="O77">
        <v>4</v>
      </c>
      <c r="P77">
        <v>6</v>
      </c>
      <c r="Q77">
        <v>2</v>
      </c>
      <c r="R77">
        <v>2</v>
      </c>
      <c r="S77">
        <v>3</v>
      </c>
      <c r="T77" s="3">
        <f t="shared" si="19"/>
        <v>-0.74273071235447341</v>
      </c>
      <c r="U77" s="32">
        <f t="shared" si="20"/>
        <v>-0.95700561253682881</v>
      </c>
      <c r="V77" s="32">
        <f t="shared" si="21"/>
        <v>0.26360832519077404</v>
      </c>
      <c r="W77" s="32">
        <f t="shared" si="22"/>
        <v>-1.0009496220281058</v>
      </c>
      <c r="X77" s="32">
        <f t="shared" si="23"/>
        <v>-0.61891576076406762</v>
      </c>
      <c r="Y77" s="32">
        <f t="shared" si="24"/>
        <v>-0.82040802109518818</v>
      </c>
      <c r="Z77" s="32">
        <f t="shared" si="25"/>
        <v>-1.0625089558734409</v>
      </c>
      <c r="AA77" s="32">
        <f t="shared" si="26"/>
        <v>-1.002935339374456</v>
      </c>
      <c r="AF77" s="40"/>
    </row>
    <row r="78" spans="1:32" customFormat="1" ht="14.25" customHeight="1" x14ac:dyDescent="0.35">
      <c r="A78" s="30">
        <f t="shared" si="18"/>
        <v>1</v>
      </c>
      <c r="B78">
        <v>1505</v>
      </c>
      <c r="C78">
        <v>5</v>
      </c>
      <c r="D78">
        <v>1</v>
      </c>
      <c r="E78">
        <v>1</v>
      </c>
      <c r="F78">
        <v>5</v>
      </c>
      <c r="G78">
        <v>5</v>
      </c>
      <c r="H78">
        <v>5</v>
      </c>
      <c r="I78">
        <v>5</v>
      </c>
      <c r="J78">
        <v>1</v>
      </c>
      <c r="K78">
        <v>1</v>
      </c>
      <c r="L78">
        <v>1</v>
      </c>
      <c r="M78">
        <v>1</v>
      </c>
      <c r="N78">
        <v>0</v>
      </c>
      <c r="O78">
        <v>6</v>
      </c>
      <c r="P78">
        <v>3</v>
      </c>
      <c r="Q78">
        <v>1</v>
      </c>
      <c r="R78">
        <v>1</v>
      </c>
      <c r="S78">
        <v>1</v>
      </c>
      <c r="T78" s="3">
        <f t="shared" si="19"/>
        <v>-0.58616134796702346</v>
      </c>
      <c r="U78" s="32">
        <f t="shared" si="20"/>
        <v>0.84420266961423651</v>
      </c>
      <c r="V78" s="32">
        <f t="shared" si="21"/>
        <v>1.0418053570413823</v>
      </c>
      <c r="W78" s="32">
        <f t="shared" si="22"/>
        <v>-2.8088805663860001</v>
      </c>
      <c r="X78" s="32">
        <f t="shared" si="23"/>
        <v>-2.2884705377570564</v>
      </c>
      <c r="Y78" s="32">
        <f t="shared" si="24"/>
        <v>-2.509483358644105</v>
      </c>
      <c r="Z78" s="32">
        <f t="shared" si="25"/>
        <v>0.81206041627470116</v>
      </c>
      <c r="AA78" s="32">
        <f t="shared" si="26"/>
        <v>0.80563658408767735</v>
      </c>
      <c r="AF78" s="40"/>
    </row>
    <row r="79" spans="1:32" customFormat="1" ht="14.25" customHeight="1" x14ac:dyDescent="0.35">
      <c r="A79" s="30">
        <f t="shared" si="18"/>
        <v>1</v>
      </c>
      <c r="B79">
        <v>1533</v>
      </c>
      <c r="C79">
        <v>4</v>
      </c>
      <c r="D79">
        <v>2</v>
      </c>
      <c r="E79">
        <v>3</v>
      </c>
      <c r="F79">
        <v>2</v>
      </c>
      <c r="G79">
        <v>2</v>
      </c>
      <c r="H79">
        <v>3</v>
      </c>
      <c r="I79">
        <v>4</v>
      </c>
      <c r="J79">
        <v>1</v>
      </c>
      <c r="K79">
        <v>1</v>
      </c>
      <c r="L79">
        <v>1</v>
      </c>
      <c r="M79">
        <v>2</v>
      </c>
      <c r="N79">
        <v>0</v>
      </c>
      <c r="O79">
        <v>5</v>
      </c>
      <c r="P79">
        <v>3</v>
      </c>
      <c r="Q79">
        <v>2</v>
      </c>
      <c r="R79">
        <v>4</v>
      </c>
      <c r="S79">
        <v>2</v>
      </c>
      <c r="T79" s="3">
        <f t="shared" si="19"/>
        <v>-0.2449871180576802</v>
      </c>
      <c r="U79" s="32">
        <f t="shared" si="20"/>
        <v>-5.6401471461296142E-2</v>
      </c>
      <c r="V79" s="32">
        <f t="shared" si="21"/>
        <v>0.26360832519077404</v>
      </c>
      <c r="W79" s="32">
        <f t="shared" si="22"/>
        <v>-1.0009496220281058</v>
      </c>
      <c r="X79" s="32">
        <f t="shared" si="23"/>
        <v>0.21586162773242673</v>
      </c>
      <c r="Y79" s="32">
        <f t="shared" si="24"/>
        <v>2.4129647679270151E-2</v>
      </c>
      <c r="Z79" s="32">
        <f t="shared" si="25"/>
        <v>-1.0625089558734409</v>
      </c>
      <c r="AA79" s="32">
        <f t="shared" si="26"/>
        <v>-9.8649377643389324E-2</v>
      </c>
      <c r="AF79" s="40"/>
    </row>
    <row r="80" spans="1:32" customFormat="1" ht="14.25" customHeight="1" x14ac:dyDescent="0.35">
      <c r="A80" s="30">
        <f t="shared" si="18"/>
        <v>1</v>
      </c>
      <c r="B80">
        <v>1586</v>
      </c>
      <c r="C80">
        <v>4</v>
      </c>
      <c r="D80">
        <v>2</v>
      </c>
      <c r="E80">
        <v>4</v>
      </c>
      <c r="F80">
        <v>2</v>
      </c>
      <c r="G80">
        <v>2</v>
      </c>
      <c r="H80">
        <v>4</v>
      </c>
      <c r="I80">
        <v>4</v>
      </c>
      <c r="J80">
        <v>2</v>
      </c>
      <c r="K80">
        <v>1</v>
      </c>
      <c r="L80">
        <v>2</v>
      </c>
      <c r="M80">
        <v>1</v>
      </c>
      <c r="N80">
        <v>10</v>
      </c>
      <c r="O80">
        <v>6</v>
      </c>
      <c r="P80">
        <v>6</v>
      </c>
      <c r="Q80">
        <v>2</v>
      </c>
      <c r="R80">
        <v>3</v>
      </c>
      <c r="S80">
        <v>2</v>
      </c>
      <c r="T80" s="3">
        <f t="shared" si="19"/>
        <v>1.8048618835608161E-2</v>
      </c>
      <c r="U80" s="32">
        <f t="shared" si="20"/>
        <v>-5.6401471461296142E-2</v>
      </c>
      <c r="V80" s="32">
        <f t="shared" si="21"/>
        <v>0.26360832519077404</v>
      </c>
      <c r="W80" s="32">
        <f t="shared" si="22"/>
        <v>-9.6984149849158471E-2</v>
      </c>
      <c r="X80" s="32">
        <f t="shared" si="23"/>
        <v>0.21586162773242673</v>
      </c>
      <c r="Y80" s="32">
        <f t="shared" si="24"/>
        <v>2.4129647679270151E-2</v>
      </c>
      <c r="Z80" s="32">
        <f t="shared" si="25"/>
        <v>-0.12522426979936985</v>
      </c>
      <c r="AA80" s="32">
        <f t="shared" si="26"/>
        <v>-9.8649377643389324E-2</v>
      </c>
      <c r="AF80" s="40"/>
    </row>
    <row r="81" spans="1:32" customFormat="1" ht="14.25" customHeight="1" x14ac:dyDescent="0.35">
      <c r="A81" s="30">
        <f t="shared" si="18"/>
        <v>1</v>
      </c>
      <c r="B81">
        <v>1607</v>
      </c>
      <c r="C81">
        <v>5</v>
      </c>
      <c r="D81">
        <v>3</v>
      </c>
      <c r="E81">
        <v>5</v>
      </c>
      <c r="F81">
        <v>4</v>
      </c>
      <c r="G81">
        <v>3</v>
      </c>
      <c r="H81">
        <v>5</v>
      </c>
      <c r="I81">
        <v>5</v>
      </c>
      <c r="J81">
        <v>2</v>
      </c>
      <c r="K81">
        <v>1</v>
      </c>
      <c r="L81">
        <v>4</v>
      </c>
      <c r="M81">
        <v>3</v>
      </c>
      <c r="N81">
        <v>30</v>
      </c>
      <c r="O81">
        <v>6</v>
      </c>
      <c r="P81">
        <v>4</v>
      </c>
      <c r="Q81">
        <v>1</v>
      </c>
      <c r="R81">
        <v>2</v>
      </c>
      <c r="S81">
        <v>2</v>
      </c>
      <c r="T81" s="3">
        <f t="shared" si="19"/>
        <v>6.8598730755831339E-2</v>
      </c>
      <c r="U81" s="32">
        <f t="shared" si="20"/>
        <v>0.84420266961423651</v>
      </c>
      <c r="V81" s="32">
        <f t="shared" si="21"/>
        <v>-0.51458870665983425</v>
      </c>
      <c r="W81" s="32">
        <f t="shared" si="22"/>
        <v>0.80698132232978881</v>
      </c>
      <c r="X81" s="32">
        <f t="shared" si="23"/>
        <v>-1.453693149260562</v>
      </c>
      <c r="Y81" s="32">
        <f t="shared" si="24"/>
        <v>-0.82040802109518818</v>
      </c>
      <c r="Z81" s="32">
        <f t="shared" si="25"/>
        <v>0.81206041627470116</v>
      </c>
      <c r="AA81" s="32">
        <f t="shared" si="26"/>
        <v>0.80563658408767735</v>
      </c>
      <c r="AF81" s="40"/>
    </row>
    <row r="82" spans="1:32" customFormat="1" ht="14.25" customHeight="1" x14ac:dyDescent="0.35">
      <c r="A82" s="30">
        <f t="shared" si="18"/>
        <v>1</v>
      </c>
      <c r="B82">
        <v>1621</v>
      </c>
      <c r="C82">
        <v>5</v>
      </c>
      <c r="D82">
        <v>5</v>
      </c>
      <c r="E82">
        <v>5</v>
      </c>
      <c r="F82">
        <v>3</v>
      </c>
      <c r="G82">
        <v>1</v>
      </c>
      <c r="H82">
        <v>3</v>
      </c>
      <c r="I82">
        <v>4</v>
      </c>
      <c r="J82">
        <v>2</v>
      </c>
      <c r="K82">
        <v>2</v>
      </c>
      <c r="L82">
        <v>1</v>
      </c>
      <c r="M82">
        <v>2</v>
      </c>
      <c r="N82">
        <v>0</v>
      </c>
      <c r="O82">
        <v>4</v>
      </c>
      <c r="P82">
        <v>4</v>
      </c>
      <c r="Q82">
        <v>1</v>
      </c>
      <c r="R82">
        <v>2</v>
      </c>
      <c r="S82">
        <v>2</v>
      </c>
      <c r="T82" s="3">
        <f t="shared" si="19"/>
        <v>-0.19017222232059927</v>
      </c>
      <c r="U82" s="32">
        <f t="shared" si="20"/>
        <v>0.84420266961423651</v>
      </c>
      <c r="V82" s="32">
        <f t="shared" si="21"/>
        <v>-2.0709827703610508</v>
      </c>
      <c r="W82" s="32">
        <f t="shared" si="22"/>
        <v>0.80698132232978881</v>
      </c>
      <c r="X82" s="32">
        <f t="shared" si="23"/>
        <v>-0.61891576076406762</v>
      </c>
      <c r="Y82" s="32">
        <f t="shared" si="24"/>
        <v>0.86866731645372852</v>
      </c>
      <c r="Z82" s="32">
        <f t="shared" si="25"/>
        <v>-1.0625089558734409</v>
      </c>
      <c r="AA82" s="32">
        <f t="shared" si="26"/>
        <v>-9.8649377643389324E-2</v>
      </c>
      <c r="AF82" s="40"/>
    </row>
    <row r="83" spans="1:32" customFormat="1" ht="14.25" customHeight="1" x14ac:dyDescent="0.35">
      <c r="A83" s="30">
        <f t="shared" si="18"/>
        <v>1</v>
      </c>
      <c r="B83">
        <v>1630</v>
      </c>
      <c r="C83">
        <v>5</v>
      </c>
      <c r="D83">
        <v>5</v>
      </c>
      <c r="E83">
        <v>5</v>
      </c>
      <c r="F83">
        <v>2</v>
      </c>
      <c r="G83">
        <v>2</v>
      </c>
      <c r="H83">
        <v>4</v>
      </c>
      <c r="I83">
        <v>5</v>
      </c>
      <c r="J83">
        <v>1</v>
      </c>
      <c r="K83">
        <v>1</v>
      </c>
      <c r="L83">
        <v>1</v>
      </c>
      <c r="M83">
        <v>1</v>
      </c>
      <c r="N83">
        <v>0</v>
      </c>
      <c r="O83">
        <v>6</v>
      </c>
      <c r="P83">
        <v>6</v>
      </c>
      <c r="Q83">
        <v>2</v>
      </c>
      <c r="R83">
        <v>1</v>
      </c>
      <c r="S83">
        <v>3</v>
      </c>
      <c r="T83" s="3">
        <f t="shared" si="19"/>
        <v>7.1514973040425561E-2</v>
      </c>
      <c r="U83" s="32">
        <f t="shared" si="20"/>
        <v>0.84420266961423651</v>
      </c>
      <c r="V83" s="32">
        <f t="shared" si="21"/>
        <v>-2.0709827703610508</v>
      </c>
      <c r="W83" s="32">
        <f t="shared" si="22"/>
        <v>0.80698132232978881</v>
      </c>
      <c r="X83" s="32">
        <f t="shared" si="23"/>
        <v>0.21586162773242673</v>
      </c>
      <c r="Y83" s="32">
        <f t="shared" si="24"/>
        <v>2.4129647679270151E-2</v>
      </c>
      <c r="Z83" s="32">
        <f t="shared" si="25"/>
        <v>-0.12522426979936985</v>
      </c>
      <c r="AA83" s="32">
        <f t="shared" si="26"/>
        <v>0.80563658408767735</v>
      </c>
      <c r="AF83" s="40"/>
    </row>
    <row r="84" spans="1:32" customFormat="1" ht="14.25" customHeight="1" x14ac:dyDescent="0.35">
      <c r="A84" s="30">
        <f t="shared" si="18"/>
        <v>1</v>
      </c>
      <c r="B84">
        <v>1656</v>
      </c>
      <c r="C84">
        <v>4</v>
      </c>
      <c r="D84">
        <v>4</v>
      </c>
      <c r="E84">
        <v>4</v>
      </c>
      <c r="F84">
        <v>3</v>
      </c>
      <c r="G84">
        <v>2</v>
      </c>
      <c r="H84">
        <v>3</v>
      </c>
      <c r="I84">
        <v>2</v>
      </c>
      <c r="J84">
        <v>2</v>
      </c>
      <c r="K84">
        <v>2</v>
      </c>
      <c r="L84">
        <v>2</v>
      </c>
      <c r="M84">
        <v>2</v>
      </c>
      <c r="N84">
        <v>0</v>
      </c>
      <c r="O84">
        <v>6</v>
      </c>
      <c r="P84">
        <v>5</v>
      </c>
      <c r="Q84">
        <v>2</v>
      </c>
      <c r="R84">
        <v>2</v>
      </c>
      <c r="S84">
        <v>3</v>
      </c>
      <c r="T84" s="3">
        <f t="shared" si="19"/>
        <v>-0.71581253284066548</v>
      </c>
      <c r="U84" s="32">
        <f t="shared" si="20"/>
        <v>-5.6401471461296142E-2</v>
      </c>
      <c r="V84" s="32">
        <f t="shared" si="21"/>
        <v>-1.2927857385104427</v>
      </c>
      <c r="W84" s="32">
        <f t="shared" si="22"/>
        <v>-9.6984149849158471E-2</v>
      </c>
      <c r="X84" s="32">
        <f t="shared" si="23"/>
        <v>-0.61891576076406762</v>
      </c>
      <c r="Y84" s="32">
        <f t="shared" si="24"/>
        <v>2.4129647679270151E-2</v>
      </c>
      <c r="Z84" s="32">
        <f t="shared" si="25"/>
        <v>-1.0625089558734409</v>
      </c>
      <c r="AA84" s="32">
        <f t="shared" si="26"/>
        <v>-1.9072213011055226</v>
      </c>
      <c r="AF84" s="40"/>
    </row>
    <row r="85" spans="1:32" customFormat="1" ht="14.25" customHeight="1" x14ac:dyDescent="0.35">
      <c r="A85" s="30">
        <f t="shared" si="18"/>
        <v>1</v>
      </c>
      <c r="B85">
        <v>1675</v>
      </c>
      <c r="C85">
        <v>5</v>
      </c>
      <c r="D85">
        <v>5</v>
      </c>
      <c r="E85">
        <v>5</v>
      </c>
      <c r="F85">
        <v>5</v>
      </c>
      <c r="G85">
        <v>1</v>
      </c>
      <c r="H85">
        <v>5</v>
      </c>
      <c r="I85">
        <v>5</v>
      </c>
      <c r="J85">
        <v>2</v>
      </c>
      <c r="K85">
        <v>1</v>
      </c>
      <c r="L85">
        <v>1</v>
      </c>
      <c r="M85">
        <v>3</v>
      </c>
      <c r="N85">
        <v>0</v>
      </c>
      <c r="O85">
        <v>6</v>
      </c>
      <c r="P85">
        <v>6</v>
      </c>
      <c r="Q85">
        <v>2</v>
      </c>
      <c r="R85">
        <v>2</v>
      </c>
      <c r="S85">
        <v>2</v>
      </c>
      <c r="T85" s="3">
        <f t="shared" si="19"/>
        <v>-3.1700714193996449E-2</v>
      </c>
      <c r="U85" s="32">
        <f t="shared" si="20"/>
        <v>0.84420266961423651</v>
      </c>
      <c r="V85" s="32">
        <f t="shared" si="21"/>
        <v>-2.0709827703610508</v>
      </c>
      <c r="W85" s="32">
        <f t="shared" si="22"/>
        <v>0.80698132232978881</v>
      </c>
      <c r="X85" s="32">
        <f t="shared" si="23"/>
        <v>-2.2884705377570564</v>
      </c>
      <c r="Y85" s="32">
        <f t="shared" si="24"/>
        <v>0.86866731645372852</v>
      </c>
      <c r="Z85" s="32">
        <f t="shared" si="25"/>
        <v>0.81206041627470116</v>
      </c>
      <c r="AA85" s="32">
        <f t="shared" si="26"/>
        <v>0.80563658408767735</v>
      </c>
      <c r="AF85" s="40"/>
    </row>
    <row r="86" spans="1:32" customFormat="1" ht="14.25" customHeight="1" x14ac:dyDescent="0.35">
      <c r="A86" s="30">
        <f t="shared" si="18"/>
        <v>1</v>
      </c>
      <c r="B86">
        <v>1688</v>
      </c>
      <c r="C86">
        <v>1</v>
      </c>
      <c r="D86">
        <v>5</v>
      </c>
      <c r="E86">
        <v>1</v>
      </c>
      <c r="F86">
        <v>4</v>
      </c>
      <c r="G86">
        <v>4</v>
      </c>
      <c r="H86">
        <v>3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5</v>
      </c>
      <c r="P86">
        <v>6</v>
      </c>
      <c r="Q86">
        <v>1</v>
      </c>
      <c r="R86">
        <v>1</v>
      </c>
      <c r="S86">
        <v>1</v>
      </c>
      <c r="T86" s="3">
        <f t="shared" si="19"/>
        <v>-2.0901046127535978</v>
      </c>
      <c r="U86" s="32">
        <f t="shared" si="20"/>
        <v>-2.758213894687894</v>
      </c>
      <c r="V86" s="32">
        <f t="shared" si="21"/>
        <v>-2.0709827703610508</v>
      </c>
      <c r="W86" s="32">
        <f t="shared" si="22"/>
        <v>-2.8088805663860001</v>
      </c>
      <c r="X86" s="32">
        <f t="shared" si="23"/>
        <v>-1.453693149260562</v>
      </c>
      <c r="Y86" s="32">
        <f t="shared" si="24"/>
        <v>-1.6649456898696466</v>
      </c>
      <c r="Z86" s="32">
        <f t="shared" si="25"/>
        <v>-1.0625089558734409</v>
      </c>
      <c r="AA86" s="32">
        <f t="shared" si="26"/>
        <v>-2.8115072628365891</v>
      </c>
      <c r="AF86" s="40"/>
    </row>
    <row r="87" spans="1:32" customFormat="1" ht="14.25" customHeight="1" x14ac:dyDescent="0.35">
      <c r="A87" s="30">
        <f t="shared" si="18"/>
        <v>1</v>
      </c>
      <c r="B87">
        <v>1702</v>
      </c>
      <c r="C87">
        <v>5</v>
      </c>
      <c r="D87">
        <v>3</v>
      </c>
      <c r="E87">
        <v>4</v>
      </c>
      <c r="F87">
        <v>3</v>
      </c>
      <c r="G87">
        <v>4</v>
      </c>
      <c r="H87">
        <v>4</v>
      </c>
      <c r="I87">
        <v>3</v>
      </c>
      <c r="J87">
        <v>1</v>
      </c>
      <c r="K87">
        <v>1</v>
      </c>
      <c r="L87">
        <v>1</v>
      </c>
      <c r="M87">
        <v>2</v>
      </c>
      <c r="N87">
        <v>0</v>
      </c>
      <c r="O87">
        <v>5</v>
      </c>
      <c r="P87">
        <v>5</v>
      </c>
      <c r="Q87">
        <v>2</v>
      </c>
      <c r="R87">
        <v>2</v>
      </c>
      <c r="S87">
        <v>1</v>
      </c>
      <c r="T87" s="3">
        <f t="shared" si="19"/>
        <v>-0.45419874952889944</v>
      </c>
      <c r="U87" s="32">
        <f t="shared" si="20"/>
        <v>0.84420266961423651</v>
      </c>
      <c r="V87" s="32">
        <f t="shared" si="21"/>
        <v>-0.51458870665983425</v>
      </c>
      <c r="W87" s="32">
        <f t="shared" si="22"/>
        <v>-9.6984149849158471E-2</v>
      </c>
      <c r="X87" s="32">
        <f t="shared" si="23"/>
        <v>-0.61891576076406762</v>
      </c>
      <c r="Y87" s="32">
        <f t="shared" si="24"/>
        <v>-1.6649456898696466</v>
      </c>
      <c r="Z87" s="32">
        <f t="shared" si="25"/>
        <v>-0.12522426979936985</v>
      </c>
      <c r="AA87" s="32">
        <f t="shared" si="26"/>
        <v>-1.002935339374456</v>
      </c>
      <c r="AF87" s="40"/>
    </row>
    <row r="88" spans="1:32" customFormat="1" ht="14.25" customHeight="1" x14ac:dyDescent="0.35">
      <c r="A88" s="30">
        <f t="shared" si="18"/>
        <v>1</v>
      </c>
      <c r="B88">
        <v>1706</v>
      </c>
      <c r="C88">
        <v>4</v>
      </c>
      <c r="D88">
        <v>4</v>
      </c>
      <c r="E88">
        <v>4</v>
      </c>
      <c r="F88">
        <v>3</v>
      </c>
      <c r="G88">
        <v>2</v>
      </c>
      <c r="H88">
        <v>4</v>
      </c>
      <c r="I88">
        <v>4</v>
      </c>
      <c r="J88">
        <v>1</v>
      </c>
      <c r="K88">
        <v>1</v>
      </c>
      <c r="L88">
        <v>1</v>
      </c>
      <c r="M88">
        <v>2</v>
      </c>
      <c r="N88">
        <v>0</v>
      </c>
      <c r="O88">
        <v>6</v>
      </c>
      <c r="P88">
        <v>6</v>
      </c>
      <c r="Q88">
        <v>2</v>
      </c>
      <c r="R88">
        <v>1</v>
      </c>
      <c r="S88">
        <v>2</v>
      </c>
      <c r="T88" s="3">
        <f t="shared" si="19"/>
        <v>-0.32354730290692196</v>
      </c>
      <c r="U88" s="32">
        <f t="shared" si="20"/>
        <v>-5.6401471461296142E-2</v>
      </c>
      <c r="V88" s="32">
        <f t="shared" si="21"/>
        <v>-1.2927857385104427</v>
      </c>
      <c r="W88" s="32">
        <f t="shared" si="22"/>
        <v>-9.6984149849158471E-2</v>
      </c>
      <c r="X88" s="32">
        <f t="shared" si="23"/>
        <v>-0.61891576076406762</v>
      </c>
      <c r="Y88" s="32">
        <f t="shared" si="24"/>
        <v>2.4129647679270151E-2</v>
      </c>
      <c r="Z88" s="32">
        <f t="shared" si="25"/>
        <v>-0.12522426979936985</v>
      </c>
      <c r="AA88" s="32">
        <f t="shared" si="26"/>
        <v>-9.8649377643389324E-2</v>
      </c>
      <c r="AF88" s="40"/>
    </row>
    <row r="89" spans="1:32" customFormat="1" ht="14.25" customHeight="1" x14ac:dyDescent="0.35">
      <c r="A89" s="30">
        <f t="shared" si="18"/>
        <v>1</v>
      </c>
      <c r="B89">
        <v>1721</v>
      </c>
      <c r="C89">
        <v>5</v>
      </c>
      <c r="D89">
        <v>1</v>
      </c>
      <c r="E89">
        <v>4</v>
      </c>
      <c r="F89">
        <v>5</v>
      </c>
      <c r="G89">
        <v>1</v>
      </c>
      <c r="H89">
        <v>5</v>
      </c>
      <c r="I89">
        <v>4</v>
      </c>
      <c r="J89">
        <v>1</v>
      </c>
      <c r="K89">
        <v>1</v>
      </c>
      <c r="L89">
        <v>2</v>
      </c>
      <c r="M89">
        <v>1</v>
      </c>
      <c r="N89">
        <v>0</v>
      </c>
      <c r="O89">
        <v>6</v>
      </c>
      <c r="P89">
        <v>4</v>
      </c>
      <c r="Q89">
        <v>1</v>
      </c>
      <c r="R89">
        <v>1</v>
      </c>
      <c r="S89">
        <v>1</v>
      </c>
      <c r="T89" s="3">
        <f t="shared" si="19"/>
        <v>0.1546616705906349</v>
      </c>
      <c r="U89" s="32">
        <f t="shared" si="20"/>
        <v>0.84420266961423651</v>
      </c>
      <c r="V89" s="32">
        <f t="shared" si="21"/>
        <v>1.0418053570413823</v>
      </c>
      <c r="W89" s="32">
        <f t="shared" si="22"/>
        <v>-9.6984149849158471E-2</v>
      </c>
      <c r="X89" s="32">
        <f t="shared" si="23"/>
        <v>-2.2884705377570564</v>
      </c>
      <c r="Y89" s="32">
        <f t="shared" si="24"/>
        <v>0.86866731645372852</v>
      </c>
      <c r="Z89" s="32">
        <f t="shared" si="25"/>
        <v>0.81206041627470116</v>
      </c>
      <c r="AA89" s="32">
        <f t="shared" si="26"/>
        <v>-9.8649377643389324E-2</v>
      </c>
      <c r="AF89" s="40"/>
    </row>
    <row r="90" spans="1:32" customFormat="1" ht="14.25" customHeight="1" x14ac:dyDescent="0.35">
      <c r="A90" s="30">
        <f t="shared" si="18"/>
        <v>1</v>
      </c>
      <c r="B90">
        <v>1775</v>
      </c>
      <c r="C90">
        <v>5</v>
      </c>
      <c r="D90">
        <v>1</v>
      </c>
      <c r="E90">
        <v>5</v>
      </c>
      <c r="F90">
        <v>1</v>
      </c>
      <c r="G90">
        <v>1</v>
      </c>
      <c r="H90">
        <v>5</v>
      </c>
      <c r="I90">
        <v>5</v>
      </c>
      <c r="J90">
        <v>2</v>
      </c>
      <c r="K90">
        <v>1</v>
      </c>
      <c r="L90">
        <v>2</v>
      </c>
      <c r="M90">
        <v>1</v>
      </c>
      <c r="N90">
        <v>0</v>
      </c>
      <c r="O90">
        <v>6</v>
      </c>
      <c r="P90">
        <v>4</v>
      </c>
      <c r="Q90">
        <v>1</v>
      </c>
      <c r="R90">
        <v>1</v>
      </c>
      <c r="S90">
        <v>1</v>
      </c>
      <c r="T90" s="3">
        <f t="shared" si="19"/>
        <v>0.88999895457577671</v>
      </c>
      <c r="U90" s="32">
        <f t="shared" si="20"/>
        <v>0.84420266961423651</v>
      </c>
      <c r="V90" s="32">
        <f t="shared" si="21"/>
        <v>1.0418053570413823</v>
      </c>
      <c r="W90" s="32">
        <f t="shared" si="22"/>
        <v>0.80698132232978881</v>
      </c>
      <c r="X90" s="32">
        <f t="shared" si="23"/>
        <v>1.0506390162289212</v>
      </c>
      <c r="Y90" s="32">
        <f t="shared" si="24"/>
        <v>0.86866731645372852</v>
      </c>
      <c r="Z90" s="32">
        <f t="shared" si="25"/>
        <v>0.81206041627470116</v>
      </c>
      <c r="AA90" s="32">
        <f t="shared" si="26"/>
        <v>0.80563658408767735</v>
      </c>
      <c r="AF90" s="40"/>
    </row>
    <row r="91" spans="1:32" customFormat="1" ht="14.25" customHeight="1" x14ac:dyDescent="0.35">
      <c r="A91" s="30">
        <f t="shared" si="18"/>
        <v>1</v>
      </c>
      <c r="B91">
        <v>1785</v>
      </c>
      <c r="C91">
        <v>4</v>
      </c>
      <c r="D91">
        <v>3</v>
      </c>
      <c r="E91">
        <v>3</v>
      </c>
      <c r="F91">
        <v>4</v>
      </c>
      <c r="G91">
        <v>4</v>
      </c>
      <c r="H91">
        <v>4</v>
      </c>
      <c r="I91">
        <v>3</v>
      </c>
      <c r="J91">
        <v>2</v>
      </c>
      <c r="K91">
        <v>1</v>
      </c>
      <c r="L91">
        <v>1</v>
      </c>
      <c r="M91">
        <v>3</v>
      </c>
      <c r="N91">
        <v>0</v>
      </c>
      <c r="O91">
        <v>6</v>
      </c>
      <c r="P91">
        <v>4</v>
      </c>
      <c r="Q91">
        <v>3</v>
      </c>
      <c r="R91">
        <v>2</v>
      </c>
      <c r="S91">
        <v>2</v>
      </c>
      <c r="T91" s="3">
        <f t="shared" si="19"/>
        <v>-0.83124832120761005</v>
      </c>
      <c r="U91" s="32">
        <f t="shared" si="20"/>
        <v>-5.6401471461296142E-2</v>
      </c>
      <c r="V91" s="32">
        <f t="shared" si="21"/>
        <v>-0.51458870665983425</v>
      </c>
      <c r="W91" s="32">
        <f t="shared" si="22"/>
        <v>-1.0009496220281058</v>
      </c>
      <c r="X91" s="32">
        <f t="shared" si="23"/>
        <v>-1.453693149260562</v>
      </c>
      <c r="Y91" s="32">
        <f t="shared" si="24"/>
        <v>-1.6649456898696466</v>
      </c>
      <c r="Z91" s="32">
        <f t="shared" si="25"/>
        <v>-0.12522426979936985</v>
      </c>
      <c r="AA91" s="32">
        <f t="shared" si="26"/>
        <v>-1.002935339374456</v>
      </c>
      <c r="AF91" s="40"/>
    </row>
    <row r="92" spans="1:32" customFormat="1" ht="14.25" customHeight="1" x14ac:dyDescent="0.35">
      <c r="A92" s="30">
        <f t="shared" si="18"/>
        <v>1</v>
      </c>
      <c r="B92">
        <v>1789</v>
      </c>
      <c r="C92">
        <v>5</v>
      </c>
      <c r="D92">
        <v>1</v>
      </c>
      <c r="E92">
        <v>5</v>
      </c>
      <c r="F92">
        <v>1</v>
      </c>
      <c r="G92">
        <v>1</v>
      </c>
      <c r="H92">
        <v>4</v>
      </c>
      <c r="I92">
        <v>4</v>
      </c>
      <c r="J92">
        <v>1</v>
      </c>
      <c r="K92">
        <v>1</v>
      </c>
      <c r="L92">
        <v>2</v>
      </c>
      <c r="M92">
        <v>2</v>
      </c>
      <c r="N92">
        <v>0</v>
      </c>
      <c r="O92">
        <v>6</v>
      </c>
      <c r="P92">
        <v>4</v>
      </c>
      <c r="Q92">
        <v>1</v>
      </c>
      <c r="R92">
        <v>2</v>
      </c>
      <c r="S92">
        <v>2</v>
      </c>
      <c r="T92" s="3">
        <f t="shared" si="19"/>
        <v>0.6269174334607569</v>
      </c>
      <c r="U92" s="32">
        <f t="shared" si="20"/>
        <v>0.84420266961423651</v>
      </c>
      <c r="V92" s="32">
        <f t="shared" si="21"/>
        <v>1.0418053570413823</v>
      </c>
      <c r="W92" s="32">
        <f t="shared" si="22"/>
        <v>0.80698132232978881</v>
      </c>
      <c r="X92" s="32">
        <f t="shared" si="23"/>
        <v>1.0506390162289212</v>
      </c>
      <c r="Y92" s="32">
        <f t="shared" si="24"/>
        <v>0.86866731645372852</v>
      </c>
      <c r="Z92" s="32">
        <f t="shared" si="25"/>
        <v>-0.12522426979936985</v>
      </c>
      <c r="AA92" s="32">
        <f t="shared" si="26"/>
        <v>-9.8649377643389324E-2</v>
      </c>
      <c r="AF92" s="40"/>
    </row>
    <row r="93" spans="1:32" customFormat="1" ht="14.25" customHeight="1" x14ac:dyDescent="0.35">
      <c r="A93" s="30">
        <f t="shared" si="18"/>
        <v>1</v>
      </c>
      <c r="B93">
        <v>1821</v>
      </c>
      <c r="C93">
        <v>5</v>
      </c>
      <c r="D93">
        <v>1</v>
      </c>
      <c r="E93">
        <v>5</v>
      </c>
      <c r="F93">
        <v>1</v>
      </c>
      <c r="G93">
        <v>1</v>
      </c>
      <c r="H93">
        <v>5</v>
      </c>
      <c r="I93">
        <v>5</v>
      </c>
      <c r="J93">
        <v>2</v>
      </c>
      <c r="K93">
        <v>1</v>
      </c>
      <c r="L93">
        <v>2</v>
      </c>
      <c r="M93">
        <v>3</v>
      </c>
      <c r="N93">
        <v>30</v>
      </c>
      <c r="O93">
        <v>6</v>
      </c>
      <c r="P93">
        <v>5</v>
      </c>
      <c r="Q93">
        <v>1</v>
      </c>
      <c r="R93">
        <v>1</v>
      </c>
      <c r="S93">
        <v>1</v>
      </c>
      <c r="T93" s="3">
        <f t="shared" si="19"/>
        <v>0.88999895457577671</v>
      </c>
      <c r="U93" s="32">
        <f t="shared" si="20"/>
        <v>0.84420266961423651</v>
      </c>
      <c r="V93" s="32">
        <f t="shared" si="21"/>
        <v>1.0418053570413823</v>
      </c>
      <c r="W93" s="32">
        <f t="shared" si="22"/>
        <v>0.80698132232978881</v>
      </c>
      <c r="X93" s="32">
        <f t="shared" si="23"/>
        <v>1.0506390162289212</v>
      </c>
      <c r="Y93" s="32">
        <f t="shared" si="24"/>
        <v>0.86866731645372852</v>
      </c>
      <c r="Z93" s="32">
        <f t="shared" si="25"/>
        <v>0.81206041627470116</v>
      </c>
      <c r="AA93" s="32">
        <f t="shared" si="26"/>
        <v>0.80563658408767735</v>
      </c>
      <c r="AF93" s="40"/>
    </row>
    <row r="94" spans="1:32" customFormat="1" ht="14.25" customHeight="1" x14ac:dyDescent="0.35">
      <c r="A94" s="30">
        <f t="shared" si="18"/>
        <v>1</v>
      </c>
      <c r="B94">
        <v>1825</v>
      </c>
      <c r="C94">
        <v>2</v>
      </c>
      <c r="D94">
        <v>2</v>
      </c>
      <c r="E94">
        <v>5</v>
      </c>
      <c r="F94">
        <v>1</v>
      </c>
      <c r="G94">
        <v>1</v>
      </c>
      <c r="H94">
        <v>5</v>
      </c>
      <c r="I94">
        <v>5</v>
      </c>
      <c r="J94">
        <v>2</v>
      </c>
      <c r="K94">
        <v>2</v>
      </c>
      <c r="L94">
        <v>2</v>
      </c>
      <c r="M94">
        <v>4</v>
      </c>
      <c r="N94">
        <v>0</v>
      </c>
      <c r="O94">
        <v>6</v>
      </c>
      <c r="P94">
        <v>6</v>
      </c>
      <c r="Q94">
        <v>1</v>
      </c>
      <c r="R94">
        <v>1</v>
      </c>
      <c r="S94">
        <v>2</v>
      </c>
      <c r="T94" s="3">
        <f t="shared" si="19"/>
        <v>0.39285474670760429</v>
      </c>
      <c r="U94" s="32">
        <f t="shared" si="20"/>
        <v>-1.8576097536123615</v>
      </c>
      <c r="V94" s="32">
        <f t="shared" si="21"/>
        <v>0.26360832519077404</v>
      </c>
      <c r="W94" s="32">
        <f t="shared" si="22"/>
        <v>0.80698132232978881</v>
      </c>
      <c r="X94" s="32">
        <f t="shared" si="23"/>
        <v>1.0506390162289212</v>
      </c>
      <c r="Y94" s="32">
        <f t="shared" si="24"/>
        <v>0.86866731645372852</v>
      </c>
      <c r="Z94" s="32">
        <f t="shared" si="25"/>
        <v>0.81206041627470116</v>
      </c>
      <c r="AA94" s="32">
        <f t="shared" si="26"/>
        <v>0.80563658408767735</v>
      </c>
      <c r="AF94" s="40"/>
    </row>
    <row r="95" spans="1:32" customFormat="1" ht="14.25" customHeight="1" x14ac:dyDescent="0.35">
      <c r="A95" s="30">
        <f t="shared" si="18"/>
        <v>1</v>
      </c>
      <c r="B95">
        <v>1828</v>
      </c>
      <c r="C95">
        <v>4</v>
      </c>
      <c r="D95">
        <v>2</v>
      </c>
      <c r="E95">
        <v>4</v>
      </c>
      <c r="F95">
        <v>2</v>
      </c>
      <c r="G95">
        <v>1</v>
      </c>
      <c r="H95">
        <v>4</v>
      </c>
      <c r="I95">
        <v>5</v>
      </c>
      <c r="J95">
        <v>2</v>
      </c>
      <c r="K95">
        <v>2</v>
      </c>
      <c r="L95">
        <v>2</v>
      </c>
      <c r="M95">
        <v>3</v>
      </c>
      <c r="N95">
        <v>0</v>
      </c>
      <c r="O95">
        <v>6</v>
      </c>
      <c r="P95">
        <v>6</v>
      </c>
      <c r="Q95">
        <v>2</v>
      </c>
      <c r="R95">
        <v>2</v>
      </c>
      <c r="S95">
        <v>4</v>
      </c>
      <c r="T95" s="3">
        <f t="shared" si="19"/>
        <v>0.26788056605068317</v>
      </c>
      <c r="U95" s="32">
        <f t="shared" si="20"/>
        <v>-5.6401471461296142E-2</v>
      </c>
      <c r="V95" s="32">
        <f t="shared" si="21"/>
        <v>0.26360832519077404</v>
      </c>
      <c r="W95" s="32">
        <f t="shared" si="22"/>
        <v>-9.6984149849158471E-2</v>
      </c>
      <c r="X95" s="32">
        <f t="shared" si="23"/>
        <v>0.21586162773242673</v>
      </c>
      <c r="Y95" s="32">
        <f t="shared" si="24"/>
        <v>0.86866731645372852</v>
      </c>
      <c r="Z95" s="32">
        <f t="shared" si="25"/>
        <v>-0.12522426979936985</v>
      </c>
      <c r="AA95" s="32">
        <f t="shared" si="26"/>
        <v>0.80563658408767735</v>
      </c>
      <c r="AF95" s="40"/>
    </row>
    <row r="96" spans="1:32" customFormat="1" ht="14.25" customHeight="1" x14ac:dyDescent="0.35">
      <c r="A96" s="30">
        <f t="shared" si="18"/>
        <v>1</v>
      </c>
      <c r="B96">
        <v>1843</v>
      </c>
      <c r="C96">
        <v>3</v>
      </c>
      <c r="D96">
        <v>1</v>
      </c>
      <c r="E96">
        <v>4</v>
      </c>
      <c r="F96">
        <v>3</v>
      </c>
      <c r="G96">
        <v>4</v>
      </c>
      <c r="H96">
        <v>4</v>
      </c>
      <c r="I96">
        <v>4</v>
      </c>
      <c r="J96">
        <v>1</v>
      </c>
      <c r="K96">
        <v>1</v>
      </c>
      <c r="L96">
        <v>1</v>
      </c>
      <c r="M96">
        <v>1</v>
      </c>
      <c r="N96">
        <v>0</v>
      </c>
      <c r="O96">
        <v>6</v>
      </c>
      <c r="P96">
        <v>4</v>
      </c>
      <c r="Q96">
        <v>1</v>
      </c>
      <c r="R96">
        <v>2</v>
      </c>
      <c r="S96">
        <v>2</v>
      </c>
      <c r="T96" s="3">
        <f t="shared" si="19"/>
        <v>-0.35998850048872549</v>
      </c>
      <c r="U96" s="32">
        <f t="shared" si="20"/>
        <v>-0.95700561253682881</v>
      </c>
      <c r="V96" s="32">
        <f t="shared" si="21"/>
        <v>1.0418053570413823</v>
      </c>
      <c r="W96" s="32">
        <f t="shared" si="22"/>
        <v>-9.6984149849158471E-2</v>
      </c>
      <c r="X96" s="32">
        <f t="shared" si="23"/>
        <v>-0.61891576076406762</v>
      </c>
      <c r="Y96" s="32">
        <f t="shared" si="24"/>
        <v>-1.6649456898696466</v>
      </c>
      <c r="Z96" s="32">
        <f t="shared" si="25"/>
        <v>-0.12522426979936985</v>
      </c>
      <c r="AA96" s="32">
        <f t="shared" si="26"/>
        <v>-9.8649377643389324E-2</v>
      </c>
      <c r="AF96" s="40"/>
    </row>
    <row r="97" spans="1:32" customFormat="1" ht="14.25" customHeight="1" x14ac:dyDescent="0.35">
      <c r="A97" s="30">
        <f t="shared" si="18"/>
        <v>1</v>
      </c>
      <c r="B97">
        <v>1865</v>
      </c>
      <c r="C97">
        <v>2</v>
      </c>
      <c r="D97">
        <v>2</v>
      </c>
      <c r="E97">
        <v>3</v>
      </c>
      <c r="F97">
        <v>2</v>
      </c>
      <c r="G97">
        <v>3</v>
      </c>
      <c r="H97">
        <v>2</v>
      </c>
      <c r="I97">
        <v>2</v>
      </c>
      <c r="J97">
        <v>2</v>
      </c>
      <c r="K97">
        <v>2</v>
      </c>
      <c r="L97">
        <v>2</v>
      </c>
      <c r="M97">
        <v>1</v>
      </c>
      <c r="N97">
        <v>2</v>
      </c>
      <c r="O97">
        <v>6</v>
      </c>
      <c r="P97">
        <v>6</v>
      </c>
      <c r="Q97">
        <v>2</v>
      </c>
      <c r="R97">
        <v>4</v>
      </c>
      <c r="S97">
        <v>4</v>
      </c>
      <c r="T97" s="3">
        <f t="shared" si="19"/>
        <v>-1.0152160552664984</v>
      </c>
      <c r="U97" s="32">
        <f t="shared" si="20"/>
        <v>-1.8576097536123615</v>
      </c>
      <c r="V97" s="32">
        <f t="shared" si="21"/>
        <v>0.26360832519077404</v>
      </c>
      <c r="W97" s="32">
        <f t="shared" si="22"/>
        <v>-1.0009496220281058</v>
      </c>
      <c r="X97" s="32">
        <f t="shared" si="23"/>
        <v>0.21586162773242673</v>
      </c>
      <c r="Y97" s="32">
        <f t="shared" si="24"/>
        <v>-0.82040802109518818</v>
      </c>
      <c r="Z97" s="32">
        <f t="shared" si="25"/>
        <v>-1.9997936419475117</v>
      </c>
      <c r="AA97" s="32">
        <f t="shared" si="26"/>
        <v>-1.9072213011055226</v>
      </c>
      <c r="AF97" s="40"/>
    </row>
    <row r="98" spans="1:32" customFormat="1" ht="14.25" customHeight="1" x14ac:dyDescent="0.35">
      <c r="A98" s="30">
        <f t="shared" ref="A98:A129" si="27">IF(COUNTBLANK(J98:T98)&gt;0,99,1)</f>
        <v>1</v>
      </c>
      <c r="B98">
        <v>1875</v>
      </c>
      <c r="C98">
        <v>5</v>
      </c>
      <c r="D98">
        <v>1</v>
      </c>
      <c r="E98">
        <v>5</v>
      </c>
      <c r="F98">
        <v>1</v>
      </c>
      <c r="G98">
        <v>5</v>
      </c>
      <c r="H98">
        <v>4</v>
      </c>
      <c r="I98">
        <v>5</v>
      </c>
      <c r="J98">
        <v>1</v>
      </c>
      <c r="K98">
        <v>1</v>
      </c>
      <c r="L98">
        <v>1</v>
      </c>
      <c r="M98">
        <v>1</v>
      </c>
      <c r="N98">
        <v>2</v>
      </c>
      <c r="O98">
        <v>6</v>
      </c>
      <c r="P98">
        <v>4</v>
      </c>
      <c r="Q98">
        <v>1</v>
      </c>
      <c r="R98">
        <v>5</v>
      </c>
      <c r="S98">
        <v>1</v>
      </c>
      <c r="T98" s="3">
        <f t="shared" ref="T98:T129" si="28">AVERAGE(U98:AA98)</f>
        <v>0.27350818869407589</v>
      </c>
      <c r="U98" s="32">
        <f t="shared" ref="U98:U129" si="29">IF(ISTEXT(C98),"",STANDARDIZE(C98,AVERAGE(C$2:C$497),STDEV(C$2:C$497)))</f>
        <v>0.84420266961423651</v>
      </c>
      <c r="V98" s="32">
        <f t="shared" ref="V98:V129" si="30">IF(ISTEXT(D98),"",-1*STANDARDIZE(D98,AVERAGE(D$2:D$497),STDEV(D$2:D$497)))</f>
        <v>1.0418053570413823</v>
      </c>
      <c r="W98" s="32">
        <f t="shared" ref="W98:W129" si="31">IF(ISTEXT(E98),"",STANDARDIZE(E98,AVERAGE(E$2:E$497),STDEV(E$2:E$497)))</f>
        <v>0.80698132232978881</v>
      </c>
      <c r="X98" s="32">
        <f t="shared" ref="X98:X129" si="32">IF(ISTEXT(F98),"",-1*STANDARDIZE(F98,AVERAGE(F$2:F$497),STDEV(F$2:F$497)))</f>
        <v>1.0506390162289212</v>
      </c>
      <c r="Y98" s="32">
        <f t="shared" ref="Y98:Y129" si="33">IF(ISTEXT(G98),"",-1*STANDARDIZE(G98,AVERAGE(G$2:G$497),STDEV(G$2:G$497)))</f>
        <v>-2.509483358644105</v>
      </c>
      <c r="Z98" s="32">
        <f t="shared" ref="Z98:Z129" si="34">IF(ISTEXT(H98),"",STANDARDIZE(H98,AVERAGE(H$2:H$497),STDEV(H$2:H$497)))</f>
        <v>-0.12522426979936985</v>
      </c>
      <c r="AA98" s="32">
        <f t="shared" ref="AA98:AA129" si="35">IF(ISTEXT(I98),"",STANDARDIZE(I98,AVERAGE(I$2:I$497),STDEV(I$2:I$497)))</f>
        <v>0.80563658408767735</v>
      </c>
      <c r="AF98" s="40"/>
    </row>
    <row r="99" spans="1:32" customFormat="1" ht="14.25" customHeight="1" x14ac:dyDescent="0.35">
      <c r="A99" s="30">
        <f t="shared" si="27"/>
        <v>1</v>
      </c>
      <c r="B99">
        <v>1876</v>
      </c>
      <c r="C99">
        <v>5</v>
      </c>
      <c r="D99">
        <v>1</v>
      </c>
      <c r="E99">
        <v>5</v>
      </c>
      <c r="F99">
        <v>1</v>
      </c>
      <c r="G99">
        <v>1</v>
      </c>
      <c r="H99">
        <v>5</v>
      </c>
      <c r="I99">
        <v>5</v>
      </c>
      <c r="J99">
        <v>2</v>
      </c>
      <c r="K99">
        <v>2</v>
      </c>
      <c r="L99">
        <v>1</v>
      </c>
      <c r="M99">
        <v>1</v>
      </c>
      <c r="N99">
        <v>0</v>
      </c>
      <c r="O99">
        <v>6</v>
      </c>
      <c r="P99">
        <v>4</v>
      </c>
      <c r="Q99">
        <v>1</v>
      </c>
      <c r="R99">
        <v>2</v>
      </c>
      <c r="S99">
        <v>2</v>
      </c>
      <c r="T99" s="3">
        <f t="shared" si="28"/>
        <v>0.88999895457577671</v>
      </c>
      <c r="U99" s="32">
        <f t="shared" si="29"/>
        <v>0.84420266961423651</v>
      </c>
      <c r="V99" s="32">
        <f t="shared" si="30"/>
        <v>1.0418053570413823</v>
      </c>
      <c r="W99" s="32">
        <f t="shared" si="31"/>
        <v>0.80698132232978881</v>
      </c>
      <c r="X99" s="32">
        <f t="shared" si="32"/>
        <v>1.0506390162289212</v>
      </c>
      <c r="Y99" s="32">
        <f t="shared" si="33"/>
        <v>0.86866731645372852</v>
      </c>
      <c r="Z99" s="32">
        <f t="shared" si="34"/>
        <v>0.81206041627470116</v>
      </c>
      <c r="AA99" s="32">
        <f t="shared" si="35"/>
        <v>0.80563658408767735</v>
      </c>
      <c r="AF99" s="40"/>
    </row>
    <row r="100" spans="1:32" customFormat="1" ht="14.25" customHeight="1" x14ac:dyDescent="0.35">
      <c r="A100" s="30">
        <f t="shared" si="27"/>
        <v>1</v>
      </c>
      <c r="B100">
        <v>1899</v>
      </c>
      <c r="C100">
        <v>5</v>
      </c>
      <c r="D100">
        <v>1</v>
      </c>
      <c r="E100">
        <v>5</v>
      </c>
      <c r="F100">
        <v>1</v>
      </c>
      <c r="G100">
        <v>5</v>
      </c>
      <c r="H100">
        <v>5</v>
      </c>
      <c r="I100">
        <v>5</v>
      </c>
      <c r="J100">
        <v>2</v>
      </c>
      <c r="K100">
        <v>3</v>
      </c>
      <c r="L100">
        <v>3</v>
      </c>
      <c r="M100">
        <v>3</v>
      </c>
      <c r="N100">
        <v>14</v>
      </c>
      <c r="O100">
        <v>6</v>
      </c>
      <c r="P100">
        <v>2</v>
      </c>
      <c r="Q100">
        <v>1</v>
      </c>
      <c r="R100">
        <v>4</v>
      </c>
      <c r="S100">
        <v>1</v>
      </c>
      <c r="T100" s="3">
        <f t="shared" si="28"/>
        <v>0.40740600099037177</v>
      </c>
      <c r="U100" s="32">
        <f t="shared" si="29"/>
        <v>0.84420266961423651</v>
      </c>
      <c r="V100" s="32">
        <f t="shared" si="30"/>
        <v>1.0418053570413823</v>
      </c>
      <c r="W100" s="32">
        <f t="shared" si="31"/>
        <v>0.80698132232978881</v>
      </c>
      <c r="X100" s="32">
        <f t="shared" si="32"/>
        <v>1.0506390162289212</v>
      </c>
      <c r="Y100" s="32">
        <f t="shared" si="33"/>
        <v>-2.509483358644105</v>
      </c>
      <c r="Z100" s="32">
        <f t="shared" si="34"/>
        <v>0.81206041627470116</v>
      </c>
      <c r="AA100" s="32">
        <f t="shared" si="35"/>
        <v>0.80563658408767735</v>
      </c>
      <c r="AF100" s="40"/>
    </row>
    <row r="101" spans="1:32" customFormat="1" ht="14.25" customHeight="1" x14ac:dyDescent="0.35">
      <c r="A101" s="30">
        <f t="shared" si="27"/>
        <v>1</v>
      </c>
      <c r="B101">
        <v>1906</v>
      </c>
      <c r="C101">
        <v>5</v>
      </c>
      <c r="D101">
        <v>5</v>
      </c>
      <c r="E101">
        <v>2</v>
      </c>
      <c r="F101">
        <v>1</v>
      </c>
      <c r="G101">
        <v>1</v>
      </c>
      <c r="H101">
        <v>5</v>
      </c>
      <c r="I101">
        <v>5</v>
      </c>
      <c r="J101">
        <v>2</v>
      </c>
      <c r="K101">
        <v>1</v>
      </c>
      <c r="L101">
        <v>1</v>
      </c>
      <c r="M101">
        <v>2</v>
      </c>
      <c r="N101">
        <v>0</v>
      </c>
      <c r="O101">
        <v>6</v>
      </c>
      <c r="P101">
        <v>4</v>
      </c>
      <c r="Q101">
        <v>1</v>
      </c>
      <c r="R101">
        <v>2</v>
      </c>
      <c r="S101">
        <v>2</v>
      </c>
      <c r="T101" s="3">
        <f t="shared" si="28"/>
        <v>5.7901162584451597E-2</v>
      </c>
      <c r="U101" s="32">
        <f t="shared" si="29"/>
        <v>0.84420266961423651</v>
      </c>
      <c r="V101" s="32">
        <f t="shared" si="30"/>
        <v>-2.0709827703610508</v>
      </c>
      <c r="W101" s="32">
        <f t="shared" si="31"/>
        <v>-1.904915094207053</v>
      </c>
      <c r="X101" s="32">
        <f t="shared" si="32"/>
        <v>1.0506390162289212</v>
      </c>
      <c r="Y101" s="32">
        <f t="shared" si="33"/>
        <v>0.86866731645372852</v>
      </c>
      <c r="Z101" s="32">
        <f t="shared" si="34"/>
        <v>0.81206041627470116</v>
      </c>
      <c r="AA101" s="32">
        <f t="shared" si="35"/>
        <v>0.80563658408767735</v>
      </c>
      <c r="AF101" s="40"/>
    </row>
    <row r="102" spans="1:32" customFormat="1" ht="14.25" customHeight="1" x14ac:dyDescent="0.35">
      <c r="A102" s="30">
        <f t="shared" si="27"/>
        <v>1</v>
      </c>
      <c r="B102">
        <v>1914</v>
      </c>
      <c r="C102">
        <v>4</v>
      </c>
      <c r="D102">
        <v>2</v>
      </c>
      <c r="E102">
        <v>4</v>
      </c>
      <c r="F102">
        <v>2</v>
      </c>
      <c r="G102">
        <v>2</v>
      </c>
      <c r="H102">
        <v>4</v>
      </c>
      <c r="I102">
        <v>4</v>
      </c>
      <c r="J102">
        <v>1</v>
      </c>
      <c r="K102">
        <v>1</v>
      </c>
      <c r="L102">
        <v>1</v>
      </c>
      <c r="M102">
        <v>2</v>
      </c>
      <c r="N102">
        <v>0</v>
      </c>
      <c r="O102">
        <v>5</v>
      </c>
      <c r="P102">
        <v>6</v>
      </c>
      <c r="Q102">
        <v>2</v>
      </c>
      <c r="R102">
        <v>2</v>
      </c>
      <c r="S102">
        <v>3</v>
      </c>
      <c r="T102" s="3">
        <f t="shared" si="28"/>
        <v>1.8048618835608161E-2</v>
      </c>
      <c r="U102" s="32">
        <f t="shared" si="29"/>
        <v>-5.6401471461296142E-2</v>
      </c>
      <c r="V102" s="32">
        <f t="shared" si="30"/>
        <v>0.26360832519077404</v>
      </c>
      <c r="W102" s="32">
        <f t="shared" si="31"/>
        <v>-9.6984149849158471E-2</v>
      </c>
      <c r="X102" s="32">
        <f t="shared" si="32"/>
        <v>0.21586162773242673</v>
      </c>
      <c r="Y102" s="32">
        <f t="shared" si="33"/>
        <v>2.4129647679270151E-2</v>
      </c>
      <c r="Z102" s="32">
        <f t="shared" si="34"/>
        <v>-0.12522426979936985</v>
      </c>
      <c r="AA102" s="32">
        <f t="shared" si="35"/>
        <v>-9.8649377643389324E-2</v>
      </c>
      <c r="AF102" s="40"/>
    </row>
    <row r="103" spans="1:32" customFormat="1" ht="14.25" customHeight="1" x14ac:dyDescent="0.35">
      <c r="A103" s="30">
        <f t="shared" si="27"/>
        <v>1</v>
      </c>
      <c r="B103">
        <v>1923</v>
      </c>
      <c r="C103">
        <v>5</v>
      </c>
      <c r="D103">
        <v>1</v>
      </c>
      <c r="E103">
        <v>5</v>
      </c>
      <c r="F103">
        <v>1</v>
      </c>
      <c r="G103">
        <v>1</v>
      </c>
      <c r="H103">
        <v>5</v>
      </c>
      <c r="I103">
        <v>5</v>
      </c>
      <c r="J103">
        <v>1</v>
      </c>
      <c r="K103">
        <v>1</v>
      </c>
      <c r="L103">
        <v>1</v>
      </c>
      <c r="M103">
        <v>3</v>
      </c>
      <c r="N103">
        <v>2</v>
      </c>
      <c r="O103">
        <v>6</v>
      </c>
      <c r="P103">
        <v>4</v>
      </c>
      <c r="Q103">
        <v>1</v>
      </c>
      <c r="R103">
        <v>1</v>
      </c>
      <c r="S103">
        <v>1</v>
      </c>
      <c r="T103" s="3">
        <f t="shared" si="28"/>
        <v>0.88999895457577671</v>
      </c>
      <c r="U103" s="32">
        <f t="shared" si="29"/>
        <v>0.84420266961423651</v>
      </c>
      <c r="V103" s="32">
        <f t="shared" si="30"/>
        <v>1.0418053570413823</v>
      </c>
      <c r="W103" s="32">
        <f t="shared" si="31"/>
        <v>0.80698132232978881</v>
      </c>
      <c r="X103" s="32">
        <f t="shared" si="32"/>
        <v>1.0506390162289212</v>
      </c>
      <c r="Y103" s="32">
        <f t="shared" si="33"/>
        <v>0.86866731645372852</v>
      </c>
      <c r="Z103" s="32">
        <f t="shared" si="34"/>
        <v>0.81206041627470116</v>
      </c>
      <c r="AA103" s="32">
        <f t="shared" si="35"/>
        <v>0.80563658408767735</v>
      </c>
      <c r="AF103" s="40"/>
    </row>
    <row r="104" spans="1:32" customFormat="1" ht="14.25" customHeight="1" x14ac:dyDescent="0.35">
      <c r="A104" s="30">
        <f t="shared" si="27"/>
        <v>1</v>
      </c>
      <c r="B104">
        <v>1958</v>
      </c>
      <c r="C104">
        <v>2</v>
      </c>
      <c r="D104">
        <v>2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2</v>
      </c>
      <c r="K104">
        <v>1</v>
      </c>
      <c r="L104">
        <v>1</v>
      </c>
      <c r="M104">
        <v>3</v>
      </c>
      <c r="N104">
        <v>0</v>
      </c>
      <c r="O104">
        <v>6</v>
      </c>
      <c r="P104">
        <v>6</v>
      </c>
      <c r="Q104">
        <v>2</v>
      </c>
      <c r="R104">
        <v>2</v>
      </c>
      <c r="S104">
        <v>2</v>
      </c>
      <c r="T104" s="3">
        <f t="shared" si="28"/>
        <v>-0.87138844679383509</v>
      </c>
      <c r="U104" s="32">
        <f t="shared" si="29"/>
        <v>-1.8576097536123615</v>
      </c>
      <c r="V104" s="32">
        <f t="shared" si="30"/>
        <v>0.26360832519077404</v>
      </c>
      <c r="W104" s="32">
        <f t="shared" si="31"/>
        <v>-1.0009496220281058</v>
      </c>
      <c r="X104" s="32">
        <f t="shared" si="32"/>
        <v>-0.61891576076406762</v>
      </c>
      <c r="Y104" s="32">
        <f t="shared" si="33"/>
        <v>-0.82040802109518818</v>
      </c>
      <c r="Z104" s="32">
        <f t="shared" si="34"/>
        <v>-1.0625089558734409</v>
      </c>
      <c r="AA104" s="32">
        <f t="shared" si="35"/>
        <v>-1.002935339374456</v>
      </c>
      <c r="AF104" s="40"/>
    </row>
    <row r="105" spans="1:32" customFormat="1" ht="14.25" customHeight="1" x14ac:dyDescent="0.35">
      <c r="A105" s="30">
        <f t="shared" si="27"/>
        <v>1</v>
      </c>
      <c r="B105">
        <v>1971</v>
      </c>
      <c r="C105">
        <v>4</v>
      </c>
      <c r="D105">
        <v>3</v>
      </c>
      <c r="E105">
        <v>5</v>
      </c>
      <c r="F105">
        <v>2</v>
      </c>
      <c r="G105">
        <v>2</v>
      </c>
      <c r="H105">
        <v>4</v>
      </c>
      <c r="I105">
        <v>4</v>
      </c>
      <c r="J105">
        <v>2</v>
      </c>
      <c r="K105">
        <v>2</v>
      </c>
      <c r="L105">
        <v>1</v>
      </c>
      <c r="M105">
        <v>1</v>
      </c>
      <c r="N105">
        <v>0</v>
      </c>
      <c r="O105">
        <v>6</v>
      </c>
      <c r="P105">
        <v>6</v>
      </c>
      <c r="Q105">
        <v>1</v>
      </c>
      <c r="R105">
        <v>4</v>
      </c>
      <c r="S105">
        <v>1</v>
      </c>
      <c r="T105" s="3">
        <f t="shared" si="28"/>
        <v>3.6015538882513735E-2</v>
      </c>
      <c r="U105" s="32">
        <f t="shared" si="29"/>
        <v>-5.6401471461296142E-2</v>
      </c>
      <c r="V105" s="32">
        <f t="shared" si="30"/>
        <v>-0.51458870665983425</v>
      </c>
      <c r="W105" s="32">
        <f t="shared" si="31"/>
        <v>0.80698132232978881</v>
      </c>
      <c r="X105" s="32">
        <f t="shared" si="32"/>
        <v>0.21586162773242673</v>
      </c>
      <c r="Y105" s="32">
        <f t="shared" si="33"/>
        <v>2.4129647679270151E-2</v>
      </c>
      <c r="Z105" s="32">
        <f t="shared" si="34"/>
        <v>-0.12522426979936985</v>
      </c>
      <c r="AA105" s="32">
        <f t="shared" si="35"/>
        <v>-9.8649377643389324E-2</v>
      </c>
      <c r="AF105" s="40"/>
    </row>
    <row r="106" spans="1:32" customFormat="1" ht="14.25" customHeight="1" x14ac:dyDescent="0.35">
      <c r="A106" s="30">
        <f t="shared" si="27"/>
        <v>1</v>
      </c>
      <c r="B106">
        <v>1974</v>
      </c>
      <c r="C106">
        <v>5</v>
      </c>
      <c r="D106">
        <v>1</v>
      </c>
      <c r="E106">
        <v>4</v>
      </c>
      <c r="F106">
        <v>1</v>
      </c>
      <c r="G106">
        <v>1</v>
      </c>
      <c r="H106">
        <v>5</v>
      </c>
      <c r="I106">
        <v>5</v>
      </c>
      <c r="J106">
        <v>1</v>
      </c>
      <c r="K106">
        <v>2</v>
      </c>
      <c r="L106">
        <v>1</v>
      </c>
      <c r="M106">
        <v>4</v>
      </c>
      <c r="N106">
        <v>0</v>
      </c>
      <c r="O106">
        <v>6</v>
      </c>
      <c r="P106">
        <v>3</v>
      </c>
      <c r="Q106">
        <v>1</v>
      </c>
      <c r="R106">
        <v>3</v>
      </c>
      <c r="S106">
        <v>1</v>
      </c>
      <c r="T106" s="3">
        <f t="shared" si="28"/>
        <v>0.76086102997878413</v>
      </c>
      <c r="U106" s="32">
        <f t="shared" si="29"/>
        <v>0.84420266961423651</v>
      </c>
      <c r="V106" s="32">
        <f t="shared" si="30"/>
        <v>1.0418053570413823</v>
      </c>
      <c r="W106" s="32">
        <f t="shared" si="31"/>
        <v>-9.6984149849158471E-2</v>
      </c>
      <c r="X106" s="32">
        <f t="shared" si="32"/>
        <v>1.0506390162289212</v>
      </c>
      <c r="Y106" s="32">
        <f t="shared" si="33"/>
        <v>0.86866731645372852</v>
      </c>
      <c r="Z106" s="32">
        <f t="shared" si="34"/>
        <v>0.81206041627470116</v>
      </c>
      <c r="AA106" s="32">
        <f t="shared" si="35"/>
        <v>0.80563658408767735</v>
      </c>
      <c r="AF106" s="40"/>
    </row>
    <row r="107" spans="1:32" customFormat="1" ht="14.25" customHeight="1" x14ac:dyDescent="0.35">
      <c r="A107" s="30">
        <f t="shared" si="27"/>
        <v>1</v>
      </c>
      <c r="B107">
        <v>1983</v>
      </c>
      <c r="C107">
        <v>5</v>
      </c>
      <c r="D107">
        <v>1</v>
      </c>
      <c r="E107">
        <v>5</v>
      </c>
      <c r="F107">
        <v>1</v>
      </c>
      <c r="G107">
        <v>1</v>
      </c>
      <c r="H107">
        <v>5</v>
      </c>
      <c r="I107">
        <v>5</v>
      </c>
      <c r="J107">
        <v>2</v>
      </c>
      <c r="K107">
        <v>1</v>
      </c>
      <c r="L107">
        <v>2</v>
      </c>
      <c r="M107">
        <v>1</v>
      </c>
      <c r="N107">
        <v>3</v>
      </c>
      <c r="O107">
        <v>6</v>
      </c>
      <c r="P107">
        <v>6</v>
      </c>
      <c r="Q107">
        <v>1</v>
      </c>
      <c r="R107">
        <v>4</v>
      </c>
      <c r="S107">
        <v>1</v>
      </c>
      <c r="T107" s="3">
        <f t="shared" si="28"/>
        <v>0.88999895457577671</v>
      </c>
      <c r="U107" s="32">
        <f t="shared" si="29"/>
        <v>0.84420266961423651</v>
      </c>
      <c r="V107" s="32">
        <f t="shared" si="30"/>
        <v>1.0418053570413823</v>
      </c>
      <c r="W107" s="32">
        <f t="shared" si="31"/>
        <v>0.80698132232978881</v>
      </c>
      <c r="X107" s="32">
        <f t="shared" si="32"/>
        <v>1.0506390162289212</v>
      </c>
      <c r="Y107" s="32">
        <f t="shared" si="33"/>
        <v>0.86866731645372852</v>
      </c>
      <c r="Z107" s="32">
        <f t="shared" si="34"/>
        <v>0.81206041627470116</v>
      </c>
      <c r="AA107" s="32">
        <f t="shared" si="35"/>
        <v>0.80563658408767735</v>
      </c>
      <c r="AF107" s="40"/>
    </row>
    <row r="108" spans="1:32" customFormat="1" ht="14.25" customHeight="1" x14ac:dyDescent="0.35">
      <c r="A108" s="30">
        <f t="shared" si="27"/>
        <v>1</v>
      </c>
      <c r="B108">
        <v>1987</v>
      </c>
      <c r="C108">
        <v>4</v>
      </c>
      <c r="D108">
        <v>3</v>
      </c>
      <c r="E108">
        <v>4</v>
      </c>
      <c r="F108">
        <v>2</v>
      </c>
      <c r="G108">
        <v>2</v>
      </c>
      <c r="H108">
        <v>4</v>
      </c>
      <c r="I108">
        <v>4</v>
      </c>
      <c r="J108">
        <v>2</v>
      </c>
      <c r="K108">
        <v>1</v>
      </c>
      <c r="L108">
        <v>1</v>
      </c>
      <c r="M108">
        <v>1</v>
      </c>
      <c r="N108">
        <v>10</v>
      </c>
      <c r="O108">
        <v>6</v>
      </c>
      <c r="P108">
        <v>4</v>
      </c>
      <c r="Q108">
        <v>1</v>
      </c>
      <c r="R108">
        <v>4</v>
      </c>
      <c r="S108">
        <v>2</v>
      </c>
      <c r="T108" s="3">
        <f t="shared" si="28"/>
        <v>-9.3122385714478742E-2</v>
      </c>
      <c r="U108" s="32">
        <f t="shared" si="29"/>
        <v>-5.6401471461296142E-2</v>
      </c>
      <c r="V108" s="32">
        <f t="shared" si="30"/>
        <v>-0.51458870665983425</v>
      </c>
      <c r="W108" s="32">
        <f t="shared" si="31"/>
        <v>-9.6984149849158471E-2</v>
      </c>
      <c r="X108" s="32">
        <f t="shared" si="32"/>
        <v>0.21586162773242673</v>
      </c>
      <c r="Y108" s="32">
        <f t="shared" si="33"/>
        <v>2.4129647679270151E-2</v>
      </c>
      <c r="Z108" s="32">
        <f t="shared" si="34"/>
        <v>-0.12522426979936985</v>
      </c>
      <c r="AA108" s="32">
        <f t="shared" si="35"/>
        <v>-9.8649377643389324E-2</v>
      </c>
      <c r="AF108" s="40"/>
    </row>
    <row r="109" spans="1:32" customFormat="1" ht="14.25" customHeight="1" x14ac:dyDescent="0.35">
      <c r="A109" s="30">
        <f t="shared" si="27"/>
        <v>1</v>
      </c>
      <c r="B109">
        <v>1990</v>
      </c>
      <c r="C109">
        <v>5</v>
      </c>
      <c r="D109">
        <v>1</v>
      </c>
      <c r="E109">
        <v>5</v>
      </c>
      <c r="F109">
        <v>1</v>
      </c>
      <c r="G109">
        <v>1</v>
      </c>
      <c r="H109">
        <v>5</v>
      </c>
      <c r="I109">
        <v>5</v>
      </c>
      <c r="J109">
        <v>1</v>
      </c>
      <c r="K109">
        <v>1</v>
      </c>
      <c r="L109">
        <v>1</v>
      </c>
      <c r="M109">
        <v>2</v>
      </c>
      <c r="N109">
        <v>2</v>
      </c>
      <c r="O109">
        <v>6</v>
      </c>
      <c r="P109">
        <v>3</v>
      </c>
      <c r="Q109">
        <v>1</v>
      </c>
      <c r="R109">
        <v>2</v>
      </c>
      <c r="S109">
        <v>1</v>
      </c>
      <c r="T109" s="3">
        <f t="shared" si="28"/>
        <v>0.88999895457577671</v>
      </c>
      <c r="U109" s="32">
        <f t="shared" si="29"/>
        <v>0.84420266961423651</v>
      </c>
      <c r="V109" s="32">
        <f t="shared" si="30"/>
        <v>1.0418053570413823</v>
      </c>
      <c r="W109" s="32">
        <f t="shared" si="31"/>
        <v>0.80698132232978881</v>
      </c>
      <c r="X109" s="32">
        <f t="shared" si="32"/>
        <v>1.0506390162289212</v>
      </c>
      <c r="Y109" s="32">
        <f t="shared" si="33"/>
        <v>0.86866731645372852</v>
      </c>
      <c r="Z109" s="32">
        <f t="shared" si="34"/>
        <v>0.81206041627470116</v>
      </c>
      <c r="AA109" s="32">
        <f t="shared" si="35"/>
        <v>0.80563658408767735</v>
      </c>
      <c r="AF109" s="40"/>
    </row>
    <row r="110" spans="1:32" customFormat="1" ht="14.25" customHeight="1" x14ac:dyDescent="0.35">
      <c r="A110" s="30">
        <f t="shared" si="27"/>
        <v>1</v>
      </c>
      <c r="B110">
        <v>2013</v>
      </c>
      <c r="C110">
        <v>2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2</v>
      </c>
      <c r="L110">
        <v>1</v>
      </c>
      <c r="M110">
        <v>3</v>
      </c>
      <c r="N110">
        <v>4</v>
      </c>
      <c r="O110">
        <v>6</v>
      </c>
      <c r="P110">
        <v>6</v>
      </c>
      <c r="Q110">
        <v>2</v>
      </c>
      <c r="R110">
        <v>1</v>
      </c>
      <c r="S110">
        <v>3</v>
      </c>
      <c r="T110" s="3">
        <f t="shared" si="28"/>
        <v>-0.98255945134392186</v>
      </c>
      <c r="U110" s="32">
        <f t="shared" si="29"/>
        <v>-1.8576097536123615</v>
      </c>
      <c r="V110" s="32">
        <f t="shared" si="30"/>
        <v>-0.51458870665983425</v>
      </c>
      <c r="W110" s="32">
        <f t="shared" si="31"/>
        <v>-1.0009496220281058</v>
      </c>
      <c r="X110" s="32">
        <f t="shared" si="32"/>
        <v>-0.61891576076406762</v>
      </c>
      <c r="Y110" s="32">
        <f t="shared" si="33"/>
        <v>-0.82040802109518818</v>
      </c>
      <c r="Z110" s="32">
        <f t="shared" si="34"/>
        <v>-1.0625089558734409</v>
      </c>
      <c r="AA110" s="32">
        <f t="shared" si="35"/>
        <v>-1.002935339374456</v>
      </c>
      <c r="AF110" s="40"/>
    </row>
    <row r="111" spans="1:32" customFormat="1" ht="14.25" customHeight="1" x14ac:dyDescent="0.35">
      <c r="A111" s="30">
        <f t="shared" si="27"/>
        <v>1</v>
      </c>
      <c r="B111">
        <v>2108</v>
      </c>
      <c r="C111">
        <v>1</v>
      </c>
      <c r="D111">
        <v>1</v>
      </c>
      <c r="E111">
        <v>5</v>
      </c>
      <c r="F111">
        <v>1</v>
      </c>
      <c r="G111">
        <v>3</v>
      </c>
      <c r="H111">
        <v>5</v>
      </c>
      <c r="I111">
        <v>5</v>
      </c>
      <c r="J111">
        <v>2</v>
      </c>
      <c r="K111">
        <v>2</v>
      </c>
      <c r="L111">
        <v>1</v>
      </c>
      <c r="M111">
        <v>4</v>
      </c>
      <c r="N111">
        <v>0</v>
      </c>
      <c r="O111">
        <v>6</v>
      </c>
      <c r="P111">
        <v>5</v>
      </c>
      <c r="Q111">
        <v>2</v>
      </c>
      <c r="R111">
        <v>1</v>
      </c>
      <c r="S111">
        <v>3</v>
      </c>
      <c r="T111" s="3">
        <f t="shared" si="28"/>
        <v>0.13407154002562696</v>
      </c>
      <c r="U111" s="32">
        <f t="shared" si="29"/>
        <v>-2.758213894687894</v>
      </c>
      <c r="V111" s="32">
        <f t="shared" si="30"/>
        <v>1.0418053570413823</v>
      </c>
      <c r="W111" s="32">
        <f t="shared" si="31"/>
        <v>0.80698132232978881</v>
      </c>
      <c r="X111" s="32">
        <f t="shared" si="32"/>
        <v>1.0506390162289212</v>
      </c>
      <c r="Y111" s="32">
        <f t="shared" si="33"/>
        <v>-0.82040802109518818</v>
      </c>
      <c r="Z111" s="32">
        <f t="shared" si="34"/>
        <v>0.81206041627470116</v>
      </c>
      <c r="AA111" s="32">
        <f t="shared" si="35"/>
        <v>0.80563658408767735</v>
      </c>
      <c r="AF111" s="40"/>
    </row>
    <row r="112" spans="1:32" customFormat="1" ht="14.25" customHeight="1" x14ac:dyDescent="0.35">
      <c r="A112" s="30">
        <f t="shared" si="27"/>
        <v>1</v>
      </c>
      <c r="B112">
        <v>2133</v>
      </c>
      <c r="C112">
        <v>5</v>
      </c>
      <c r="D112">
        <v>3</v>
      </c>
      <c r="E112">
        <v>5</v>
      </c>
      <c r="F112">
        <v>1</v>
      </c>
      <c r="G112">
        <v>3</v>
      </c>
      <c r="H112">
        <v>4</v>
      </c>
      <c r="I112">
        <v>5</v>
      </c>
      <c r="J112">
        <v>2</v>
      </c>
      <c r="K112">
        <v>2</v>
      </c>
      <c r="L112">
        <v>2</v>
      </c>
      <c r="M112">
        <v>2</v>
      </c>
      <c r="N112">
        <v>0</v>
      </c>
      <c r="O112">
        <v>4</v>
      </c>
      <c r="P112">
        <v>6</v>
      </c>
      <c r="Q112">
        <v>2</v>
      </c>
      <c r="R112">
        <v>2</v>
      </c>
      <c r="S112">
        <v>2</v>
      </c>
      <c r="T112" s="3">
        <f t="shared" si="28"/>
        <v>0.29246265638660457</v>
      </c>
      <c r="U112" s="32">
        <f t="shared" si="29"/>
        <v>0.84420266961423651</v>
      </c>
      <c r="V112" s="32">
        <f t="shared" si="30"/>
        <v>-0.51458870665983425</v>
      </c>
      <c r="W112" s="32">
        <f t="shared" si="31"/>
        <v>0.80698132232978881</v>
      </c>
      <c r="X112" s="32">
        <f t="shared" si="32"/>
        <v>1.0506390162289212</v>
      </c>
      <c r="Y112" s="32">
        <f t="shared" si="33"/>
        <v>-0.82040802109518818</v>
      </c>
      <c r="Z112" s="32">
        <f t="shared" si="34"/>
        <v>-0.12522426979936985</v>
      </c>
      <c r="AA112" s="32">
        <f t="shared" si="35"/>
        <v>0.80563658408767735</v>
      </c>
      <c r="AF112" s="40"/>
    </row>
    <row r="113" spans="1:32" customFormat="1" ht="14.25" customHeight="1" x14ac:dyDescent="0.35">
      <c r="A113" s="30">
        <f t="shared" si="27"/>
        <v>1</v>
      </c>
      <c r="B113">
        <v>2146</v>
      </c>
      <c r="C113">
        <v>5</v>
      </c>
      <c r="D113">
        <v>1</v>
      </c>
      <c r="E113">
        <v>5</v>
      </c>
      <c r="F113">
        <v>2</v>
      </c>
      <c r="G113">
        <v>2</v>
      </c>
      <c r="H113">
        <v>4</v>
      </c>
      <c r="I113">
        <v>4</v>
      </c>
      <c r="J113">
        <v>2</v>
      </c>
      <c r="K113">
        <v>2</v>
      </c>
      <c r="L113">
        <v>1</v>
      </c>
      <c r="M113">
        <v>3</v>
      </c>
      <c r="N113">
        <v>0</v>
      </c>
      <c r="O113">
        <v>6</v>
      </c>
      <c r="P113">
        <v>6</v>
      </c>
      <c r="Q113">
        <v>1</v>
      </c>
      <c r="R113">
        <v>1</v>
      </c>
      <c r="S113">
        <v>1</v>
      </c>
      <c r="T113" s="3">
        <f t="shared" si="28"/>
        <v>0.3870152824220493</v>
      </c>
      <c r="U113" s="32">
        <f t="shared" si="29"/>
        <v>0.84420266961423651</v>
      </c>
      <c r="V113" s="32">
        <f t="shared" si="30"/>
        <v>1.0418053570413823</v>
      </c>
      <c r="W113" s="32">
        <f t="shared" si="31"/>
        <v>0.80698132232978881</v>
      </c>
      <c r="X113" s="32">
        <f t="shared" si="32"/>
        <v>0.21586162773242673</v>
      </c>
      <c r="Y113" s="32">
        <f t="shared" si="33"/>
        <v>2.4129647679270151E-2</v>
      </c>
      <c r="Z113" s="32">
        <f t="shared" si="34"/>
        <v>-0.12522426979936985</v>
      </c>
      <c r="AA113" s="32">
        <f t="shared" si="35"/>
        <v>-9.8649377643389324E-2</v>
      </c>
      <c r="AF113" s="40"/>
    </row>
    <row r="114" spans="1:32" customFormat="1" ht="14.25" customHeight="1" x14ac:dyDescent="0.35">
      <c r="A114" s="30">
        <f t="shared" si="27"/>
        <v>1</v>
      </c>
      <c r="B114">
        <v>2150</v>
      </c>
      <c r="C114">
        <v>4</v>
      </c>
      <c r="D114">
        <v>2</v>
      </c>
      <c r="E114">
        <v>5</v>
      </c>
      <c r="F114">
        <v>1</v>
      </c>
      <c r="G114">
        <v>2</v>
      </c>
      <c r="H114">
        <v>4</v>
      </c>
      <c r="I114">
        <v>4</v>
      </c>
      <c r="J114">
        <v>2</v>
      </c>
      <c r="K114">
        <v>2</v>
      </c>
      <c r="L114">
        <v>1</v>
      </c>
      <c r="M114">
        <v>3</v>
      </c>
      <c r="N114">
        <v>0</v>
      </c>
      <c r="O114">
        <v>6</v>
      </c>
      <c r="P114">
        <v>6</v>
      </c>
      <c r="Q114">
        <v>2</v>
      </c>
      <c r="R114">
        <v>2</v>
      </c>
      <c r="S114">
        <v>2</v>
      </c>
      <c r="T114" s="3">
        <f t="shared" si="28"/>
        <v>0.26644045607495698</v>
      </c>
      <c r="U114" s="32">
        <f t="shared" si="29"/>
        <v>-5.6401471461296142E-2</v>
      </c>
      <c r="V114" s="32">
        <f t="shared" si="30"/>
        <v>0.26360832519077404</v>
      </c>
      <c r="W114" s="32">
        <f t="shared" si="31"/>
        <v>0.80698132232978881</v>
      </c>
      <c r="X114" s="32">
        <f t="shared" si="32"/>
        <v>1.0506390162289212</v>
      </c>
      <c r="Y114" s="32">
        <f t="shared" si="33"/>
        <v>2.4129647679270151E-2</v>
      </c>
      <c r="Z114" s="32">
        <f t="shared" si="34"/>
        <v>-0.12522426979936985</v>
      </c>
      <c r="AA114" s="32">
        <f t="shared" si="35"/>
        <v>-9.8649377643389324E-2</v>
      </c>
      <c r="AF114" s="40"/>
    </row>
    <row r="115" spans="1:32" customFormat="1" ht="14.25" customHeight="1" x14ac:dyDescent="0.35">
      <c r="A115" s="30">
        <f t="shared" si="27"/>
        <v>1</v>
      </c>
      <c r="B115">
        <v>2166</v>
      </c>
      <c r="C115">
        <v>4</v>
      </c>
      <c r="D115">
        <v>2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1</v>
      </c>
      <c r="K115">
        <v>1</v>
      </c>
      <c r="L115">
        <v>1</v>
      </c>
      <c r="M115">
        <v>2</v>
      </c>
      <c r="N115">
        <v>0</v>
      </c>
      <c r="O115">
        <v>6</v>
      </c>
      <c r="P115">
        <v>4</v>
      </c>
      <c r="Q115">
        <v>1</v>
      </c>
      <c r="R115">
        <v>2</v>
      </c>
      <c r="S115">
        <v>2</v>
      </c>
      <c r="T115" s="3">
        <f t="shared" si="28"/>
        <v>-0.23169175993600416</v>
      </c>
      <c r="U115" s="32">
        <f t="shared" si="29"/>
        <v>-5.6401471461296142E-2</v>
      </c>
      <c r="V115" s="32">
        <f t="shared" si="30"/>
        <v>0.26360832519077404</v>
      </c>
      <c r="W115" s="32">
        <f t="shared" si="31"/>
        <v>-1.904915094207053</v>
      </c>
      <c r="X115" s="32">
        <f t="shared" si="32"/>
        <v>0.21586162773242673</v>
      </c>
      <c r="Y115" s="32">
        <f t="shared" si="33"/>
        <v>-0.82040802109518818</v>
      </c>
      <c r="Z115" s="32">
        <f t="shared" si="34"/>
        <v>-0.12522426979936985</v>
      </c>
      <c r="AA115" s="32">
        <f t="shared" si="35"/>
        <v>0.80563658408767735</v>
      </c>
      <c r="AF115" s="40"/>
    </row>
    <row r="116" spans="1:32" customFormat="1" ht="14.25" customHeight="1" x14ac:dyDescent="0.35">
      <c r="A116" s="30">
        <f t="shared" si="27"/>
        <v>1</v>
      </c>
      <c r="B116">
        <v>2171</v>
      </c>
      <c r="C116">
        <v>3</v>
      </c>
      <c r="D116">
        <v>3</v>
      </c>
      <c r="E116">
        <v>4</v>
      </c>
      <c r="F116">
        <v>2</v>
      </c>
      <c r="G116">
        <v>4</v>
      </c>
      <c r="H116">
        <v>3</v>
      </c>
      <c r="I116">
        <v>3</v>
      </c>
      <c r="J116">
        <v>2</v>
      </c>
      <c r="K116">
        <v>1</v>
      </c>
      <c r="L116">
        <v>2</v>
      </c>
      <c r="M116">
        <v>2</v>
      </c>
      <c r="N116">
        <v>0</v>
      </c>
      <c r="O116">
        <v>6</v>
      </c>
      <c r="P116">
        <v>6</v>
      </c>
      <c r="Q116">
        <v>2</v>
      </c>
      <c r="R116">
        <v>2</v>
      </c>
      <c r="S116">
        <v>2</v>
      </c>
      <c r="T116" s="3">
        <f t="shared" si="28"/>
        <v>-0.72615811806156272</v>
      </c>
      <c r="U116" s="32">
        <f t="shared" si="29"/>
        <v>-0.95700561253682881</v>
      </c>
      <c r="V116" s="32">
        <f t="shared" si="30"/>
        <v>-0.51458870665983425</v>
      </c>
      <c r="W116" s="32">
        <f t="shared" si="31"/>
        <v>-9.6984149849158471E-2</v>
      </c>
      <c r="X116" s="32">
        <f t="shared" si="32"/>
        <v>0.21586162773242673</v>
      </c>
      <c r="Y116" s="32">
        <f t="shared" si="33"/>
        <v>-1.6649456898696466</v>
      </c>
      <c r="Z116" s="32">
        <f t="shared" si="34"/>
        <v>-1.0625089558734409</v>
      </c>
      <c r="AA116" s="32">
        <f t="shared" si="35"/>
        <v>-1.002935339374456</v>
      </c>
      <c r="AF116" s="40"/>
    </row>
    <row r="117" spans="1:32" customFormat="1" ht="14.25" customHeight="1" x14ac:dyDescent="0.35">
      <c r="A117" s="30">
        <f t="shared" si="27"/>
        <v>1</v>
      </c>
      <c r="B117">
        <v>2188</v>
      </c>
      <c r="C117">
        <v>1</v>
      </c>
      <c r="D117">
        <v>5</v>
      </c>
      <c r="E117">
        <v>1</v>
      </c>
      <c r="F117">
        <v>1</v>
      </c>
      <c r="G117">
        <v>1</v>
      </c>
      <c r="H117">
        <v>5</v>
      </c>
      <c r="I117">
        <v>5</v>
      </c>
      <c r="J117">
        <v>1</v>
      </c>
      <c r="K117">
        <v>2</v>
      </c>
      <c r="L117">
        <v>1</v>
      </c>
      <c r="M117">
        <v>5</v>
      </c>
      <c r="N117">
        <v>15</v>
      </c>
      <c r="O117">
        <v>6</v>
      </c>
      <c r="P117">
        <v>6</v>
      </c>
      <c r="Q117">
        <v>1</v>
      </c>
      <c r="R117">
        <v>1</v>
      </c>
      <c r="S117">
        <v>5</v>
      </c>
      <c r="T117" s="3">
        <f t="shared" si="28"/>
        <v>-0.58586769976998809</v>
      </c>
      <c r="U117" s="32">
        <f t="shared" si="29"/>
        <v>-2.758213894687894</v>
      </c>
      <c r="V117" s="32">
        <f t="shared" si="30"/>
        <v>-2.0709827703610508</v>
      </c>
      <c r="W117" s="32">
        <f t="shared" si="31"/>
        <v>-2.8088805663860001</v>
      </c>
      <c r="X117" s="32">
        <f t="shared" si="32"/>
        <v>1.0506390162289212</v>
      </c>
      <c r="Y117" s="32">
        <f t="shared" si="33"/>
        <v>0.86866731645372852</v>
      </c>
      <c r="Z117" s="32">
        <f t="shared" si="34"/>
        <v>0.81206041627470116</v>
      </c>
      <c r="AA117" s="32">
        <f t="shared" si="35"/>
        <v>0.80563658408767735</v>
      </c>
      <c r="AF117" s="40"/>
    </row>
    <row r="118" spans="1:32" customFormat="1" ht="14.25" customHeight="1" x14ac:dyDescent="0.35">
      <c r="A118" s="30">
        <f t="shared" si="27"/>
        <v>1</v>
      </c>
      <c r="B118">
        <v>2209</v>
      </c>
      <c r="C118">
        <v>5</v>
      </c>
      <c r="D118">
        <v>2</v>
      </c>
      <c r="E118">
        <v>5</v>
      </c>
      <c r="F118">
        <v>1</v>
      </c>
      <c r="G118">
        <v>1</v>
      </c>
      <c r="H118">
        <v>5</v>
      </c>
      <c r="I118">
        <v>5</v>
      </c>
      <c r="J118">
        <v>2</v>
      </c>
      <c r="K118">
        <v>1</v>
      </c>
      <c r="L118">
        <v>2</v>
      </c>
      <c r="M118">
        <v>3</v>
      </c>
      <c r="N118">
        <v>3</v>
      </c>
      <c r="O118">
        <v>6</v>
      </c>
      <c r="P118">
        <v>6</v>
      </c>
      <c r="Q118">
        <v>1</v>
      </c>
      <c r="R118">
        <v>4</v>
      </c>
      <c r="S118">
        <v>1</v>
      </c>
      <c r="T118" s="3">
        <f t="shared" si="28"/>
        <v>0.77882795002568961</v>
      </c>
      <c r="U118" s="32">
        <f t="shared" si="29"/>
        <v>0.84420266961423651</v>
      </c>
      <c r="V118" s="32">
        <f t="shared" si="30"/>
        <v>0.26360832519077404</v>
      </c>
      <c r="W118" s="32">
        <f t="shared" si="31"/>
        <v>0.80698132232978881</v>
      </c>
      <c r="X118" s="32">
        <f t="shared" si="32"/>
        <v>1.0506390162289212</v>
      </c>
      <c r="Y118" s="32">
        <f t="shared" si="33"/>
        <v>0.86866731645372852</v>
      </c>
      <c r="Z118" s="32">
        <f t="shared" si="34"/>
        <v>0.81206041627470116</v>
      </c>
      <c r="AA118" s="32">
        <f t="shared" si="35"/>
        <v>0.80563658408767735</v>
      </c>
      <c r="AF118" s="40"/>
    </row>
    <row r="119" spans="1:32" customFormat="1" ht="14.25" customHeight="1" x14ac:dyDescent="0.35">
      <c r="A119" s="30">
        <f t="shared" si="27"/>
        <v>1</v>
      </c>
      <c r="B119">
        <v>2217</v>
      </c>
      <c r="C119">
        <v>5</v>
      </c>
      <c r="D119">
        <v>1</v>
      </c>
      <c r="E119">
        <v>3</v>
      </c>
      <c r="F119">
        <v>1</v>
      </c>
      <c r="G119">
        <v>1</v>
      </c>
      <c r="H119">
        <v>5</v>
      </c>
      <c r="I119">
        <v>5</v>
      </c>
      <c r="J119">
        <v>2</v>
      </c>
      <c r="K119">
        <v>1</v>
      </c>
      <c r="L119">
        <v>2</v>
      </c>
      <c r="M119">
        <v>3</v>
      </c>
      <c r="N119">
        <v>1</v>
      </c>
      <c r="O119">
        <v>6</v>
      </c>
      <c r="P119">
        <v>6</v>
      </c>
      <c r="Q119">
        <v>1</v>
      </c>
      <c r="R119">
        <v>2</v>
      </c>
      <c r="S119">
        <v>3</v>
      </c>
      <c r="T119" s="3">
        <f t="shared" si="28"/>
        <v>0.63172310538179155</v>
      </c>
      <c r="U119" s="32">
        <f t="shared" si="29"/>
        <v>0.84420266961423651</v>
      </c>
      <c r="V119" s="32">
        <f t="shared" si="30"/>
        <v>1.0418053570413823</v>
      </c>
      <c r="W119" s="32">
        <f t="shared" si="31"/>
        <v>-1.0009496220281058</v>
      </c>
      <c r="X119" s="32">
        <f t="shared" si="32"/>
        <v>1.0506390162289212</v>
      </c>
      <c r="Y119" s="32">
        <f t="shared" si="33"/>
        <v>0.86866731645372852</v>
      </c>
      <c r="Z119" s="32">
        <f t="shared" si="34"/>
        <v>0.81206041627470116</v>
      </c>
      <c r="AA119" s="32">
        <f t="shared" si="35"/>
        <v>0.80563658408767735</v>
      </c>
      <c r="AF119" s="40"/>
    </row>
    <row r="120" spans="1:32" customFormat="1" ht="14.25" customHeight="1" x14ac:dyDescent="0.35">
      <c r="A120" s="30">
        <f t="shared" si="27"/>
        <v>1</v>
      </c>
      <c r="B120">
        <v>2228</v>
      </c>
      <c r="C120">
        <v>3</v>
      </c>
      <c r="D120">
        <v>3</v>
      </c>
      <c r="E120">
        <v>5</v>
      </c>
      <c r="F120">
        <v>3</v>
      </c>
      <c r="G120">
        <v>1</v>
      </c>
      <c r="H120">
        <v>3</v>
      </c>
      <c r="I120">
        <v>3</v>
      </c>
      <c r="J120">
        <v>2</v>
      </c>
      <c r="K120">
        <v>1</v>
      </c>
      <c r="L120">
        <v>1</v>
      </c>
      <c r="M120">
        <v>3</v>
      </c>
      <c r="N120">
        <v>3</v>
      </c>
      <c r="O120">
        <v>6</v>
      </c>
      <c r="P120">
        <v>1</v>
      </c>
      <c r="Q120">
        <v>2</v>
      </c>
      <c r="R120">
        <v>2</v>
      </c>
      <c r="S120">
        <v>3</v>
      </c>
      <c r="T120" s="3">
        <f t="shared" si="28"/>
        <v>-0.35432939091787291</v>
      </c>
      <c r="U120" s="32">
        <f t="shared" si="29"/>
        <v>-0.95700561253682881</v>
      </c>
      <c r="V120" s="32">
        <f t="shared" si="30"/>
        <v>-0.51458870665983425</v>
      </c>
      <c r="W120" s="32">
        <f t="shared" si="31"/>
        <v>0.80698132232978881</v>
      </c>
      <c r="X120" s="32">
        <f t="shared" si="32"/>
        <v>-0.61891576076406762</v>
      </c>
      <c r="Y120" s="32">
        <f t="shared" si="33"/>
        <v>0.86866731645372852</v>
      </c>
      <c r="Z120" s="32">
        <f t="shared" si="34"/>
        <v>-1.0625089558734409</v>
      </c>
      <c r="AA120" s="32">
        <f t="shared" si="35"/>
        <v>-1.002935339374456</v>
      </c>
      <c r="AF120" s="40"/>
    </row>
    <row r="121" spans="1:32" customFormat="1" ht="14.25" customHeight="1" x14ac:dyDescent="0.35">
      <c r="A121" s="30">
        <f t="shared" si="27"/>
        <v>1</v>
      </c>
      <c r="B121">
        <v>2233</v>
      </c>
      <c r="C121">
        <v>4</v>
      </c>
      <c r="D121">
        <v>1</v>
      </c>
      <c r="E121">
        <v>5</v>
      </c>
      <c r="F121">
        <v>4</v>
      </c>
      <c r="G121">
        <v>2</v>
      </c>
      <c r="H121">
        <v>5</v>
      </c>
      <c r="I121">
        <v>4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6</v>
      </c>
      <c r="P121">
        <v>6</v>
      </c>
      <c r="Q121">
        <v>1</v>
      </c>
      <c r="R121">
        <v>2</v>
      </c>
      <c r="S121">
        <v>3</v>
      </c>
      <c r="T121" s="3">
        <f t="shared" si="28"/>
        <v>0.15374753499427068</v>
      </c>
      <c r="U121" s="32">
        <f t="shared" si="29"/>
        <v>-5.6401471461296142E-2</v>
      </c>
      <c r="V121" s="32">
        <f t="shared" si="30"/>
        <v>1.0418053570413823</v>
      </c>
      <c r="W121" s="32">
        <f t="shared" si="31"/>
        <v>0.80698132232978881</v>
      </c>
      <c r="X121" s="32">
        <f t="shared" si="32"/>
        <v>-1.453693149260562</v>
      </c>
      <c r="Y121" s="32">
        <f t="shared" si="33"/>
        <v>2.4129647679270151E-2</v>
      </c>
      <c r="Z121" s="32">
        <f t="shared" si="34"/>
        <v>0.81206041627470116</v>
      </c>
      <c r="AA121" s="32">
        <f t="shared" si="35"/>
        <v>-9.8649377643389324E-2</v>
      </c>
      <c r="AF121" s="40"/>
    </row>
    <row r="122" spans="1:32" customFormat="1" ht="14.25" customHeight="1" x14ac:dyDescent="0.35">
      <c r="A122" s="30">
        <f t="shared" si="27"/>
        <v>1</v>
      </c>
      <c r="B122">
        <v>2241</v>
      </c>
      <c r="C122">
        <v>5</v>
      </c>
      <c r="D122">
        <v>2</v>
      </c>
      <c r="E122">
        <v>5</v>
      </c>
      <c r="F122">
        <v>1</v>
      </c>
      <c r="G122">
        <v>1</v>
      </c>
      <c r="H122">
        <v>4</v>
      </c>
      <c r="I122">
        <v>5</v>
      </c>
      <c r="J122">
        <v>1</v>
      </c>
      <c r="K122">
        <v>1</v>
      </c>
      <c r="L122">
        <v>1</v>
      </c>
      <c r="M122">
        <v>5</v>
      </c>
      <c r="N122">
        <v>20</v>
      </c>
      <c r="O122">
        <v>6</v>
      </c>
      <c r="P122">
        <v>6</v>
      </c>
      <c r="Q122">
        <v>1</v>
      </c>
      <c r="R122">
        <v>1</v>
      </c>
      <c r="S122">
        <v>1</v>
      </c>
      <c r="T122" s="3">
        <f t="shared" si="28"/>
        <v>0.64493013772939378</v>
      </c>
      <c r="U122" s="32">
        <f t="shared" si="29"/>
        <v>0.84420266961423651</v>
      </c>
      <c r="V122" s="32">
        <f t="shared" si="30"/>
        <v>0.26360832519077404</v>
      </c>
      <c r="W122" s="32">
        <f t="shared" si="31"/>
        <v>0.80698132232978881</v>
      </c>
      <c r="X122" s="32">
        <f t="shared" si="32"/>
        <v>1.0506390162289212</v>
      </c>
      <c r="Y122" s="32">
        <f t="shared" si="33"/>
        <v>0.86866731645372852</v>
      </c>
      <c r="Z122" s="32">
        <f t="shared" si="34"/>
        <v>-0.12522426979936985</v>
      </c>
      <c r="AA122" s="32">
        <f t="shared" si="35"/>
        <v>0.80563658408767735</v>
      </c>
      <c r="AF122" s="40"/>
    </row>
    <row r="123" spans="1:32" customFormat="1" ht="14.25" customHeight="1" x14ac:dyDescent="0.35">
      <c r="A123" s="30">
        <f t="shared" si="27"/>
        <v>1</v>
      </c>
      <c r="B123">
        <v>2308</v>
      </c>
      <c r="C123">
        <v>3</v>
      </c>
      <c r="D123">
        <v>3</v>
      </c>
      <c r="E123">
        <v>3</v>
      </c>
      <c r="F123">
        <v>2</v>
      </c>
      <c r="G123">
        <v>3</v>
      </c>
      <c r="H123">
        <v>3</v>
      </c>
      <c r="I123">
        <v>5</v>
      </c>
      <c r="J123">
        <v>2</v>
      </c>
      <c r="K123">
        <v>1</v>
      </c>
      <c r="L123">
        <v>1</v>
      </c>
      <c r="M123">
        <v>3</v>
      </c>
      <c r="N123">
        <v>0</v>
      </c>
      <c r="O123">
        <v>4</v>
      </c>
      <c r="P123">
        <v>4</v>
      </c>
      <c r="Q123">
        <v>2</v>
      </c>
      <c r="R123">
        <v>2</v>
      </c>
      <c r="S123">
        <v>2</v>
      </c>
      <c r="T123" s="3">
        <f t="shared" si="28"/>
        <v>-0.47628038662475625</v>
      </c>
      <c r="U123" s="32">
        <f t="shared" si="29"/>
        <v>-0.95700561253682881</v>
      </c>
      <c r="V123" s="32">
        <f t="shared" si="30"/>
        <v>-0.51458870665983425</v>
      </c>
      <c r="W123" s="32">
        <f t="shared" si="31"/>
        <v>-1.0009496220281058</v>
      </c>
      <c r="X123" s="32">
        <f t="shared" si="32"/>
        <v>0.21586162773242673</v>
      </c>
      <c r="Y123" s="32">
        <f t="shared" si="33"/>
        <v>-0.82040802109518818</v>
      </c>
      <c r="Z123" s="32">
        <f t="shared" si="34"/>
        <v>-1.0625089558734409</v>
      </c>
      <c r="AA123" s="32">
        <f t="shared" si="35"/>
        <v>0.80563658408767735</v>
      </c>
      <c r="AF123" s="40"/>
    </row>
    <row r="124" spans="1:32" customFormat="1" ht="14.25" customHeight="1" x14ac:dyDescent="0.35">
      <c r="A124" s="30">
        <f t="shared" si="27"/>
        <v>1</v>
      </c>
      <c r="B124">
        <v>2329</v>
      </c>
      <c r="C124">
        <v>5</v>
      </c>
      <c r="D124">
        <v>2</v>
      </c>
      <c r="E124">
        <v>5</v>
      </c>
      <c r="F124">
        <v>5</v>
      </c>
      <c r="G124">
        <v>2</v>
      </c>
      <c r="H124">
        <v>5</v>
      </c>
      <c r="I124">
        <v>4</v>
      </c>
      <c r="J124">
        <v>2</v>
      </c>
      <c r="K124">
        <v>1</v>
      </c>
      <c r="L124">
        <v>2</v>
      </c>
      <c r="M124">
        <v>3</v>
      </c>
      <c r="N124">
        <v>3</v>
      </c>
      <c r="O124">
        <v>6</v>
      </c>
      <c r="P124">
        <v>4</v>
      </c>
      <c r="Q124">
        <v>2</v>
      </c>
      <c r="R124">
        <v>2</v>
      </c>
      <c r="S124">
        <v>2</v>
      </c>
      <c r="T124" s="3">
        <f t="shared" si="28"/>
        <v>5.1980352241189277E-2</v>
      </c>
      <c r="U124" s="32">
        <f t="shared" si="29"/>
        <v>0.84420266961423651</v>
      </c>
      <c r="V124" s="32">
        <f t="shared" si="30"/>
        <v>0.26360832519077404</v>
      </c>
      <c r="W124" s="32">
        <f t="shared" si="31"/>
        <v>0.80698132232978881</v>
      </c>
      <c r="X124" s="32">
        <f t="shared" si="32"/>
        <v>-2.2884705377570564</v>
      </c>
      <c r="Y124" s="32">
        <f t="shared" si="33"/>
        <v>2.4129647679270151E-2</v>
      </c>
      <c r="Z124" s="32">
        <f t="shared" si="34"/>
        <v>0.81206041627470116</v>
      </c>
      <c r="AA124" s="32">
        <f t="shared" si="35"/>
        <v>-9.8649377643389324E-2</v>
      </c>
      <c r="AF124" s="40"/>
    </row>
    <row r="125" spans="1:32" customFormat="1" ht="14.25" customHeight="1" x14ac:dyDescent="0.35">
      <c r="A125" s="30">
        <f t="shared" si="27"/>
        <v>1</v>
      </c>
      <c r="B125">
        <v>2334</v>
      </c>
      <c r="C125">
        <v>4</v>
      </c>
      <c r="D125">
        <v>1</v>
      </c>
      <c r="E125">
        <v>5</v>
      </c>
      <c r="F125">
        <v>1</v>
      </c>
      <c r="G125">
        <v>1</v>
      </c>
      <c r="H125">
        <v>1</v>
      </c>
      <c r="I125">
        <v>3</v>
      </c>
      <c r="J125">
        <v>2</v>
      </c>
      <c r="K125">
        <v>2</v>
      </c>
      <c r="L125">
        <v>2</v>
      </c>
      <c r="M125">
        <v>1</v>
      </c>
      <c r="N125">
        <v>3</v>
      </c>
      <c r="O125">
        <v>6</v>
      </c>
      <c r="P125">
        <v>6</v>
      </c>
      <c r="Q125">
        <v>2</v>
      </c>
      <c r="R125">
        <v>4</v>
      </c>
      <c r="S125">
        <v>2</v>
      </c>
      <c r="T125" s="3">
        <f t="shared" si="28"/>
        <v>-3.2617446686216321E-2</v>
      </c>
      <c r="U125" s="32">
        <f t="shared" si="29"/>
        <v>-5.6401471461296142E-2</v>
      </c>
      <c r="V125" s="32">
        <f t="shared" si="30"/>
        <v>1.0418053570413823</v>
      </c>
      <c r="W125" s="32">
        <f t="shared" si="31"/>
        <v>0.80698132232978881</v>
      </c>
      <c r="X125" s="32">
        <f t="shared" si="32"/>
        <v>1.0506390162289212</v>
      </c>
      <c r="Y125" s="32">
        <f t="shared" si="33"/>
        <v>0.86866731645372852</v>
      </c>
      <c r="Z125" s="32">
        <f t="shared" si="34"/>
        <v>-2.9370783280215829</v>
      </c>
      <c r="AA125" s="32">
        <f t="shared" si="35"/>
        <v>-1.002935339374456</v>
      </c>
      <c r="AF125" s="40"/>
    </row>
    <row r="126" spans="1:32" customFormat="1" ht="14.25" customHeight="1" x14ac:dyDescent="0.35">
      <c r="A126" s="30">
        <f t="shared" si="27"/>
        <v>1</v>
      </c>
      <c r="B126">
        <v>2354</v>
      </c>
      <c r="C126">
        <v>5</v>
      </c>
      <c r="D126">
        <v>5</v>
      </c>
      <c r="E126">
        <v>5</v>
      </c>
      <c r="F126">
        <v>4</v>
      </c>
      <c r="G126">
        <v>1</v>
      </c>
      <c r="H126">
        <v>5</v>
      </c>
      <c r="I126">
        <v>1</v>
      </c>
      <c r="J126">
        <v>2</v>
      </c>
      <c r="K126">
        <v>1</v>
      </c>
      <c r="L126">
        <v>1</v>
      </c>
      <c r="M126">
        <v>1</v>
      </c>
      <c r="N126">
        <v>0</v>
      </c>
      <c r="O126">
        <v>5</v>
      </c>
      <c r="P126">
        <v>4</v>
      </c>
      <c r="Q126">
        <v>2</v>
      </c>
      <c r="R126">
        <v>2</v>
      </c>
      <c r="S126">
        <v>1</v>
      </c>
      <c r="T126" s="3">
        <f t="shared" si="28"/>
        <v>-0.42918163682653526</v>
      </c>
      <c r="U126" s="32">
        <f t="shared" si="29"/>
        <v>0.84420266961423651</v>
      </c>
      <c r="V126" s="32">
        <f t="shared" si="30"/>
        <v>-2.0709827703610508</v>
      </c>
      <c r="W126" s="32">
        <f t="shared" si="31"/>
        <v>0.80698132232978881</v>
      </c>
      <c r="X126" s="32">
        <f t="shared" si="32"/>
        <v>-1.453693149260562</v>
      </c>
      <c r="Y126" s="32">
        <f t="shared" si="33"/>
        <v>0.86866731645372852</v>
      </c>
      <c r="Z126" s="32">
        <f t="shared" si="34"/>
        <v>0.81206041627470116</v>
      </c>
      <c r="AA126" s="32">
        <f t="shared" si="35"/>
        <v>-2.8115072628365891</v>
      </c>
      <c r="AF126" s="40"/>
    </row>
    <row r="127" spans="1:32" customFormat="1" ht="14.25" customHeight="1" x14ac:dyDescent="0.35">
      <c r="A127" s="30">
        <f t="shared" si="27"/>
        <v>1</v>
      </c>
      <c r="B127">
        <v>2376</v>
      </c>
      <c r="C127">
        <v>4</v>
      </c>
      <c r="D127">
        <v>3</v>
      </c>
      <c r="E127">
        <v>4</v>
      </c>
      <c r="F127">
        <v>2</v>
      </c>
      <c r="G127">
        <v>2</v>
      </c>
      <c r="H127">
        <v>4</v>
      </c>
      <c r="I127">
        <v>3</v>
      </c>
      <c r="J127">
        <v>1</v>
      </c>
      <c r="K127">
        <v>2</v>
      </c>
      <c r="L127">
        <v>1</v>
      </c>
      <c r="M127">
        <v>3</v>
      </c>
      <c r="N127">
        <v>0</v>
      </c>
      <c r="O127">
        <v>6</v>
      </c>
      <c r="P127">
        <v>6</v>
      </c>
      <c r="Q127">
        <v>2</v>
      </c>
      <c r="R127">
        <v>4</v>
      </c>
      <c r="S127">
        <v>3</v>
      </c>
      <c r="T127" s="3">
        <f t="shared" si="28"/>
        <v>-0.22230609453320255</v>
      </c>
      <c r="U127" s="32">
        <f t="shared" si="29"/>
        <v>-5.6401471461296142E-2</v>
      </c>
      <c r="V127" s="32">
        <f t="shared" si="30"/>
        <v>-0.51458870665983425</v>
      </c>
      <c r="W127" s="32">
        <f t="shared" si="31"/>
        <v>-9.6984149849158471E-2</v>
      </c>
      <c r="X127" s="32">
        <f t="shared" si="32"/>
        <v>0.21586162773242673</v>
      </c>
      <c r="Y127" s="32">
        <f t="shared" si="33"/>
        <v>2.4129647679270151E-2</v>
      </c>
      <c r="Z127" s="32">
        <f t="shared" si="34"/>
        <v>-0.12522426979936985</v>
      </c>
      <c r="AA127" s="32">
        <f t="shared" si="35"/>
        <v>-1.002935339374456</v>
      </c>
      <c r="AF127" s="40"/>
    </row>
    <row r="128" spans="1:32" customFormat="1" ht="14.25" customHeight="1" x14ac:dyDescent="0.35">
      <c r="A128" s="30">
        <f t="shared" si="27"/>
        <v>1</v>
      </c>
      <c r="B128">
        <v>2413</v>
      </c>
      <c r="C128">
        <v>4</v>
      </c>
      <c r="D128">
        <v>2</v>
      </c>
      <c r="E128">
        <v>5</v>
      </c>
      <c r="F128">
        <v>2</v>
      </c>
      <c r="G128">
        <v>2</v>
      </c>
      <c r="H128">
        <v>4</v>
      </c>
      <c r="I128">
        <v>4</v>
      </c>
      <c r="J128">
        <v>3</v>
      </c>
      <c r="K128">
        <v>2</v>
      </c>
      <c r="L128">
        <v>1</v>
      </c>
      <c r="M128">
        <v>3</v>
      </c>
      <c r="N128">
        <v>0</v>
      </c>
      <c r="O128">
        <v>5</v>
      </c>
      <c r="P128">
        <v>6</v>
      </c>
      <c r="Q128">
        <v>2</v>
      </c>
      <c r="R128">
        <v>3</v>
      </c>
      <c r="S128">
        <v>2</v>
      </c>
      <c r="T128" s="3">
        <f t="shared" si="28"/>
        <v>0.1471865434326006</v>
      </c>
      <c r="U128" s="32">
        <f t="shared" si="29"/>
        <v>-5.6401471461296142E-2</v>
      </c>
      <c r="V128" s="32">
        <f t="shared" si="30"/>
        <v>0.26360832519077404</v>
      </c>
      <c r="W128" s="32">
        <f t="shared" si="31"/>
        <v>0.80698132232978881</v>
      </c>
      <c r="X128" s="32">
        <f t="shared" si="32"/>
        <v>0.21586162773242673</v>
      </c>
      <c r="Y128" s="32">
        <f t="shared" si="33"/>
        <v>2.4129647679270151E-2</v>
      </c>
      <c r="Z128" s="32">
        <f t="shared" si="34"/>
        <v>-0.12522426979936985</v>
      </c>
      <c r="AA128" s="32">
        <f t="shared" si="35"/>
        <v>-9.8649377643389324E-2</v>
      </c>
      <c r="AF128" s="40"/>
    </row>
    <row r="129" spans="1:32" customFormat="1" ht="14.25" customHeight="1" x14ac:dyDescent="0.35">
      <c r="A129" s="30">
        <f t="shared" si="27"/>
        <v>1</v>
      </c>
      <c r="B129">
        <v>2438</v>
      </c>
      <c r="C129">
        <v>4</v>
      </c>
      <c r="D129">
        <v>2</v>
      </c>
      <c r="E129">
        <v>4</v>
      </c>
      <c r="F129">
        <v>1</v>
      </c>
      <c r="G129">
        <v>2</v>
      </c>
      <c r="H129">
        <v>5</v>
      </c>
      <c r="I129">
        <v>5</v>
      </c>
      <c r="J129">
        <v>2</v>
      </c>
      <c r="K129">
        <v>1</v>
      </c>
      <c r="L129">
        <v>2</v>
      </c>
      <c r="M129">
        <v>2</v>
      </c>
      <c r="N129">
        <v>30</v>
      </c>
      <c r="O129">
        <v>6</v>
      </c>
      <c r="P129">
        <v>6</v>
      </c>
      <c r="Q129">
        <v>1</v>
      </c>
      <c r="R129">
        <v>2</v>
      </c>
      <c r="S129">
        <v>1</v>
      </c>
      <c r="T129" s="3">
        <f t="shared" si="28"/>
        <v>0.40038405259298415</v>
      </c>
      <c r="U129" s="32">
        <f t="shared" si="29"/>
        <v>-5.6401471461296142E-2</v>
      </c>
      <c r="V129" s="32">
        <f t="shared" si="30"/>
        <v>0.26360832519077404</v>
      </c>
      <c r="W129" s="32">
        <f t="shared" si="31"/>
        <v>-9.6984149849158471E-2</v>
      </c>
      <c r="X129" s="32">
        <f t="shared" si="32"/>
        <v>1.0506390162289212</v>
      </c>
      <c r="Y129" s="32">
        <f t="shared" si="33"/>
        <v>2.4129647679270151E-2</v>
      </c>
      <c r="Z129" s="32">
        <f t="shared" si="34"/>
        <v>0.81206041627470116</v>
      </c>
      <c r="AA129" s="32">
        <f t="shared" si="35"/>
        <v>0.80563658408767735</v>
      </c>
      <c r="AF129" s="40"/>
    </row>
    <row r="130" spans="1:32" customFormat="1" ht="14.25" customHeight="1" x14ac:dyDescent="0.35">
      <c r="A130" s="30">
        <f t="shared" ref="A130:A144" si="36">IF(COUNTBLANK(J130:T130)&gt;0,99,1)</f>
        <v>1</v>
      </c>
      <c r="B130">
        <v>2441</v>
      </c>
      <c r="C130">
        <v>3</v>
      </c>
      <c r="D130">
        <v>4</v>
      </c>
      <c r="E130">
        <v>3</v>
      </c>
      <c r="F130">
        <v>3</v>
      </c>
      <c r="G130">
        <v>2</v>
      </c>
      <c r="H130">
        <v>3</v>
      </c>
      <c r="I130">
        <v>4</v>
      </c>
      <c r="J130">
        <v>2</v>
      </c>
      <c r="K130">
        <v>2</v>
      </c>
      <c r="L130">
        <v>2</v>
      </c>
      <c r="M130">
        <v>3</v>
      </c>
      <c r="N130">
        <v>0</v>
      </c>
      <c r="O130">
        <v>6</v>
      </c>
      <c r="P130">
        <v>6</v>
      </c>
      <c r="Q130">
        <v>3</v>
      </c>
      <c r="R130">
        <v>2</v>
      </c>
      <c r="S130">
        <v>4</v>
      </c>
      <c r="T130" s="3">
        <f t="shared" ref="T130:T144" si="37">AVERAGE(U130:AA130)</f>
        <v>-0.71524077423957222</v>
      </c>
      <c r="U130" s="32">
        <f t="shared" ref="U130:U144" si="38">IF(ISTEXT(C130),"",STANDARDIZE(C130,AVERAGE(C$2:C$497),STDEV(C$2:C$497)))</f>
        <v>-0.95700561253682881</v>
      </c>
      <c r="V130" s="32">
        <f t="shared" ref="V130:V144" si="39">IF(ISTEXT(D130),"",-1*STANDARDIZE(D130,AVERAGE(D$2:D$497),STDEV(D$2:D$497)))</f>
        <v>-1.2927857385104427</v>
      </c>
      <c r="W130" s="32">
        <f t="shared" ref="W130:W144" si="40">IF(ISTEXT(E130),"",STANDARDIZE(E130,AVERAGE(E$2:E$497),STDEV(E$2:E$497)))</f>
        <v>-1.0009496220281058</v>
      </c>
      <c r="X130" s="32">
        <f t="shared" ref="X130:X144" si="41">IF(ISTEXT(F130),"",-1*STANDARDIZE(F130,AVERAGE(F$2:F$497),STDEV(F$2:F$497)))</f>
        <v>-0.61891576076406762</v>
      </c>
      <c r="Y130" s="32">
        <f t="shared" ref="Y130:Y144" si="42">IF(ISTEXT(G130),"",-1*STANDARDIZE(G130,AVERAGE(G$2:G$497),STDEV(G$2:G$497)))</f>
        <v>2.4129647679270151E-2</v>
      </c>
      <c r="Z130" s="32">
        <f t="shared" ref="Z130:Z144" si="43">IF(ISTEXT(H130),"",STANDARDIZE(H130,AVERAGE(H$2:H$497),STDEV(H$2:H$497)))</f>
        <v>-1.0625089558734409</v>
      </c>
      <c r="AA130" s="32">
        <f t="shared" ref="AA130:AA144" si="44">IF(ISTEXT(I130),"",STANDARDIZE(I130,AVERAGE(I$2:I$497),STDEV(I$2:I$497)))</f>
        <v>-9.8649377643389324E-2</v>
      </c>
      <c r="AF130" s="40"/>
    </row>
    <row r="131" spans="1:32" customFormat="1" ht="14.25" customHeight="1" x14ac:dyDescent="0.35">
      <c r="A131" s="30">
        <f t="shared" si="36"/>
        <v>1</v>
      </c>
      <c r="B131">
        <v>2465</v>
      </c>
      <c r="C131">
        <v>3</v>
      </c>
      <c r="D131">
        <v>3</v>
      </c>
      <c r="E131">
        <v>4</v>
      </c>
      <c r="F131">
        <v>3</v>
      </c>
      <c r="G131">
        <v>2</v>
      </c>
      <c r="H131">
        <v>3</v>
      </c>
      <c r="I131">
        <v>3</v>
      </c>
      <c r="J131">
        <v>2</v>
      </c>
      <c r="K131">
        <v>1</v>
      </c>
      <c r="L131">
        <v>2</v>
      </c>
      <c r="M131">
        <v>1</v>
      </c>
      <c r="N131">
        <v>0</v>
      </c>
      <c r="O131">
        <v>6</v>
      </c>
      <c r="P131">
        <v>5</v>
      </c>
      <c r="Q131">
        <v>2</v>
      </c>
      <c r="R131">
        <v>2</v>
      </c>
      <c r="S131">
        <v>4</v>
      </c>
      <c r="T131" s="3">
        <f t="shared" si="37"/>
        <v>-0.60411555391121652</v>
      </c>
      <c r="U131" s="32">
        <f t="shared" si="38"/>
        <v>-0.95700561253682881</v>
      </c>
      <c r="V131" s="32">
        <f t="shared" si="39"/>
        <v>-0.51458870665983425</v>
      </c>
      <c r="W131" s="32">
        <f t="shared" si="40"/>
        <v>-9.6984149849158471E-2</v>
      </c>
      <c r="X131" s="32">
        <f t="shared" si="41"/>
        <v>-0.61891576076406762</v>
      </c>
      <c r="Y131" s="32">
        <f t="shared" si="42"/>
        <v>2.4129647679270151E-2</v>
      </c>
      <c r="Z131" s="32">
        <f t="shared" si="43"/>
        <v>-1.0625089558734409</v>
      </c>
      <c r="AA131" s="32">
        <f t="shared" si="44"/>
        <v>-1.002935339374456</v>
      </c>
      <c r="AF131" s="40"/>
    </row>
    <row r="132" spans="1:32" customFormat="1" ht="14.25" customHeight="1" x14ac:dyDescent="0.35">
      <c r="A132" s="30">
        <f t="shared" si="36"/>
        <v>1</v>
      </c>
      <c r="B132">
        <v>2482</v>
      </c>
      <c r="C132">
        <v>5</v>
      </c>
      <c r="D132">
        <v>1</v>
      </c>
      <c r="E132">
        <v>5</v>
      </c>
      <c r="F132">
        <v>4</v>
      </c>
      <c r="G132">
        <v>1</v>
      </c>
      <c r="H132">
        <v>5</v>
      </c>
      <c r="I132">
        <v>5</v>
      </c>
      <c r="J132">
        <v>2</v>
      </c>
      <c r="K132">
        <v>2</v>
      </c>
      <c r="L132">
        <v>2</v>
      </c>
      <c r="M132">
        <v>3</v>
      </c>
      <c r="N132">
        <v>30</v>
      </c>
      <c r="O132">
        <v>6</v>
      </c>
      <c r="P132">
        <v>6</v>
      </c>
      <c r="Q132">
        <v>1</v>
      </c>
      <c r="R132">
        <v>2</v>
      </c>
      <c r="S132">
        <v>3</v>
      </c>
      <c r="T132" s="3">
        <f t="shared" si="37"/>
        <v>0.53223721664870749</v>
      </c>
      <c r="U132" s="32">
        <f t="shared" si="38"/>
        <v>0.84420266961423651</v>
      </c>
      <c r="V132" s="32">
        <f t="shared" si="39"/>
        <v>1.0418053570413823</v>
      </c>
      <c r="W132" s="32">
        <f t="shared" si="40"/>
        <v>0.80698132232978881</v>
      </c>
      <c r="X132" s="32">
        <f t="shared" si="41"/>
        <v>-1.453693149260562</v>
      </c>
      <c r="Y132" s="32">
        <f t="shared" si="42"/>
        <v>0.86866731645372852</v>
      </c>
      <c r="Z132" s="32">
        <f t="shared" si="43"/>
        <v>0.81206041627470116</v>
      </c>
      <c r="AA132" s="32">
        <f t="shared" si="44"/>
        <v>0.80563658408767735</v>
      </c>
      <c r="AF132" s="40"/>
    </row>
    <row r="133" spans="1:32" customFormat="1" ht="14.25" customHeight="1" x14ac:dyDescent="0.35">
      <c r="A133" s="30">
        <f t="shared" si="36"/>
        <v>1</v>
      </c>
      <c r="B133">
        <v>2493</v>
      </c>
      <c r="C133">
        <v>4</v>
      </c>
      <c r="D133">
        <v>2</v>
      </c>
      <c r="E133">
        <v>4</v>
      </c>
      <c r="F133">
        <v>1</v>
      </c>
      <c r="G133">
        <v>2</v>
      </c>
      <c r="H133">
        <v>5</v>
      </c>
      <c r="I133">
        <v>5</v>
      </c>
      <c r="J133">
        <v>2</v>
      </c>
      <c r="K133">
        <v>1</v>
      </c>
      <c r="L133">
        <v>4</v>
      </c>
      <c r="M133">
        <v>1</v>
      </c>
      <c r="N133">
        <v>0</v>
      </c>
      <c r="O133">
        <v>6</v>
      </c>
      <c r="P133">
        <v>6</v>
      </c>
      <c r="Q133">
        <v>1</v>
      </c>
      <c r="R133">
        <v>3</v>
      </c>
      <c r="S133">
        <v>2</v>
      </c>
      <c r="T133" s="3">
        <f t="shared" si="37"/>
        <v>0.40038405259298415</v>
      </c>
      <c r="U133" s="32">
        <f t="shared" si="38"/>
        <v>-5.6401471461296142E-2</v>
      </c>
      <c r="V133" s="32">
        <f t="shared" si="39"/>
        <v>0.26360832519077404</v>
      </c>
      <c r="W133" s="32">
        <f t="shared" si="40"/>
        <v>-9.6984149849158471E-2</v>
      </c>
      <c r="X133" s="32">
        <f t="shared" si="41"/>
        <v>1.0506390162289212</v>
      </c>
      <c r="Y133" s="32">
        <f t="shared" si="42"/>
        <v>2.4129647679270151E-2</v>
      </c>
      <c r="Z133" s="32">
        <f t="shared" si="43"/>
        <v>0.81206041627470116</v>
      </c>
      <c r="AA133" s="32">
        <f t="shared" si="44"/>
        <v>0.80563658408767735</v>
      </c>
      <c r="AF133" s="40"/>
    </row>
    <row r="134" spans="1:32" customFormat="1" ht="14.25" customHeight="1" x14ac:dyDescent="0.35">
      <c r="A134" s="30">
        <f t="shared" si="36"/>
        <v>1</v>
      </c>
      <c r="B134">
        <v>2504</v>
      </c>
      <c r="C134">
        <v>5</v>
      </c>
      <c r="D134">
        <v>5</v>
      </c>
      <c r="E134">
        <v>4</v>
      </c>
      <c r="F134">
        <v>5</v>
      </c>
      <c r="G134">
        <v>1</v>
      </c>
      <c r="H134">
        <v>5</v>
      </c>
      <c r="I134">
        <v>5</v>
      </c>
      <c r="J134">
        <v>3</v>
      </c>
      <c r="K134">
        <v>1</v>
      </c>
      <c r="L134">
        <v>2</v>
      </c>
      <c r="M134">
        <v>2</v>
      </c>
      <c r="N134">
        <v>0</v>
      </c>
      <c r="O134">
        <v>6</v>
      </c>
      <c r="P134">
        <v>6</v>
      </c>
      <c r="Q134">
        <v>1</v>
      </c>
      <c r="R134">
        <v>2</v>
      </c>
      <c r="S134">
        <v>2</v>
      </c>
      <c r="T134" s="3">
        <f t="shared" si="37"/>
        <v>-0.16083863879098886</v>
      </c>
      <c r="U134" s="32">
        <f t="shared" si="38"/>
        <v>0.84420266961423651</v>
      </c>
      <c r="V134" s="32">
        <f t="shared" si="39"/>
        <v>-2.0709827703610508</v>
      </c>
      <c r="W134" s="32">
        <f t="shared" si="40"/>
        <v>-9.6984149849158471E-2</v>
      </c>
      <c r="X134" s="32">
        <f t="shared" si="41"/>
        <v>-2.2884705377570564</v>
      </c>
      <c r="Y134" s="32">
        <f t="shared" si="42"/>
        <v>0.86866731645372852</v>
      </c>
      <c r="Z134" s="32">
        <f t="shared" si="43"/>
        <v>0.81206041627470116</v>
      </c>
      <c r="AA134" s="32">
        <f t="shared" si="44"/>
        <v>0.80563658408767735</v>
      </c>
      <c r="AF134" s="40"/>
    </row>
    <row r="135" spans="1:32" customFormat="1" ht="14.25" customHeight="1" x14ac:dyDescent="0.35">
      <c r="A135" s="30">
        <f t="shared" si="36"/>
        <v>1</v>
      </c>
      <c r="B135">
        <v>2540</v>
      </c>
      <c r="C135">
        <v>4</v>
      </c>
      <c r="D135">
        <v>3</v>
      </c>
      <c r="E135">
        <v>5</v>
      </c>
      <c r="F135">
        <v>2</v>
      </c>
      <c r="G135">
        <v>3</v>
      </c>
      <c r="H135">
        <v>5</v>
      </c>
      <c r="I135">
        <v>5</v>
      </c>
      <c r="J135">
        <v>2</v>
      </c>
      <c r="K135">
        <v>3</v>
      </c>
      <c r="L135">
        <v>1</v>
      </c>
      <c r="M135">
        <v>3</v>
      </c>
      <c r="N135">
        <v>20</v>
      </c>
      <c r="O135">
        <v>6</v>
      </c>
      <c r="P135">
        <v>6</v>
      </c>
      <c r="Q135">
        <v>2</v>
      </c>
      <c r="R135">
        <v>2</v>
      </c>
      <c r="S135">
        <v>2</v>
      </c>
      <c r="T135" s="3">
        <f t="shared" si="37"/>
        <v>0.17844882160118219</v>
      </c>
      <c r="U135" s="32">
        <f t="shared" si="38"/>
        <v>-5.6401471461296142E-2</v>
      </c>
      <c r="V135" s="32">
        <f t="shared" si="39"/>
        <v>-0.51458870665983425</v>
      </c>
      <c r="W135" s="32">
        <f t="shared" si="40"/>
        <v>0.80698132232978881</v>
      </c>
      <c r="X135" s="32">
        <f t="shared" si="41"/>
        <v>0.21586162773242673</v>
      </c>
      <c r="Y135" s="32">
        <f t="shared" si="42"/>
        <v>-0.82040802109518818</v>
      </c>
      <c r="Z135" s="32">
        <f t="shared" si="43"/>
        <v>0.81206041627470116</v>
      </c>
      <c r="AA135" s="32">
        <f t="shared" si="44"/>
        <v>0.80563658408767735</v>
      </c>
      <c r="AF135" s="40"/>
    </row>
    <row r="136" spans="1:32" customFormat="1" ht="14.25" customHeight="1" x14ac:dyDescent="0.35">
      <c r="A136" s="30">
        <f t="shared" si="36"/>
        <v>1</v>
      </c>
      <c r="B136">
        <v>2550</v>
      </c>
      <c r="C136">
        <v>2</v>
      </c>
      <c r="D136">
        <v>2</v>
      </c>
      <c r="E136">
        <v>4</v>
      </c>
      <c r="F136">
        <v>2</v>
      </c>
      <c r="G136">
        <v>3</v>
      </c>
      <c r="H136">
        <v>3</v>
      </c>
      <c r="I136">
        <v>2</v>
      </c>
      <c r="J136">
        <v>1</v>
      </c>
      <c r="K136">
        <v>1</v>
      </c>
      <c r="L136">
        <v>2</v>
      </c>
      <c r="M136">
        <v>1</v>
      </c>
      <c r="N136">
        <v>10</v>
      </c>
      <c r="O136">
        <v>6</v>
      </c>
      <c r="P136">
        <v>5</v>
      </c>
      <c r="Q136">
        <v>1</v>
      </c>
      <c r="R136">
        <v>1</v>
      </c>
      <c r="S136">
        <v>2</v>
      </c>
      <c r="T136" s="3">
        <f t="shared" si="37"/>
        <v>-0.7521803183732102</v>
      </c>
      <c r="U136" s="32">
        <f t="shared" si="38"/>
        <v>-1.8576097536123615</v>
      </c>
      <c r="V136" s="32">
        <f t="shared" si="39"/>
        <v>0.26360832519077404</v>
      </c>
      <c r="W136" s="32">
        <f t="shared" si="40"/>
        <v>-9.6984149849158471E-2</v>
      </c>
      <c r="X136" s="32">
        <f t="shared" si="41"/>
        <v>0.21586162773242673</v>
      </c>
      <c r="Y136" s="32">
        <f t="shared" si="42"/>
        <v>-0.82040802109518818</v>
      </c>
      <c r="Z136" s="32">
        <f t="shared" si="43"/>
        <v>-1.0625089558734409</v>
      </c>
      <c r="AA136" s="32">
        <f t="shared" si="44"/>
        <v>-1.9072213011055226</v>
      </c>
      <c r="AF136" s="40"/>
    </row>
    <row r="137" spans="1:32" customFormat="1" ht="14.25" customHeight="1" x14ac:dyDescent="0.35">
      <c r="A137" s="30">
        <f t="shared" si="36"/>
        <v>1</v>
      </c>
      <c r="B137">
        <v>2598</v>
      </c>
      <c r="C137">
        <v>4</v>
      </c>
      <c r="D137">
        <v>3</v>
      </c>
      <c r="E137">
        <v>4</v>
      </c>
      <c r="F137">
        <v>2</v>
      </c>
      <c r="G137">
        <v>2</v>
      </c>
      <c r="H137">
        <v>4</v>
      </c>
      <c r="I137">
        <v>4</v>
      </c>
      <c r="J137">
        <v>2</v>
      </c>
      <c r="K137">
        <v>2</v>
      </c>
      <c r="L137">
        <v>3</v>
      </c>
      <c r="M137">
        <v>3</v>
      </c>
      <c r="N137">
        <v>2</v>
      </c>
      <c r="O137">
        <v>6</v>
      </c>
      <c r="P137">
        <v>4</v>
      </c>
      <c r="Q137">
        <v>2</v>
      </c>
      <c r="R137">
        <v>2</v>
      </c>
      <c r="S137">
        <v>3</v>
      </c>
      <c r="T137" s="3">
        <f t="shared" si="37"/>
        <v>-9.3122385714478742E-2</v>
      </c>
      <c r="U137" s="32">
        <f t="shared" si="38"/>
        <v>-5.6401471461296142E-2</v>
      </c>
      <c r="V137" s="32">
        <f t="shared" si="39"/>
        <v>-0.51458870665983425</v>
      </c>
      <c r="W137" s="32">
        <f t="shared" si="40"/>
        <v>-9.6984149849158471E-2</v>
      </c>
      <c r="X137" s="32">
        <f t="shared" si="41"/>
        <v>0.21586162773242673</v>
      </c>
      <c r="Y137" s="32">
        <f t="shared" si="42"/>
        <v>2.4129647679270151E-2</v>
      </c>
      <c r="Z137" s="32">
        <f t="shared" si="43"/>
        <v>-0.12522426979936985</v>
      </c>
      <c r="AA137" s="32">
        <f t="shared" si="44"/>
        <v>-9.8649377643389324E-2</v>
      </c>
      <c r="AF137" s="40"/>
    </row>
    <row r="138" spans="1:32" customFormat="1" ht="14.25" customHeight="1" x14ac:dyDescent="0.35">
      <c r="A138" s="30">
        <f t="shared" si="36"/>
        <v>1</v>
      </c>
      <c r="B138">
        <v>2601</v>
      </c>
      <c r="C138">
        <v>2</v>
      </c>
      <c r="D138">
        <v>4</v>
      </c>
      <c r="E138">
        <v>4</v>
      </c>
      <c r="F138">
        <v>1</v>
      </c>
      <c r="G138">
        <v>4</v>
      </c>
      <c r="H138">
        <v>5</v>
      </c>
      <c r="I138">
        <v>5</v>
      </c>
      <c r="J138">
        <v>2</v>
      </c>
      <c r="K138">
        <v>2</v>
      </c>
      <c r="L138">
        <v>2</v>
      </c>
      <c r="M138">
        <v>3</v>
      </c>
      <c r="N138">
        <v>2</v>
      </c>
      <c r="O138">
        <v>6</v>
      </c>
      <c r="P138">
        <v>5</v>
      </c>
      <c r="Q138">
        <v>2</v>
      </c>
      <c r="R138">
        <v>2</v>
      </c>
      <c r="S138">
        <v>1</v>
      </c>
      <c r="T138" s="3">
        <f t="shared" si="37"/>
        <v>-0.32056990217861564</v>
      </c>
      <c r="U138" s="32">
        <f t="shared" si="38"/>
        <v>-1.8576097536123615</v>
      </c>
      <c r="V138" s="32">
        <f t="shared" si="39"/>
        <v>-1.2927857385104427</v>
      </c>
      <c r="W138" s="32">
        <f t="shared" si="40"/>
        <v>-9.6984149849158471E-2</v>
      </c>
      <c r="X138" s="32">
        <f t="shared" si="41"/>
        <v>1.0506390162289212</v>
      </c>
      <c r="Y138" s="32">
        <f t="shared" si="42"/>
        <v>-1.6649456898696466</v>
      </c>
      <c r="Z138" s="32">
        <f t="shared" si="43"/>
        <v>0.81206041627470116</v>
      </c>
      <c r="AA138" s="32">
        <f t="shared" si="44"/>
        <v>0.80563658408767735</v>
      </c>
      <c r="AF138" s="40"/>
    </row>
    <row r="139" spans="1:32" customFormat="1" ht="14.25" customHeight="1" x14ac:dyDescent="0.35">
      <c r="A139" s="30">
        <f t="shared" si="36"/>
        <v>1</v>
      </c>
      <c r="B139">
        <v>2611</v>
      </c>
      <c r="C139">
        <v>5</v>
      </c>
      <c r="D139">
        <v>1</v>
      </c>
      <c r="E139">
        <v>5</v>
      </c>
      <c r="F139">
        <v>1</v>
      </c>
      <c r="G139">
        <v>1</v>
      </c>
      <c r="H139">
        <v>5</v>
      </c>
      <c r="I139">
        <v>5</v>
      </c>
      <c r="J139">
        <v>2</v>
      </c>
      <c r="K139">
        <v>2</v>
      </c>
      <c r="L139">
        <v>3</v>
      </c>
      <c r="M139">
        <v>2</v>
      </c>
      <c r="N139">
        <v>15</v>
      </c>
      <c r="O139">
        <v>6</v>
      </c>
      <c r="P139">
        <v>4</v>
      </c>
      <c r="Q139">
        <v>1</v>
      </c>
      <c r="R139">
        <v>3</v>
      </c>
      <c r="S139">
        <v>2</v>
      </c>
      <c r="T139" s="3">
        <f t="shared" si="37"/>
        <v>0.88999895457577671</v>
      </c>
      <c r="U139" s="32">
        <f t="shared" si="38"/>
        <v>0.84420266961423651</v>
      </c>
      <c r="V139" s="32">
        <f t="shared" si="39"/>
        <v>1.0418053570413823</v>
      </c>
      <c r="W139" s="32">
        <f t="shared" si="40"/>
        <v>0.80698132232978881</v>
      </c>
      <c r="X139" s="32">
        <f t="shared" si="41"/>
        <v>1.0506390162289212</v>
      </c>
      <c r="Y139" s="32">
        <f t="shared" si="42"/>
        <v>0.86866731645372852</v>
      </c>
      <c r="Z139" s="32">
        <f t="shared" si="43"/>
        <v>0.81206041627470116</v>
      </c>
      <c r="AA139" s="32">
        <f t="shared" si="44"/>
        <v>0.80563658408767735</v>
      </c>
      <c r="AF139" s="40"/>
    </row>
    <row r="140" spans="1:32" customFormat="1" ht="14.25" customHeight="1" x14ac:dyDescent="0.35">
      <c r="A140" s="30">
        <f t="shared" si="36"/>
        <v>1</v>
      </c>
      <c r="B140">
        <v>2667</v>
      </c>
      <c r="C140">
        <v>5</v>
      </c>
      <c r="D140">
        <v>3</v>
      </c>
      <c r="E140">
        <v>5</v>
      </c>
      <c r="F140">
        <v>2</v>
      </c>
      <c r="G140">
        <v>3</v>
      </c>
      <c r="H140">
        <v>5</v>
      </c>
      <c r="I140">
        <v>3</v>
      </c>
      <c r="J140">
        <v>3</v>
      </c>
      <c r="K140">
        <v>2</v>
      </c>
      <c r="L140">
        <v>4</v>
      </c>
      <c r="M140">
        <v>4</v>
      </c>
      <c r="N140">
        <v>0</v>
      </c>
      <c r="O140">
        <v>6</v>
      </c>
      <c r="P140">
        <v>4</v>
      </c>
      <c r="Q140">
        <v>2</v>
      </c>
      <c r="R140">
        <v>2</v>
      </c>
      <c r="S140">
        <v>2</v>
      </c>
      <c r="T140" s="3">
        <f t="shared" si="37"/>
        <v>4.8739138403096405E-2</v>
      </c>
      <c r="U140" s="32">
        <f t="shared" si="38"/>
        <v>0.84420266961423651</v>
      </c>
      <c r="V140" s="32">
        <f t="shared" si="39"/>
        <v>-0.51458870665983425</v>
      </c>
      <c r="W140" s="32">
        <f t="shared" si="40"/>
        <v>0.80698132232978881</v>
      </c>
      <c r="X140" s="32">
        <f t="shared" si="41"/>
        <v>0.21586162773242673</v>
      </c>
      <c r="Y140" s="32">
        <f t="shared" si="42"/>
        <v>-0.82040802109518818</v>
      </c>
      <c r="Z140" s="32">
        <f t="shared" si="43"/>
        <v>0.81206041627470116</v>
      </c>
      <c r="AA140" s="32">
        <f t="shared" si="44"/>
        <v>-1.002935339374456</v>
      </c>
      <c r="AF140" s="40"/>
    </row>
    <row r="141" spans="1:32" customFormat="1" ht="14.25" customHeight="1" x14ac:dyDescent="0.35">
      <c r="A141" s="30">
        <f t="shared" si="36"/>
        <v>1</v>
      </c>
      <c r="B141">
        <v>2700</v>
      </c>
      <c r="C141">
        <v>2</v>
      </c>
      <c r="D141">
        <v>5</v>
      </c>
      <c r="E141">
        <v>2</v>
      </c>
      <c r="F141">
        <v>4</v>
      </c>
      <c r="G141">
        <v>2</v>
      </c>
      <c r="H141">
        <v>2</v>
      </c>
      <c r="I141">
        <v>3</v>
      </c>
      <c r="J141">
        <v>1</v>
      </c>
      <c r="K141">
        <v>1</v>
      </c>
      <c r="L141">
        <v>2</v>
      </c>
      <c r="M141">
        <v>3</v>
      </c>
      <c r="N141">
        <v>0</v>
      </c>
      <c r="O141">
        <v>6</v>
      </c>
      <c r="P141">
        <v>6</v>
      </c>
      <c r="Q141">
        <v>2</v>
      </c>
      <c r="R141">
        <v>2</v>
      </c>
      <c r="S141">
        <v>2</v>
      </c>
      <c r="T141" s="3">
        <f t="shared" si="37"/>
        <v>-1.4665428715833893</v>
      </c>
      <c r="U141" s="32">
        <f t="shared" si="38"/>
        <v>-1.8576097536123615</v>
      </c>
      <c r="V141" s="32">
        <f t="shared" si="39"/>
        <v>-2.0709827703610508</v>
      </c>
      <c r="W141" s="32">
        <f t="shared" si="40"/>
        <v>-1.904915094207053</v>
      </c>
      <c r="X141" s="32">
        <f t="shared" si="41"/>
        <v>-1.453693149260562</v>
      </c>
      <c r="Y141" s="32">
        <f t="shared" si="42"/>
        <v>2.4129647679270151E-2</v>
      </c>
      <c r="Z141" s="32">
        <f t="shared" si="43"/>
        <v>-1.9997936419475117</v>
      </c>
      <c r="AA141" s="32">
        <f t="shared" si="44"/>
        <v>-1.002935339374456</v>
      </c>
      <c r="AF141" s="40"/>
    </row>
    <row r="142" spans="1:32" customFormat="1" ht="14.25" customHeight="1" x14ac:dyDescent="0.35">
      <c r="A142" s="30">
        <f t="shared" si="36"/>
        <v>1</v>
      </c>
      <c r="B142">
        <v>2717</v>
      </c>
      <c r="C142">
        <v>4</v>
      </c>
      <c r="D142">
        <v>1</v>
      </c>
      <c r="E142">
        <v>4</v>
      </c>
      <c r="F142">
        <v>2</v>
      </c>
      <c r="G142">
        <v>1</v>
      </c>
      <c r="H142">
        <v>3</v>
      </c>
      <c r="I142">
        <v>5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6</v>
      </c>
      <c r="P142">
        <v>6</v>
      </c>
      <c r="Q142">
        <v>2</v>
      </c>
      <c r="R142">
        <v>2</v>
      </c>
      <c r="S142">
        <v>3</v>
      </c>
      <c r="T142" s="3">
        <f t="shared" si="37"/>
        <v>0.2451537583044742</v>
      </c>
      <c r="U142" s="32">
        <f t="shared" si="38"/>
        <v>-5.6401471461296142E-2</v>
      </c>
      <c r="V142" s="32">
        <f t="shared" si="39"/>
        <v>1.0418053570413823</v>
      </c>
      <c r="W142" s="32">
        <f t="shared" si="40"/>
        <v>-9.6984149849158471E-2</v>
      </c>
      <c r="X142" s="32">
        <f t="shared" si="41"/>
        <v>0.21586162773242673</v>
      </c>
      <c r="Y142" s="32">
        <f t="shared" si="42"/>
        <v>0.86866731645372852</v>
      </c>
      <c r="Z142" s="32">
        <f t="shared" si="43"/>
        <v>-1.0625089558734409</v>
      </c>
      <c r="AA142" s="32">
        <f t="shared" si="44"/>
        <v>0.80563658408767735</v>
      </c>
      <c r="AF142" s="40"/>
    </row>
    <row r="143" spans="1:32" customFormat="1" ht="14.25" customHeight="1" x14ac:dyDescent="0.35">
      <c r="A143" s="30">
        <f t="shared" si="36"/>
        <v>1</v>
      </c>
      <c r="B143">
        <v>2726</v>
      </c>
      <c r="C143">
        <v>5</v>
      </c>
      <c r="D143">
        <v>1</v>
      </c>
      <c r="E143">
        <v>5</v>
      </c>
      <c r="F143">
        <v>1</v>
      </c>
      <c r="G143">
        <v>1</v>
      </c>
      <c r="H143">
        <v>5</v>
      </c>
      <c r="I143">
        <v>5</v>
      </c>
      <c r="J143">
        <v>2</v>
      </c>
      <c r="K143">
        <v>1</v>
      </c>
      <c r="L143">
        <v>2</v>
      </c>
      <c r="M143">
        <v>4</v>
      </c>
      <c r="N143">
        <v>14</v>
      </c>
      <c r="O143">
        <v>6</v>
      </c>
      <c r="P143">
        <v>6</v>
      </c>
      <c r="Q143">
        <v>1</v>
      </c>
      <c r="R143">
        <v>4</v>
      </c>
      <c r="S143">
        <v>1</v>
      </c>
      <c r="T143" s="3">
        <f t="shared" si="37"/>
        <v>0.88999895457577671</v>
      </c>
      <c r="U143" s="32">
        <f t="shared" si="38"/>
        <v>0.84420266961423651</v>
      </c>
      <c r="V143" s="32">
        <f t="shared" si="39"/>
        <v>1.0418053570413823</v>
      </c>
      <c r="W143" s="32">
        <f t="shared" si="40"/>
        <v>0.80698132232978881</v>
      </c>
      <c r="X143" s="32">
        <f t="shared" si="41"/>
        <v>1.0506390162289212</v>
      </c>
      <c r="Y143" s="32">
        <f t="shared" si="42"/>
        <v>0.86866731645372852</v>
      </c>
      <c r="Z143" s="32">
        <f t="shared" si="43"/>
        <v>0.81206041627470116</v>
      </c>
      <c r="AA143" s="32">
        <f t="shared" si="44"/>
        <v>0.80563658408767735</v>
      </c>
      <c r="AF143" s="40"/>
    </row>
    <row r="144" spans="1:32" customFormat="1" ht="14.25" customHeight="1" x14ac:dyDescent="0.35">
      <c r="A144" s="30">
        <f t="shared" si="36"/>
        <v>1</v>
      </c>
      <c r="B144">
        <v>2742</v>
      </c>
      <c r="C144">
        <v>5</v>
      </c>
      <c r="D144">
        <v>3</v>
      </c>
      <c r="E144">
        <v>4</v>
      </c>
      <c r="F144">
        <v>1</v>
      </c>
      <c r="G144">
        <v>1</v>
      </c>
      <c r="H144">
        <v>5</v>
      </c>
      <c r="I144">
        <v>5</v>
      </c>
      <c r="J144">
        <v>2</v>
      </c>
      <c r="K144">
        <v>1</v>
      </c>
      <c r="L144">
        <v>1</v>
      </c>
      <c r="M144">
        <v>1</v>
      </c>
      <c r="N144">
        <v>0</v>
      </c>
      <c r="O144">
        <v>6</v>
      </c>
      <c r="P144">
        <v>3</v>
      </c>
      <c r="Q144">
        <v>1</v>
      </c>
      <c r="R144">
        <v>2</v>
      </c>
      <c r="S144">
        <v>1</v>
      </c>
      <c r="T144" s="3">
        <f t="shared" si="37"/>
        <v>0.53851902087861026</v>
      </c>
      <c r="U144" s="32">
        <f t="shared" si="38"/>
        <v>0.84420266961423651</v>
      </c>
      <c r="V144" s="32">
        <f t="shared" si="39"/>
        <v>-0.51458870665983425</v>
      </c>
      <c r="W144" s="32">
        <f t="shared" si="40"/>
        <v>-9.6984149849158471E-2</v>
      </c>
      <c r="X144" s="32">
        <f t="shared" si="41"/>
        <v>1.0506390162289212</v>
      </c>
      <c r="Y144" s="32">
        <f t="shared" si="42"/>
        <v>0.86866731645372852</v>
      </c>
      <c r="Z144" s="32">
        <f t="shared" si="43"/>
        <v>0.81206041627470116</v>
      </c>
      <c r="AA144" s="32">
        <f t="shared" si="44"/>
        <v>0.80563658408767735</v>
      </c>
      <c r="AF144" s="40"/>
    </row>
    <row r="145" spans="1:32" customFormat="1" ht="14.25" customHeight="1" x14ac:dyDescent="0.35">
      <c r="A145" s="30"/>
      <c r="T145" s="3"/>
      <c r="U145" s="32"/>
      <c r="V145" s="32"/>
      <c r="W145" s="32"/>
      <c r="X145" s="32"/>
      <c r="Y145" s="32"/>
      <c r="Z145" s="32"/>
      <c r="AA145" s="32"/>
      <c r="AF145" s="40"/>
    </row>
    <row r="146" spans="1:32" customFormat="1" ht="14.25" hidden="1" customHeight="1" x14ac:dyDescent="0.35">
      <c r="A146" s="30">
        <f t="shared" ref="A146:A209" si="45">IF(COUNTBLANK(J146:T146)&gt;0,99,1)</f>
        <v>99</v>
      </c>
      <c r="B146">
        <v>1</v>
      </c>
      <c r="C146">
        <v>1</v>
      </c>
      <c r="D146">
        <v>3</v>
      </c>
      <c r="E146">
        <v>3</v>
      </c>
      <c r="F146">
        <v>3</v>
      </c>
      <c r="G146">
        <v>4</v>
      </c>
      <c r="H146">
        <v>4</v>
      </c>
      <c r="I146">
        <v>4</v>
      </c>
      <c r="J146">
        <v>2</v>
      </c>
      <c r="L146">
        <v>2</v>
      </c>
      <c r="O146">
        <v>6</v>
      </c>
      <c r="P146">
        <v>4</v>
      </c>
      <c r="Q146">
        <v>2</v>
      </c>
      <c r="R146">
        <v>2</v>
      </c>
      <c r="S146">
        <v>2</v>
      </c>
      <c r="T146" s="3">
        <f t="shared" ref="T146:T209" si="46">AVERAGE(U146:AA146)</f>
        <v>-0.96878390306461537</v>
      </c>
      <c r="U146" s="32">
        <f t="shared" ref="U146:U209" si="47">IF(ISTEXT(C146),"",STANDARDIZE(C146,AVERAGE(C$2:C$497),STDEV(C$2:C$497)))</f>
        <v>-2.758213894687894</v>
      </c>
      <c r="V146" s="32">
        <f t="shared" ref="V146:V209" si="48">IF(ISTEXT(D146),"",-1*STANDARDIZE(D146,AVERAGE(D$2:D$497),STDEV(D$2:D$497)))</f>
        <v>-0.51458870665983425</v>
      </c>
      <c r="W146" s="32">
        <f t="shared" ref="W146:W209" si="49">IF(ISTEXT(E146),"",STANDARDIZE(E146,AVERAGE(E$2:E$497),STDEV(E$2:E$497)))</f>
        <v>-1.0009496220281058</v>
      </c>
      <c r="X146" s="32">
        <f t="shared" ref="X146:X209" si="50">IF(ISTEXT(F146),"",-1*STANDARDIZE(F146,AVERAGE(F$2:F$497),STDEV(F$2:F$497)))</f>
        <v>-0.61891576076406762</v>
      </c>
      <c r="Y146" s="32">
        <f t="shared" ref="Y146:Y209" si="51">IF(ISTEXT(G146),"",-1*STANDARDIZE(G146,AVERAGE(G$2:G$497),STDEV(G$2:G$497)))</f>
        <v>-1.6649456898696466</v>
      </c>
      <c r="Z146" s="32">
        <f t="shared" ref="Z146:Z209" si="52">IF(ISTEXT(H146),"",STANDARDIZE(H146,AVERAGE(H$2:H$497),STDEV(H$2:H$497)))</f>
        <v>-0.12522426979936985</v>
      </c>
      <c r="AA146" s="32">
        <f t="shared" ref="AA146:AA209" si="53">IF(ISTEXT(I146),"",STANDARDIZE(I146,AVERAGE(I$2:I$497),STDEV(I$2:I$497)))</f>
        <v>-9.8649377643389324E-2</v>
      </c>
      <c r="AF146" s="40"/>
    </row>
    <row r="147" spans="1:32" customFormat="1" ht="14.25" hidden="1" customHeight="1" x14ac:dyDescent="0.35">
      <c r="A147" s="30">
        <f t="shared" si="45"/>
        <v>99</v>
      </c>
      <c r="B147">
        <v>6</v>
      </c>
      <c r="C147">
        <v>3</v>
      </c>
      <c r="D147">
        <v>2</v>
      </c>
      <c r="E147">
        <v>4</v>
      </c>
      <c r="F147">
        <v>3</v>
      </c>
      <c r="G147">
        <v>2</v>
      </c>
      <c r="H147">
        <v>3</v>
      </c>
      <c r="I147">
        <v>2</v>
      </c>
      <c r="J147">
        <v>2</v>
      </c>
      <c r="L147">
        <v>2</v>
      </c>
      <c r="M147">
        <v>3</v>
      </c>
      <c r="N147">
        <v>2</v>
      </c>
      <c r="O147">
        <v>6</v>
      </c>
      <c r="P147">
        <v>4</v>
      </c>
      <c r="Q147">
        <v>1</v>
      </c>
      <c r="R147">
        <v>2</v>
      </c>
      <c r="S147">
        <v>1</v>
      </c>
      <c r="T147" s="3">
        <f t="shared" si="46"/>
        <v>-0.62212825817985351</v>
      </c>
      <c r="U147" s="32">
        <f t="shared" si="47"/>
        <v>-0.95700561253682881</v>
      </c>
      <c r="V147" s="32">
        <f t="shared" si="48"/>
        <v>0.26360832519077404</v>
      </c>
      <c r="W147" s="32">
        <f t="shared" si="49"/>
        <v>-9.6984149849158471E-2</v>
      </c>
      <c r="X147" s="32">
        <f t="shared" si="50"/>
        <v>-0.61891576076406762</v>
      </c>
      <c r="Y147" s="32">
        <f t="shared" si="51"/>
        <v>2.4129647679270151E-2</v>
      </c>
      <c r="Z147" s="32">
        <f t="shared" si="52"/>
        <v>-1.0625089558734409</v>
      </c>
      <c r="AA147" s="32">
        <f t="shared" si="53"/>
        <v>-1.9072213011055226</v>
      </c>
      <c r="AF147" s="40"/>
    </row>
    <row r="148" spans="1:32" customFormat="1" ht="14.25" hidden="1" customHeight="1" x14ac:dyDescent="0.35">
      <c r="A148" s="30">
        <f t="shared" si="45"/>
        <v>99</v>
      </c>
      <c r="B148">
        <v>17</v>
      </c>
      <c r="C148">
        <v>3</v>
      </c>
      <c r="D148">
        <v>1</v>
      </c>
      <c r="E148">
        <v>3</v>
      </c>
      <c r="F148">
        <v>2</v>
      </c>
      <c r="G148">
        <v>3</v>
      </c>
      <c r="H148">
        <v>3</v>
      </c>
      <c r="I148">
        <v>4</v>
      </c>
      <c r="J148">
        <v>3</v>
      </c>
      <c r="O148">
        <v>6</v>
      </c>
      <c r="P148">
        <v>6</v>
      </c>
      <c r="Q148">
        <v>2</v>
      </c>
      <c r="R148">
        <v>4</v>
      </c>
      <c r="S148">
        <v>2</v>
      </c>
      <c r="T148" s="3">
        <f t="shared" si="46"/>
        <v>-0.3831220863433063</v>
      </c>
      <c r="U148" s="32">
        <f t="shared" si="47"/>
        <v>-0.95700561253682881</v>
      </c>
      <c r="V148" s="32">
        <f t="shared" si="48"/>
        <v>1.0418053570413823</v>
      </c>
      <c r="W148" s="32">
        <f t="shared" si="49"/>
        <v>-1.0009496220281058</v>
      </c>
      <c r="X148" s="32">
        <f t="shared" si="50"/>
        <v>0.21586162773242673</v>
      </c>
      <c r="Y148" s="32">
        <f t="shared" si="51"/>
        <v>-0.82040802109518818</v>
      </c>
      <c r="Z148" s="32">
        <f t="shared" si="52"/>
        <v>-1.0625089558734409</v>
      </c>
      <c r="AA148" s="32">
        <f t="shared" si="53"/>
        <v>-9.8649377643389324E-2</v>
      </c>
      <c r="AF148" s="40"/>
    </row>
    <row r="149" spans="1:32" customFormat="1" ht="14.25" hidden="1" customHeight="1" x14ac:dyDescent="0.35">
      <c r="A149" s="30">
        <f t="shared" si="45"/>
        <v>99</v>
      </c>
      <c r="B149">
        <v>18</v>
      </c>
      <c r="C149">
        <v>4</v>
      </c>
      <c r="D149">
        <v>3</v>
      </c>
      <c r="E149">
        <v>4</v>
      </c>
      <c r="F149">
        <v>2</v>
      </c>
      <c r="G149">
        <v>2</v>
      </c>
      <c r="H149">
        <v>3</v>
      </c>
      <c r="I149">
        <v>4</v>
      </c>
      <c r="J149">
        <v>1</v>
      </c>
      <c r="L149">
        <v>1</v>
      </c>
      <c r="M149">
        <v>1</v>
      </c>
      <c r="N149">
        <v>0</v>
      </c>
      <c r="O149">
        <v>5</v>
      </c>
      <c r="P149">
        <v>4</v>
      </c>
      <c r="Q149">
        <v>3</v>
      </c>
      <c r="R149">
        <v>2</v>
      </c>
      <c r="S149">
        <v>3</v>
      </c>
      <c r="T149" s="3">
        <f t="shared" si="46"/>
        <v>-0.22702019801077458</v>
      </c>
      <c r="U149" s="32">
        <f t="shared" si="47"/>
        <v>-5.6401471461296142E-2</v>
      </c>
      <c r="V149" s="32">
        <f t="shared" si="48"/>
        <v>-0.51458870665983425</v>
      </c>
      <c r="W149" s="32">
        <f t="shared" si="49"/>
        <v>-9.6984149849158471E-2</v>
      </c>
      <c r="X149" s="32">
        <f t="shared" si="50"/>
        <v>0.21586162773242673</v>
      </c>
      <c r="Y149" s="32">
        <f t="shared" si="51"/>
        <v>2.4129647679270151E-2</v>
      </c>
      <c r="Z149" s="32">
        <f t="shared" si="52"/>
        <v>-1.0625089558734409</v>
      </c>
      <c r="AA149" s="32">
        <f t="shared" si="53"/>
        <v>-9.8649377643389324E-2</v>
      </c>
      <c r="AF149" s="40"/>
    </row>
    <row r="150" spans="1:32" customFormat="1" ht="14.25" hidden="1" customHeight="1" x14ac:dyDescent="0.35">
      <c r="A150" s="30">
        <f t="shared" si="45"/>
        <v>99</v>
      </c>
      <c r="B150">
        <v>22</v>
      </c>
      <c r="C150">
        <v>3</v>
      </c>
      <c r="D150">
        <v>3</v>
      </c>
      <c r="E150">
        <v>4</v>
      </c>
      <c r="F150">
        <v>2</v>
      </c>
      <c r="G150">
        <v>2</v>
      </c>
      <c r="H150">
        <v>3</v>
      </c>
      <c r="I150">
        <v>2</v>
      </c>
      <c r="J150">
        <v>2</v>
      </c>
      <c r="L150">
        <v>3</v>
      </c>
      <c r="M150">
        <v>4</v>
      </c>
      <c r="N150">
        <v>10</v>
      </c>
      <c r="O150">
        <v>6</v>
      </c>
      <c r="P150">
        <v>4</v>
      </c>
      <c r="Q150">
        <v>3</v>
      </c>
      <c r="R150">
        <v>2</v>
      </c>
      <c r="S150">
        <v>3</v>
      </c>
      <c r="T150" s="3">
        <f t="shared" si="46"/>
        <v>-0.61404535008758399</v>
      </c>
      <c r="U150" s="32">
        <f t="shared" si="47"/>
        <v>-0.95700561253682881</v>
      </c>
      <c r="V150" s="32">
        <f t="shared" si="48"/>
        <v>-0.51458870665983425</v>
      </c>
      <c r="W150" s="32">
        <f t="shared" si="49"/>
        <v>-9.6984149849158471E-2</v>
      </c>
      <c r="X150" s="32">
        <f t="shared" si="50"/>
        <v>0.21586162773242673</v>
      </c>
      <c r="Y150" s="32">
        <f t="shared" si="51"/>
        <v>2.4129647679270151E-2</v>
      </c>
      <c r="Z150" s="32">
        <f t="shared" si="52"/>
        <v>-1.0625089558734409</v>
      </c>
      <c r="AA150" s="32">
        <f t="shared" si="53"/>
        <v>-1.9072213011055226</v>
      </c>
      <c r="AF150" s="40"/>
    </row>
    <row r="151" spans="1:32" customFormat="1" ht="14.25" hidden="1" customHeight="1" x14ac:dyDescent="0.35">
      <c r="A151" s="30">
        <f t="shared" si="45"/>
        <v>99</v>
      </c>
      <c r="B151">
        <v>27</v>
      </c>
      <c r="C151">
        <v>4</v>
      </c>
      <c r="D151">
        <v>1</v>
      </c>
      <c r="E151">
        <v>1</v>
      </c>
      <c r="F151">
        <v>1</v>
      </c>
      <c r="G151">
        <v>1</v>
      </c>
      <c r="H151">
        <v>5</v>
      </c>
      <c r="I151">
        <v>5</v>
      </c>
      <c r="J151">
        <v>2</v>
      </c>
      <c r="O151">
        <v>6</v>
      </c>
      <c r="P151">
        <v>4</v>
      </c>
      <c r="Q151">
        <v>2</v>
      </c>
      <c r="R151">
        <v>4</v>
      </c>
      <c r="S151">
        <v>1</v>
      </c>
      <c r="T151" s="3">
        <f t="shared" si="46"/>
        <v>0.24478952174844487</v>
      </c>
      <c r="U151" s="32">
        <f t="shared" si="47"/>
        <v>-5.6401471461296142E-2</v>
      </c>
      <c r="V151" s="32">
        <f t="shared" si="48"/>
        <v>1.0418053570413823</v>
      </c>
      <c r="W151" s="32">
        <f t="shared" si="49"/>
        <v>-2.8088805663860001</v>
      </c>
      <c r="X151" s="32">
        <f t="shared" si="50"/>
        <v>1.0506390162289212</v>
      </c>
      <c r="Y151" s="32">
        <f t="shared" si="51"/>
        <v>0.86866731645372852</v>
      </c>
      <c r="Z151" s="32">
        <f t="shared" si="52"/>
        <v>0.81206041627470116</v>
      </c>
      <c r="AA151" s="32">
        <f t="shared" si="53"/>
        <v>0.80563658408767735</v>
      </c>
      <c r="AF151" s="40"/>
    </row>
    <row r="152" spans="1:32" customFormat="1" ht="14.25" hidden="1" customHeight="1" x14ac:dyDescent="0.35">
      <c r="A152" s="30">
        <f t="shared" si="45"/>
        <v>99</v>
      </c>
      <c r="B152">
        <v>33</v>
      </c>
      <c r="C152">
        <v>5</v>
      </c>
      <c r="D152">
        <v>1</v>
      </c>
      <c r="E152">
        <v>5</v>
      </c>
      <c r="F152">
        <v>1</v>
      </c>
      <c r="G152">
        <v>1</v>
      </c>
      <c r="H152">
        <v>5</v>
      </c>
      <c r="I152">
        <v>5</v>
      </c>
      <c r="J152">
        <v>1</v>
      </c>
      <c r="L152">
        <v>1</v>
      </c>
      <c r="M152">
        <v>1</v>
      </c>
      <c r="N152">
        <v>15</v>
      </c>
      <c r="O152">
        <v>4</v>
      </c>
      <c r="P152">
        <v>2</v>
      </c>
      <c r="Q152">
        <v>1</v>
      </c>
      <c r="R152">
        <v>4</v>
      </c>
      <c r="S152">
        <v>1</v>
      </c>
      <c r="T152" s="3">
        <f t="shared" si="46"/>
        <v>0.88999895457577671</v>
      </c>
      <c r="U152" s="32">
        <f t="shared" si="47"/>
        <v>0.84420266961423651</v>
      </c>
      <c r="V152" s="32">
        <f t="shared" si="48"/>
        <v>1.0418053570413823</v>
      </c>
      <c r="W152" s="32">
        <f t="shared" si="49"/>
        <v>0.80698132232978881</v>
      </c>
      <c r="X152" s="32">
        <f t="shared" si="50"/>
        <v>1.0506390162289212</v>
      </c>
      <c r="Y152" s="32">
        <f t="shared" si="51"/>
        <v>0.86866731645372852</v>
      </c>
      <c r="Z152" s="32">
        <f t="shared" si="52"/>
        <v>0.81206041627470116</v>
      </c>
      <c r="AA152" s="32">
        <f t="shared" si="53"/>
        <v>0.80563658408767735</v>
      </c>
      <c r="AF152" s="40"/>
    </row>
    <row r="153" spans="1:32" customFormat="1" ht="14.25" hidden="1" customHeight="1" x14ac:dyDescent="0.35">
      <c r="A153" s="30">
        <f t="shared" si="45"/>
        <v>99</v>
      </c>
      <c r="B153">
        <v>36</v>
      </c>
      <c r="C153">
        <v>1</v>
      </c>
      <c r="D153">
        <v>3</v>
      </c>
      <c r="E153">
        <v>3</v>
      </c>
      <c r="F153">
        <v>3</v>
      </c>
      <c r="G153">
        <v>4</v>
      </c>
      <c r="H153">
        <v>3</v>
      </c>
      <c r="I153">
        <v>3</v>
      </c>
      <c r="J153">
        <v>2</v>
      </c>
      <c r="O153">
        <v>6</v>
      </c>
      <c r="P153">
        <v>4</v>
      </c>
      <c r="Q153">
        <v>2</v>
      </c>
      <c r="R153">
        <v>3</v>
      </c>
      <c r="S153">
        <v>2</v>
      </c>
      <c r="T153" s="3">
        <f t="shared" si="46"/>
        <v>-1.231865424179635</v>
      </c>
      <c r="U153" s="32">
        <f t="shared" si="47"/>
        <v>-2.758213894687894</v>
      </c>
      <c r="V153" s="32">
        <f t="shared" si="48"/>
        <v>-0.51458870665983425</v>
      </c>
      <c r="W153" s="32">
        <f t="shared" si="49"/>
        <v>-1.0009496220281058</v>
      </c>
      <c r="X153" s="32">
        <f t="shared" si="50"/>
        <v>-0.61891576076406762</v>
      </c>
      <c r="Y153" s="32">
        <f t="shared" si="51"/>
        <v>-1.6649456898696466</v>
      </c>
      <c r="Z153" s="32">
        <f t="shared" si="52"/>
        <v>-1.0625089558734409</v>
      </c>
      <c r="AA153" s="32">
        <f t="shared" si="53"/>
        <v>-1.002935339374456</v>
      </c>
      <c r="AF153" s="40"/>
    </row>
    <row r="154" spans="1:32" customFormat="1" ht="14.25" hidden="1" customHeight="1" x14ac:dyDescent="0.35">
      <c r="A154" s="30">
        <f t="shared" si="45"/>
        <v>99</v>
      </c>
      <c r="B154">
        <v>41</v>
      </c>
      <c r="C154">
        <v>5</v>
      </c>
      <c r="D154">
        <v>2</v>
      </c>
      <c r="E154">
        <v>5</v>
      </c>
      <c r="F154">
        <v>1</v>
      </c>
      <c r="G154">
        <v>1</v>
      </c>
      <c r="H154">
        <v>4</v>
      </c>
      <c r="I154">
        <v>4</v>
      </c>
      <c r="J154">
        <v>1</v>
      </c>
      <c r="O154">
        <v>6</v>
      </c>
      <c r="P154">
        <v>6</v>
      </c>
      <c r="Q154">
        <v>1</v>
      </c>
      <c r="R154">
        <v>3</v>
      </c>
      <c r="S154">
        <v>2</v>
      </c>
      <c r="T154" s="3">
        <f t="shared" si="46"/>
        <v>0.51574642891066991</v>
      </c>
      <c r="U154" s="32">
        <f t="shared" si="47"/>
        <v>0.84420266961423651</v>
      </c>
      <c r="V154" s="32">
        <f t="shared" si="48"/>
        <v>0.26360832519077404</v>
      </c>
      <c r="W154" s="32">
        <f t="shared" si="49"/>
        <v>0.80698132232978881</v>
      </c>
      <c r="X154" s="32">
        <f t="shared" si="50"/>
        <v>1.0506390162289212</v>
      </c>
      <c r="Y154" s="32">
        <f t="shared" si="51"/>
        <v>0.86866731645372852</v>
      </c>
      <c r="Z154" s="32">
        <f t="shared" si="52"/>
        <v>-0.12522426979936985</v>
      </c>
      <c r="AA154" s="32">
        <f t="shared" si="53"/>
        <v>-9.8649377643389324E-2</v>
      </c>
      <c r="AF154" s="40"/>
    </row>
    <row r="155" spans="1:32" customFormat="1" ht="14.25" hidden="1" customHeight="1" x14ac:dyDescent="0.35">
      <c r="A155" s="30">
        <f t="shared" si="45"/>
        <v>99</v>
      </c>
      <c r="B155">
        <v>43</v>
      </c>
      <c r="C155">
        <v>5</v>
      </c>
      <c r="D155">
        <v>4</v>
      </c>
      <c r="E155">
        <v>4</v>
      </c>
      <c r="F155">
        <v>2</v>
      </c>
      <c r="G155">
        <v>4</v>
      </c>
      <c r="H155">
        <v>3</v>
      </c>
      <c r="I155">
        <v>5</v>
      </c>
      <c r="J155">
        <v>2</v>
      </c>
      <c r="L155">
        <v>1</v>
      </c>
      <c r="M155">
        <v>2</v>
      </c>
      <c r="N155">
        <v>2</v>
      </c>
      <c r="O155">
        <v>6</v>
      </c>
      <c r="P155">
        <v>6</v>
      </c>
      <c r="Q155">
        <v>2</v>
      </c>
      <c r="R155">
        <v>3</v>
      </c>
      <c r="S155">
        <v>3</v>
      </c>
      <c r="T155" s="3">
        <f t="shared" si="46"/>
        <v>-0.32164623609547821</v>
      </c>
      <c r="U155" s="32">
        <f t="shared" si="47"/>
        <v>0.84420266961423651</v>
      </c>
      <c r="V155" s="32">
        <f t="shared" si="48"/>
        <v>-1.2927857385104427</v>
      </c>
      <c r="W155" s="32">
        <f t="shared" si="49"/>
        <v>-9.6984149849158471E-2</v>
      </c>
      <c r="X155" s="32">
        <f t="shared" si="50"/>
        <v>0.21586162773242673</v>
      </c>
      <c r="Y155" s="32">
        <f t="shared" si="51"/>
        <v>-1.6649456898696466</v>
      </c>
      <c r="Z155" s="32">
        <f t="shared" si="52"/>
        <v>-1.0625089558734409</v>
      </c>
      <c r="AA155" s="32">
        <f t="shared" si="53"/>
        <v>0.80563658408767735</v>
      </c>
      <c r="AF155" s="40"/>
    </row>
    <row r="156" spans="1:32" customFormat="1" ht="14.25" hidden="1" customHeight="1" x14ac:dyDescent="0.35">
      <c r="A156" s="30">
        <f t="shared" si="45"/>
        <v>99</v>
      </c>
      <c r="B156">
        <v>46</v>
      </c>
      <c r="C156">
        <v>5</v>
      </c>
      <c r="D156">
        <v>3</v>
      </c>
      <c r="E156">
        <v>4</v>
      </c>
      <c r="F156">
        <v>3</v>
      </c>
      <c r="G156">
        <v>1</v>
      </c>
      <c r="H156">
        <v>4</v>
      </c>
      <c r="I156">
        <v>4</v>
      </c>
      <c r="J156">
        <v>1</v>
      </c>
      <c r="L156">
        <v>1</v>
      </c>
      <c r="M156">
        <v>3</v>
      </c>
      <c r="N156">
        <v>1</v>
      </c>
      <c r="O156">
        <v>6</v>
      </c>
      <c r="P156">
        <v>3</v>
      </c>
      <c r="Q156">
        <v>2</v>
      </c>
      <c r="R156">
        <v>2</v>
      </c>
      <c r="S156">
        <v>2</v>
      </c>
      <c r="T156" s="3">
        <f t="shared" si="46"/>
        <v>3.6929674478877926E-2</v>
      </c>
      <c r="U156" s="32">
        <f t="shared" si="47"/>
        <v>0.84420266961423651</v>
      </c>
      <c r="V156" s="32">
        <f t="shared" si="48"/>
        <v>-0.51458870665983425</v>
      </c>
      <c r="W156" s="32">
        <f t="shared" si="49"/>
        <v>-9.6984149849158471E-2</v>
      </c>
      <c r="X156" s="32">
        <f t="shared" si="50"/>
        <v>-0.61891576076406762</v>
      </c>
      <c r="Y156" s="32">
        <f t="shared" si="51"/>
        <v>0.86866731645372852</v>
      </c>
      <c r="Z156" s="32">
        <f t="shared" si="52"/>
        <v>-0.12522426979936985</v>
      </c>
      <c r="AA156" s="32">
        <f t="shared" si="53"/>
        <v>-9.8649377643389324E-2</v>
      </c>
      <c r="AF156" s="40"/>
    </row>
    <row r="157" spans="1:32" customFormat="1" ht="14.25" hidden="1" customHeight="1" x14ac:dyDescent="0.35">
      <c r="A157" s="30">
        <f t="shared" si="45"/>
        <v>99</v>
      </c>
      <c r="B157">
        <v>47</v>
      </c>
      <c r="C157">
        <v>4</v>
      </c>
      <c r="D157">
        <v>3</v>
      </c>
      <c r="E157">
        <v>5</v>
      </c>
      <c r="F157">
        <v>1</v>
      </c>
      <c r="G157">
        <v>1</v>
      </c>
      <c r="H157">
        <v>5</v>
      </c>
      <c r="I157">
        <v>5</v>
      </c>
      <c r="J157">
        <v>2</v>
      </c>
      <c r="L157">
        <v>1</v>
      </c>
      <c r="O157">
        <v>6</v>
      </c>
      <c r="P157">
        <v>4</v>
      </c>
      <c r="Q157">
        <v>1</v>
      </c>
      <c r="R157">
        <v>2</v>
      </c>
      <c r="S157">
        <v>2</v>
      </c>
      <c r="T157" s="3">
        <f t="shared" si="46"/>
        <v>0.53899921103624104</v>
      </c>
      <c r="U157" s="32">
        <f t="shared" si="47"/>
        <v>-5.6401471461296142E-2</v>
      </c>
      <c r="V157" s="32">
        <f t="shared" si="48"/>
        <v>-0.51458870665983425</v>
      </c>
      <c r="W157" s="32">
        <f t="shared" si="49"/>
        <v>0.80698132232978881</v>
      </c>
      <c r="X157" s="32">
        <f t="shared" si="50"/>
        <v>1.0506390162289212</v>
      </c>
      <c r="Y157" s="32">
        <f t="shared" si="51"/>
        <v>0.86866731645372852</v>
      </c>
      <c r="Z157" s="32">
        <f t="shared" si="52"/>
        <v>0.81206041627470116</v>
      </c>
      <c r="AA157" s="32">
        <f t="shared" si="53"/>
        <v>0.80563658408767735</v>
      </c>
      <c r="AF157" s="40"/>
    </row>
    <row r="158" spans="1:32" customFormat="1" ht="14.25" hidden="1" customHeight="1" x14ac:dyDescent="0.35">
      <c r="A158" s="30">
        <f t="shared" si="45"/>
        <v>99</v>
      </c>
      <c r="B158">
        <v>51</v>
      </c>
      <c r="C158">
        <v>5</v>
      </c>
      <c r="D158">
        <v>1</v>
      </c>
      <c r="E158">
        <v>1</v>
      </c>
      <c r="F158">
        <v>1</v>
      </c>
      <c r="G158">
        <v>1</v>
      </c>
      <c r="H158">
        <v>5</v>
      </c>
      <c r="I158">
        <v>5</v>
      </c>
      <c r="J158">
        <v>1</v>
      </c>
      <c r="K158">
        <v>1</v>
      </c>
      <c r="O158">
        <v>6</v>
      </c>
      <c r="P158">
        <v>4</v>
      </c>
      <c r="Q158">
        <v>2</v>
      </c>
      <c r="R158">
        <v>3</v>
      </c>
      <c r="S158">
        <v>3</v>
      </c>
      <c r="T158" s="3">
        <f t="shared" si="46"/>
        <v>0.37344725618780672</v>
      </c>
      <c r="U158" s="32">
        <f t="shared" si="47"/>
        <v>0.84420266961423651</v>
      </c>
      <c r="V158" s="32">
        <f t="shared" si="48"/>
        <v>1.0418053570413823</v>
      </c>
      <c r="W158" s="32">
        <f t="shared" si="49"/>
        <v>-2.8088805663860001</v>
      </c>
      <c r="X158" s="32">
        <f t="shared" si="50"/>
        <v>1.0506390162289212</v>
      </c>
      <c r="Y158" s="32">
        <f t="shared" si="51"/>
        <v>0.86866731645372852</v>
      </c>
      <c r="Z158" s="32">
        <f t="shared" si="52"/>
        <v>0.81206041627470116</v>
      </c>
      <c r="AA158" s="32">
        <f t="shared" si="53"/>
        <v>0.80563658408767735</v>
      </c>
      <c r="AF158" s="40"/>
    </row>
    <row r="159" spans="1:32" customFormat="1" ht="14.25" hidden="1" customHeight="1" x14ac:dyDescent="0.35">
      <c r="A159" s="30">
        <f t="shared" si="45"/>
        <v>99</v>
      </c>
      <c r="B159">
        <v>52</v>
      </c>
      <c r="C159">
        <v>3</v>
      </c>
      <c r="D159">
        <v>3</v>
      </c>
      <c r="E159">
        <v>5</v>
      </c>
      <c r="F159">
        <v>2</v>
      </c>
      <c r="G159">
        <v>2</v>
      </c>
      <c r="H159">
        <v>3</v>
      </c>
      <c r="I159">
        <v>3</v>
      </c>
      <c r="J159">
        <v>2</v>
      </c>
      <c r="O159">
        <v>6</v>
      </c>
      <c r="P159">
        <v>4</v>
      </c>
      <c r="Q159">
        <v>3</v>
      </c>
      <c r="R159">
        <v>3</v>
      </c>
      <c r="S159">
        <v>3</v>
      </c>
      <c r="T159" s="3">
        <f t="shared" si="46"/>
        <v>-0.35572371667186775</v>
      </c>
      <c r="U159" s="32">
        <f t="shared" si="47"/>
        <v>-0.95700561253682881</v>
      </c>
      <c r="V159" s="32">
        <f t="shared" si="48"/>
        <v>-0.51458870665983425</v>
      </c>
      <c r="W159" s="32">
        <f t="shared" si="49"/>
        <v>0.80698132232978881</v>
      </c>
      <c r="X159" s="32">
        <f t="shared" si="50"/>
        <v>0.21586162773242673</v>
      </c>
      <c r="Y159" s="32">
        <f t="shared" si="51"/>
        <v>2.4129647679270151E-2</v>
      </c>
      <c r="Z159" s="32">
        <f t="shared" si="52"/>
        <v>-1.0625089558734409</v>
      </c>
      <c r="AA159" s="32">
        <f t="shared" si="53"/>
        <v>-1.002935339374456</v>
      </c>
      <c r="AF159" s="40"/>
    </row>
    <row r="160" spans="1:32" customFormat="1" ht="14.25" hidden="1" customHeight="1" x14ac:dyDescent="0.35">
      <c r="A160" s="30">
        <f t="shared" si="45"/>
        <v>99</v>
      </c>
      <c r="B160">
        <v>59</v>
      </c>
      <c r="C160">
        <v>5</v>
      </c>
      <c r="D160">
        <v>4</v>
      </c>
      <c r="E160">
        <v>5</v>
      </c>
      <c r="F160">
        <v>2</v>
      </c>
      <c r="G160">
        <v>1</v>
      </c>
      <c r="H160">
        <v>5</v>
      </c>
      <c r="I160">
        <v>5</v>
      </c>
      <c r="J160">
        <v>1</v>
      </c>
      <c r="O160">
        <v>6</v>
      </c>
      <c r="P160">
        <v>4</v>
      </c>
      <c r="Q160">
        <v>2</v>
      </c>
      <c r="R160">
        <v>3</v>
      </c>
      <c r="S160">
        <v>2</v>
      </c>
      <c r="T160" s="3">
        <f t="shared" si="46"/>
        <v>0.43723202828315955</v>
      </c>
      <c r="U160" s="32">
        <f t="shared" si="47"/>
        <v>0.84420266961423651</v>
      </c>
      <c r="V160" s="32">
        <f t="shared" si="48"/>
        <v>-1.2927857385104427</v>
      </c>
      <c r="W160" s="32">
        <f t="shared" si="49"/>
        <v>0.80698132232978881</v>
      </c>
      <c r="X160" s="32">
        <f t="shared" si="50"/>
        <v>0.21586162773242673</v>
      </c>
      <c r="Y160" s="32">
        <f t="shared" si="51"/>
        <v>0.86866731645372852</v>
      </c>
      <c r="Z160" s="32">
        <f t="shared" si="52"/>
        <v>0.81206041627470116</v>
      </c>
      <c r="AA160" s="32">
        <f t="shared" si="53"/>
        <v>0.80563658408767735</v>
      </c>
      <c r="AF160" s="40"/>
    </row>
    <row r="161" spans="1:32" customFormat="1" ht="14.25" hidden="1" customHeight="1" x14ac:dyDescent="0.35">
      <c r="A161" s="30">
        <f t="shared" si="45"/>
        <v>99</v>
      </c>
      <c r="B161">
        <v>63</v>
      </c>
      <c r="C161">
        <v>5</v>
      </c>
      <c r="D161">
        <v>2</v>
      </c>
      <c r="E161">
        <v>5</v>
      </c>
      <c r="F161">
        <v>2</v>
      </c>
      <c r="G161">
        <v>2</v>
      </c>
      <c r="H161">
        <v>5</v>
      </c>
      <c r="I161">
        <v>5</v>
      </c>
      <c r="J161">
        <v>2</v>
      </c>
      <c r="L161">
        <v>1</v>
      </c>
      <c r="M161">
        <v>3</v>
      </c>
      <c r="N161">
        <v>0</v>
      </c>
      <c r="O161">
        <v>5</v>
      </c>
      <c r="P161">
        <v>2</v>
      </c>
      <c r="Q161">
        <v>1</v>
      </c>
      <c r="R161">
        <v>4</v>
      </c>
      <c r="S161">
        <v>1</v>
      </c>
      <c r="T161" s="3">
        <f t="shared" si="46"/>
        <v>0.53892579898698212</v>
      </c>
      <c r="U161" s="32">
        <f t="shared" si="47"/>
        <v>0.84420266961423651</v>
      </c>
      <c r="V161" s="32">
        <f t="shared" si="48"/>
        <v>0.26360832519077404</v>
      </c>
      <c r="W161" s="32">
        <f t="shared" si="49"/>
        <v>0.80698132232978881</v>
      </c>
      <c r="X161" s="32">
        <f t="shared" si="50"/>
        <v>0.21586162773242673</v>
      </c>
      <c r="Y161" s="32">
        <f t="shared" si="51"/>
        <v>2.4129647679270151E-2</v>
      </c>
      <c r="Z161" s="32">
        <f t="shared" si="52"/>
        <v>0.81206041627470116</v>
      </c>
      <c r="AA161" s="32">
        <f t="shared" si="53"/>
        <v>0.80563658408767735</v>
      </c>
      <c r="AF161" s="40"/>
    </row>
    <row r="162" spans="1:32" customFormat="1" ht="14.25" hidden="1" customHeight="1" x14ac:dyDescent="0.35">
      <c r="A162" s="30">
        <f t="shared" si="45"/>
        <v>99</v>
      </c>
      <c r="B162">
        <v>67</v>
      </c>
      <c r="C162">
        <v>5</v>
      </c>
      <c r="D162">
        <v>3</v>
      </c>
      <c r="E162">
        <v>3</v>
      </c>
      <c r="F162">
        <v>1</v>
      </c>
      <c r="G162">
        <v>3</v>
      </c>
      <c r="H162">
        <v>5</v>
      </c>
      <c r="I162">
        <v>4</v>
      </c>
      <c r="J162">
        <v>3</v>
      </c>
      <c r="L162">
        <v>4</v>
      </c>
      <c r="M162">
        <v>3</v>
      </c>
      <c r="N162">
        <v>0</v>
      </c>
      <c r="O162">
        <v>6</v>
      </c>
      <c r="P162">
        <v>5</v>
      </c>
      <c r="Q162">
        <v>1</v>
      </c>
      <c r="R162">
        <v>1</v>
      </c>
      <c r="S162">
        <v>3</v>
      </c>
      <c r="T162" s="3">
        <f t="shared" si="46"/>
        <v>3.8900910670191621E-2</v>
      </c>
      <c r="U162" s="32">
        <f t="shared" si="47"/>
        <v>0.84420266961423651</v>
      </c>
      <c r="V162" s="32">
        <f t="shared" si="48"/>
        <v>-0.51458870665983425</v>
      </c>
      <c r="W162" s="32">
        <f t="shared" si="49"/>
        <v>-1.0009496220281058</v>
      </c>
      <c r="X162" s="32">
        <f t="shared" si="50"/>
        <v>1.0506390162289212</v>
      </c>
      <c r="Y162" s="32">
        <f t="shared" si="51"/>
        <v>-0.82040802109518818</v>
      </c>
      <c r="Z162" s="32">
        <f t="shared" si="52"/>
        <v>0.81206041627470116</v>
      </c>
      <c r="AA162" s="32">
        <f t="shared" si="53"/>
        <v>-9.8649377643389324E-2</v>
      </c>
      <c r="AF162" s="40"/>
    </row>
    <row r="163" spans="1:32" customFormat="1" ht="14.25" hidden="1" customHeight="1" x14ac:dyDescent="0.35">
      <c r="A163" s="30">
        <f t="shared" si="45"/>
        <v>99</v>
      </c>
      <c r="B163">
        <v>71</v>
      </c>
      <c r="C163">
        <v>3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3</v>
      </c>
      <c r="O163">
        <v>6</v>
      </c>
      <c r="P163">
        <v>6</v>
      </c>
      <c r="Q163">
        <v>2</v>
      </c>
      <c r="R163">
        <v>3</v>
      </c>
      <c r="S163">
        <v>3</v>
      </c>
      <c r="T163" s="3">
        <f t="shared" si="46"/>
        <v>-0.77160913665812481</v>
      </c>
      <c r="U163" s="32">
        <f t="shared" si="47"/>
        <v>-0.95700561253682881</v>
      </c>
      <c r="V163" s="32">
        <f t="shared" si="48"/>
        <v>-2.0709827703610508</v>
      </c>
      <c r="W163" s="32">
        <f t="shared" si="49"/>
        <v>0.80698132232978881</v>
      </c>
      <c r="X163" s="32">
        <f t="shared" si="50"/>
        <v>-2.2884705377570564</v>
      </c>
      <c r="Y163" s="32">
        <f t="shared" si="51"/>
        <v>-2.509483358644105</v>
      </c>
      <c r="Z163" s="32">
        <f t="shared" si="52"/>
        <v>0.81206041627470116</v>
      </c>
      <c r="AA163" s="32">
        <f t="shared" si="53"/>
        <v>0.80563658408767735</v>
      </c>
      <c r="AF163" s="40"/>
    </row>
    <row r="164" spans="1:32" customFormat="1" ht="14.25" hidden="1" customHeight="1" x14ac:dyDescent="0.35">
      <c r="A164" s="30">
        <f t="shared" si="45"/>
        <v>99</v>
      </c>
      <c r="B164">
        <v>72</v>
      </c>
      <c r="C164">
        <v>5</v>
      </c>
      <c r="D164">
        <v>5</v>
      </c>
      <c r="E164">
        <v>5</v>
      </c>
      <c r="F164">
        <v>5</v>
      </c>
      <c r="G164">
        <v>1</v>
      </c>
      <c r="H164">
        <v>3</v>
      </c>
      <c r="I164">
        <v>3</v>
      </c>
      <c r="J164">
        <v>2</v>
      </c>
      <c r="O164">
        <v>6</v>
      </c>
      <c r="P164">
        <v>6</v>
      </c>
      <c r="R164">
        <v>4</v>
      </c>
      <c r="S164">
        <v>3</v>
      </c>
      <c r="T164" s="3">
        <f t="shared" si="46"/>
        <v>-0.55786375642403585</v>
      </c>
      <c r="U164" s="32">
        <f t="shared" si="47"/>
        <v>0.84420266961423651</v>
      </c>
      <c r="V164" s="32">
        <f t="shared" si="48"/>
        <v>-2.0709827703610508</v>
      </c>
      <c r="W164" s="32">
        <f t="shared" si="49"/>
        <v>0.80698132232978881</v>
      </c>
      <c r="X164" s="32">
        <f t="shared" si="50"/>
        <v>-2.2884705377570564</v>
      </c>
      <c r="Y164" s="32">
        <f t="shared" si="51"/>
        <v>0.86866731645372852</v>
      </c>
      <c r="Z164" s="32">
        <f t="shared" si="52"/>
        <v>-1.0625089558734409</v>
      </c>
      <c r="AA164" s="32">
        <f t="shared" si="53"/>
        <v>-1.002935339374456</v>
      </c>
      <c r="AF164" s="40"/>
    </row>
    <row r="165" spans="1:32" customFormat="1" ht="14.25" hidden="1" customHeight="1" x14ac:dyDescent="0.35">
      <c r="A165" s="30">
        <f t="shared" si="45"/>
        <v>99</v>
      </c>
      <c r="B165">
        <v>76</v>
      </c>
      <c r="C165">
        <v>5</v>
      </c>
      <c r="D165">
        <v>2</v>
      </c>
      <c r="E165">
        <v>5</v>
      </c>
      <c r="F165">
        <v>1</v>
      </c>
      <c r="G165">
        <v>1</v>
      </c>
      <c r="H165">
        <v>5</v>
      </c>
      <c r="I165">
        <v>5</v>
      </c>
      <c r="J165">
        <v>1</v>
      </c>
      <c r="K165">
        <v>1</v>
      </c>
      <c r="O165">
        <v>6</v>
      </c>
      <c r="P165">
        <v>4</v>
      </c>
      <c r="Q165">
        <v>2</v>
      </c>
      <c r="R165">
        <v>2</v>
      </c>
      <c r="S165">
        <v>2</v>
      </c>
      <c r="T165" s="3">
        <f t="shared" si="46"/>
        <v>0.77882795002568961</v>
      </c>
      <c r="U165" s="32">
        <f t="shared" si="47"/>
        <v>0.84420266961423651</v>
      </c>
      <c r="V165" s="32">
        <f t="shared" si="48"/>
        <v>0.26360832519077404</v>
      </c>
      <c r="W165" s="32">
        <f t="shared" si="49"/>
        <v>0.80698132232978881</v>
      </c>
      <c r="X165" s="32">
        <f t="shared" si="50"/>
        <v>1.0506390162289212</v>
      </c>
      <c r="Y165" s="32">
        <f t="shared" si="51"/>
        <v>0.86866731645372852</v>
      </c>
      <c r="Z165" s="32">
        <f t="shared" si="52"/>
        <v>0.81206041627470116</v>
      </c>
      <c r="AA165" s="32">
        <f t="shared" si="53"/>
        <v>0.80563658408767735</v>
      </c>
      <c r="AF165" s="40"/>
    </row>
    <row r="166" spans="1:32" customFormat="1" ht="14.25" hidden="1" customHeight="1" x14ac:dyDescent="0.35">
      <c r="A166" s="30">
        <f t="shared" si="45"/>
        <v>99</v>
      </c>
      <c r="B166">
        <v>78</v>
      </c>
      <c r="C166">
        <v>1</v>
      </c>
      <c r="D166">
        <v>5</v>
      </c>
      <c r="E166">
        <v>2</v>
      </c>
      <c r="F166">
        <v>5</v>
      </c>
      <c r="G166">
        <v>5</v>
      </c>
      <c r="H166">
        <v>1</v>
      </c>
      <c r="I166">
        <v>5</v>
      </c>
      <c r="J166">
        <v>2</v>
      </c>
      <c r="L166">
        <v>1</v>
      </c>
      <c r="M166">
        <v>1</v>
      </c>
      <c r="N166">
        <v>0</v>
      </c>
      <c r="O166">
        <v>6</v>
      </c>
      <c r="P166">
        <v>6</v>
      </c>
      <c r="Q166">
        <v>4</v>
      </c>
      <c r="R166">
        <v>2</v>
      </c>
      <c r="S166">
        <v>4</v>
      </c>
      <c r="T166" s="3">
        <f t="shared" si="46"/>
        <v>-1.9519296285130092</v>
      </c>
      <c r="U166" s="32">
        <f t="shared" si="47"/>
        <v>-2.758213894687894</v>
      </c>
      <c r="V166" s="32">
        <f t="shared" si="48"/>
        <v>-2.0709827703610508</v>
      </c>
      <c r="W166" s="32">
        <f t="shared" si="49"/>
        <v>-1.904915094207053</v>
      </c>
      <c r="X166" s="32">
        <f t="shared" si="50"/>
        <v>-2.2884705377570564</v>
      </c>
      <c r="Y166" s="32">
        <f t="shared" si="51"/>
        <v>-2.509483358644105</v>
      </c>
      <c r="Z166" s="32">
        <f t="shared" si="52"/>
        <v>-2.9370783280215829</v>
      </c>
      <c r="AA166" s="32">
        <f t="shared" si="53"/>
        <v>0.80563658408767735</v>
      </c>
      <c r="AF166" s="40"/>
    </row>
    <row r="167" spans="1:32" customFormat="1" ht="14.25" hidden="1" customHeight="1" x14ac:dyDescent="0.35">
      <c r="A167" s="30">
        <f t="shared" si="45"/>
        <v>99</v>
      </c>
      <c r="B167">
        <v>89</v>
      </c>
      <c r="C167">
        <v>3</v>
      </c>
      <c r="D167">
        <v>2</v>
      </c>
      <c r="E167">
        <v>5</v>
      </c>
      <c r="F167">
        <v>3</v>
      </c>
      <c r="G167">
        <v>4</v>
      </c>
      <c r="H167">
        <v>4</v>
      </c>
      <c r="I167">
        <v>5</v>
      </c>
      <c r="J167">
        <v>1</v>
      </c>
      <c r="O167">
        <v>6</v>
      </c>
      <c r="P167">
        <v>3</v>
      </c>
      <c r="Q167">
        <v>2</v>
      </c>
      <c r="R167">
        <v>4</v>
      </c>
      <c r="S167">
        <v>2</v>
      </c>
      <c r="T167" s="3">
        <f t="shared" si="46"/>
        <v>-0.21283787162309609</v>
      </c>
      <c r="U167" s="32">
        <f t="shared" si="47"/>
        <v>-0.95700561253682881</v>
      </c>
      <c r="V167" s="32">
        <f t="shared" si="48"/>
        <v>0.26360832519077404</v>
      </c>
      <c r="W167" s="32">
        <f t="shared" si="49"/>
        <v>0.80698132232978881</v>
      </c>
      <c r="X167" s="32">
        <f t="shared" si="50"/>
        <v>-0.61891576076406762</v>
      </c>
      <c r="Y167" s="32">
        <f t="shared" si="51"/>
        <v>-1.6649456898696466</v>
      </c>
      <c r="Z167" s="32">
        <f t="shared" si="52"/>
        <v>-0.12522426979936985</v>
      </c>
      <c r="AA167" s="32">
        <f t="shared" si="53"/>
        <v>0.80563658408767735</v>
      </c>
      <c r="AF167" s="40"/>
    </row>
    <row r="168" spans="1:32" customFormat="1" ht="14.25" hidden="1" customHeight="1" x14ac:dyDescent="0.35">
      <c r="A168" s="30">
        <f t="shared" si="45"/>
        <v>99</v>
      </c>
      <c r="B168">
        <v>93</v>
      </c>
      <c r="C168">
        <v>3</v>
      </c>
      <c r="D168">
        <v>2</v>
      </c>
      <c r="E168">
        <v>4</v>
      </c>
      <c r="F168">
        <v>2</v>
      </c>
      <c r="G168">
        <v>2</v>
      </c>
      <c r="H168">
        <v>3</v>
      </c>
      <c r="I168">
        <v>4</v>
      </c>
      <c r="J168">
        <v>1</v>
      </c>
      <c r="L168">
        <v>1</v>
      </c>
      <c r="M168">
        <v>2</v>
      </c>
      <c r="N168">
        <v>0</v>
      </c>
      <c r="O168">
        <v>6</v>
      </c>
      <c r="P168">
        <v>4</v>
      </c>
      <c r="Q168">
        <v>2</v>
      </c>
      <c r="R168">
        <v>4</v>
      </c>
      <c r="S168">
        <v>2</v>
      </c>
      <c r="T168" s="3">
        <f t="shared" si="46"/>
        <v>-0.24450692790004952</v>
      </c>
      <c r="U168" s="32">
        <f t="shared" si="47"/>
        <v>-0.95700561253682881</v>
      </c>
      <c r="V168" s="32">
        <f t="shared" si="48"/>
        <v>0.26360832519077404</v>
      </c>
      <c r="W168" s="32">
        <f t="shared" si="49"/>
        <v>-9.6984149849158471E-2</v>
      </c>
      <c r="X168" s="32">
        <f t="shared" si="50"/>
        <v>0.21586162773242673</v>
      </c>
      <c r="Y168" s="32">
        <f t="shared" si="51"/>
        <v>2.4129647679270151E-2</v>
      </c>
      <c r="Z168" s="32">
        <f t="shared" si="52"/>
        <v>-1.0625089558734409</v>
      </c>
      <c r="AA168" s="32">
        <f t="shared" si="53"/>
        <v>-9.8649377643389324E-2</v>
      </c>
      <c r="AF168" s="40"/>
    </row>
    <row r="169" spans="1:32" customFormat="1" ht="14.25" hidden="1" customHeight="1" x14ac:dyDescent="0.35">
      <c r="A169" s="30">
        <f t="shared" si="45"/>
        <v>99</v>
      </c>
      <c r="B169">
        <v>94</v>
      </c>
      <c r="C169">
        <v>3</v>
      </c>
      <c r="D169">
        <v>4</v>
      </c>
      <c r="E169">
        <v>4</v>
      </c>
      <c r="F169">
        <v>3</v>
      </c>
      <c r="G169">
        <v>2</v>
      </c>
      <c r="H169">
        <v>3</v>
      </c>
      <c r="I169">
        <v>4</v>
      </c>
      <c r="J169">
        <v>2</v>
      </c>
      <c r="L169">
        <v>1</v>
      </c>
      <c r="M169">
        <v>2</v>
      </c>
      <c r="N169">
        <v>0</v>
      </c>
      <c r="O169">
        <v>6</v>
      </c>
      <c r="P169">
        <v>4</v>
      </c>
      <c r="Q169">
        <v>2</v>
      </c>
      <c r="R169">
        <v>2</v>
      </c>
      <c r="S169">
        <v>3</v>
      </c>
      <c r="T169" s="3">
        <f t="shared" si="46"/>
        <v>-0.58610284964257964</v>
      </c>
      <c r="U169" s="32">
        <f t="shared" si="47"/>
        <v>-0.95700561253682881</v>
      </c>
      <c r="V169" s="32">
        <f t="shared" si="48"/>
        <v>-1.2927857385104427</v>
      </c>
      <c r="W169" s="32">
        <f t="shared" si="49"/>
        <v>-9.6984149849158471E-2</v>
      </c>
      <c r="X169" s="32">
        <f t="shared" si="50"/>
        <v>-0.61891576076406762</v>
      </c>
      <c r="Y169" s="32">
        <f t="shared" si="51"/>
        <v>2.4129647679270151E-2</v>
      </c>
      <c r="Z169" s="32">
        <f t="shared" si="52"/>
        <v>-1.0625089558734409</v>
      </c>
      <c r="AA169" s="32">
        <f t="shared" si="53"/>
        <v>-9.8649377643389324E-2</v>
      </c>
      <c r="AF169" s="40"/>
    </row>
    <row r="170" spans="1:32" customFormat="1" ht="14.25" hidden="1" customHeight="1" x14ac:dyDescent="0.35">
      <c r="A170" s="30">
        <f t="shared" si="45"/>
        <v>99</v>
      </c>
      <c r="B170">
        <v>96</v>
      </c>
      <c r="C170">
        <v>5</v>
      </c>
      <c r="D170">
        <v>1</v>
      </c>
      <c r="E170">
        <v>5</v>
      </c>
      <c r="F170">
        <v>1</v>
      </c>
      <c r="G170">
        <v>1</v>
      </c>
      <c r="H170">
        <v>5</v>
      </c>
      <c r="I170">
        <v>5</v>
      </c>
      <c r="J170">
        <v>2</v>
      </c>
      <c r="L170">
        <v>2</v>
      </c>
      <c r="M170">
        <v>1</v>
      </c>
      <c r="N170">
        <v>2</v>
      </c>
      <c r="O170">
        <v>6</v>
      </c>
      <c r="P170">
        <v>5</v>
      </c>
      <c r="Q170">
        <v>1</v>
      </c>
      <c r="R170">
        <v>4</v>
      </c>
      <c r="S170">
        <v>1</v>
      </c>
      <c r="T170" s="3">
        <f t="shared" si="46"/>
        <v>0.88999895457577671</v>
      </c>
      <c r="U170" s="32">
        <f t="shared" si="47"/>
        <v>0.84420266961423651</v>
      </c>
      <c r="V170" s="32">
        <f t="shared" si="48"/>
        <v>1.0418053570413823</v>
      </c>
      <c r="W170" s="32">
        <f t="shared" si="49"/>
        <v>0.80698132232978881</v>
      </c>
      <c r="X170" s="32">
        <f t="shared" si="50"/>
        <v>1.0506390162289212</v>
      </c>
      <c r="Y170" s="32">
        <f t="shared" si="51"/>
        <v>0.86866731645372852</v>
      </c>
      <c r="Z170" s="32">
        <f t="shared" si="52"/>
        <v>0.81206041627470116</v>
      </c>
      <c r="AA170" s="32">
        <f t="shared" si="53"/>
        <v>0.80563658408767735</v>
      </c>
      <c r="AF170" s="40"/>
    </row>
    <row r="171" spans="1:32" customFormat="1" ht="14.25" hidden="1" customHeight="1" x14ac:dyDescent="0.35">
      <c r="A171" s="30">
        <f t="shared" si="45"/>
        <v>99</v>
      </c>
      <c r="B171">
        <v>97</v>
      </c>
      <c r="C171">
        <v>3</v>
      </c>
      <c r="D171">
        <v>3</v>
      </c>
      <c r="E171">
        <v>2</v>
      </c>
      <c r="F171">
        <v>4</v>
      </c>
      <c r="G171">
        <v>4</v>
      </c>
      <c r="H171">
        <v>4</v>
      </c>
      <c r="I171">
        <v>5</v>
      </c>
      <c r="J171">
        <v>2</v>
      </c>
      <c r="L171">
        <v>1</v>
      </c>
      <c r="M171">
        <v>2</v>
      </c>
      <c r="N171">
        <v>0</v>
      </c>
      <c r="O171">
        <v>6</v>
      </c>
      <c r="P171">
        <v>6</v>
      </c>
      <c r="Q171">
        <v>2</v>
      </c>
      <c r="R171">
        <v>2</v>
      </c>
      <c r="S171">
        <v>2</v>
      </c>
      <c r="T171" s="3">
        <f t="shared" si="46"/>
        <v>-0.83067656260651668</v>
      </c>
      <c r="U171" s="32">
        <f t="shared" si="47"/>
        <v>-0.95700561253682881</v>
      </c>
      <c r="V171" s="32">
        <f t="shared" si="48"/>
        <v>-0.51458870665983425</v>
      </c>
      <c r="W171" s="32">
        <f t="shared" si="49"/>
        <v>-1.904915094207053</v>
      </c>
      <c r="X171" s="32">
        <f t="shared" si="50"/>
        <v>-1.453693149260562</v>
      </c>
      <c r="Y171" s="32">
        <f t="shared" si="51"/>
        <v>-1.6649456898696466</v>
      </c>
      <c r="Z171" s="32">
        <f t="shared" si="52"/>
        <v>-0.12522426979936985</v>
      </c>
      <c r="AA171" s="32">
        <f t="shared" si="53"/>
        <v>0.80563658408767735</v>
      </c>
      <c r="AF171" s="40"/>
    </row>
    <row r="172" spans="1:32" customFormat="1" ht="14.25" hidden="1" customHeight="1" x14ac:dyDescent="0.35">
      <c r="A172" s="30">
        <f t="shared" si="45"/>
        <v>99</v>
      </c>
      <c r="B172">
        <v>99</v>
      </c>
      <c r="C172">
        <v>5</v>
      </c>
      <c r="D172">
        <v>2</v>
      </c>
      <c r="E172">
        <v>5</v>
      </c>
      <c r="F172">
        <v>1</v>
      </c>
      <c r="G172">
        <v>1</v>
      </c>
      <c r="H172">
        <v>5</v>
      </c>
      <c r="I172">
        <v>5</v>
      </c>
      <c r="J172">
        <v>2</v>
      </c>
      <c r="K172">
        <v>2</v>
      </c>
      <c r="L172">
        <v>1</v>
      </c>
      <c r="O172">
        <v>6</v>
      </c>
      <c r="P172">
        <v>3</v>
      </c>
      <c r="Q172">
        <v>2</v>
      </c>
      <c r="R172">
        <v>3</v>
      </c>
      <c r="S172">
        <v>3</v>
      </c>
      <c r="T172" s="3">
        <f t="shared" si="46"/>
        <v>0.77882795002568961</v>
      </c>
      <c r="U172" s="32">
        <f t="shared" si="47"/>
        <v>0.84420266961423651</v>
      </c>
      <c r="V172" s="32">
        <f t="shared" si="48"/>
        <v>0.26360832519077404</v>
      </c>
      <c r="W172" s="32">
        <f t="shared" si="49"/>
        <v>0.80698132232978881</v>
      </c>
      <c r="X172" s="32">
        <f t="shared" si="50"/>
        <v>1.0506390162289212</v>
      </c>
      <c r="Y172" s="32">
        <f t="shared" si="51"/>
        <v>0.86866731645372852</v>
      </c>
      <c r="Z172" s="32">
        <f t="shared" si="52"/>
        <v>0.81206041627470116</v>
      </c>
      <c r="AA172" s="32">
        <f t="shared" si="53"/>
        <v>0.80563658408767735</v>
      </c>
      <c r="AF172" s="40"/>
    </row>
    <row r="173" spans="1:32" customFormat="1" ht="14.25" hidden="1" customHeight="1" x14ac:dyDescent="0.35">
      <c r="A173" s="30">
        <f t="shared" si="45"/>
        <v>99</v>
      </c>
      <c r="B173">
        <v>100</v>
      </c>
      <c r="C173">
        <v>3</v>
      </c>
      <c r="D173">
        <v>1</v>
      </c>
      <c r="E173">
        <v>4</v>
      </c>
      <c r="F173">
        <v>2</v>
      </c>
      <c r="G173">
        <v>2</v>
      </c>
      <c r="H173">
        <v>4</v>
      </c>
      <c r="I173">
        <v>4</v>
      </c>
      <c r="J173">
        <v>2</v>
      </c>
      <c r="L173">
        <v>2</v>
      </c>
      <c r="M173">
        <v>3</v>
      </c>
      <c r="N173">
        <v>5</v>
      </c>
      <c r="O173">
        <v>6</v>
      </c>
      <c r="P173">
        <v>6</v>
      </c>
      <c r="Q173">
        <v>1</v>
      </c>
      <c r="R173">
        <v>4</v>
      </c>
      <c r="S173">
        <v>3</v>
      </c>
      <c r="T173" s="3">
        <f t="shared" si="46"/>
        <v>5.6188894633324839E-4</v>
      </c>
      <c r="U173" s="32">
        <f t="shared" si="47"/>
        <v>-0.95700561253682881</v>
      </c>
      <c r="V173" s="32">
        <f t="shared" si="48"/>
        <v>1.0418053570413823</v>
      </c>
      <c r="W173" s="32">
        <f t="shared" si="49"/>
        <v>-9.6984149849158471E-2</v>
      </c>
      <c r="X173" s="32">
        <f t="shared" si="50"/>
        <v>0.21586162773242673</v>
      </c>
      <c r="Y173" s="32">
        <f t="shared" si="51"/>
        <v>2.4129647679270151E-2</v>
      </c>
      <c r="Z173" s="32">
        <f t="shared" si="52"/>
        <v>-0.12522426979936985</v>
      </c>
      <c r="AA173" s="32">
        <f t="shared" si="53"/>
        <v>-9.8649377643389324E-2</v>
      </c>
      <c r="AF173" s="40"/>
    </row>
    <row r="174" spans="1:32" customFormat="1" ht="14.25" hidden="1" customHeight="1" x14ac:dyDescent="0.35">
      <c r="A174" s="30">
        <f t="shared" si="45"/>
        <v>99</v>
      </c>
      <c r="B174">
        <v>101</v>
      </c>
      <c r="C174">
        <v>4</v>
      </c>
      <c r="D174">
        <v>2</v>
      </c>
      <c r="E174">
        <v>4</v>
      </c>
      <c r="F174">
        <v>4</v>
      </c>
      <c r="G174">
        <v>1</v>
      </c>
      <c r="H174">
        <v>4</v>
      </c>
      <c r="I174">
        <v>5</v>
      </c>
      <c r="J174">
        <v>2</v>
      </c>
      <c r="O174">
        <v>6</v>
      </c>
      <c r="P174">
        <v>4</v>
      </c>
      <c r="Q174">
        <v>1</v>
      </c>
      <c r="R174">
        <v>3</v>
      </c>
      <c r="S174">
        <v>2</v>
      </c>
      <c r="T174" s="3">
        <f t="shared" si="46"/>
        <v>2.9372740765970486E-2</v>
      </c>
      <c r="U174" s="32">
        <f t="shared" si="47"/>
        <v>-5.6401471461296142E-2</v>
      </c>
      <c r="V174" s="32">
        <f t="shared" si="48"/>
        <v>0.26360832519077404</v>
      </c>
      <c r="W174" s="32">
        <f t="shared" si="49"/>
        <v>-9.6984149849158471E-2</v>
      </c>
      <c r="X174" s="32">
        <f t="shared" si="50"/>
        <v>-1.453693149260562</v>
      </c>
      <c r="Y174" s="32">
        <f t="shared" si="51"/>
        <v>0.86866731645372852</v>
      </c>
      <c r="Z174" s="32">
        <f t="shared" si="52"/>
        <v>-0.12522426979936985</v>
      </c>
      <c r="AA174" s="32">
        <f t="shared" si="53"/>
        <v>0.80563658408767735</v>
      </c>
      <c r="AF174" s="40"/>
    </row>
    <row r="175" spans="1:32" customFormat="1" ht="14.25" hidden="1" customHeight="1" x14ac:dyDescent="0.35">
      <c r="A175" s="30">
        <f t="shared" si="45"/>
        <v>99</v>
      </c>
      <c r="B175">
        <v>108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2</v>
      </c>
      <c r="L175">
        <v>1</v>
      </c>
      <c r="M175">
        <v>2</v>
      </c>
      <c r="N175">
        <v>0</v>
      </c>
      <c r="O175">
        <v>6</v>
      </c>
      <c r="P175">
        <v>3</v>
      </c>
      <c r="Q175">
        <v>2</v>
      </c>
      <c r="R175">
        <v>3</v>
      </c>
      <c r="S175">
        <v>2</v>
      </c>
      <c r="T175" s="3">
        <f t="shared" si="46"/>
        <v>-0.85390171690456029</v>
      </c>
      <c r="U175" s="32">
        <f t="shared" si="47"/>
        <v>-0.95700561253682881</v>
      </c>
      <c r="V175" s="32">
        <f t="shared" si="48"/>
        <v>-0.51458870665983425</v>
      </c>
      <c r="W175" s="32">
        <f t="shared" si="49"/>
        <v>-1.0009496220281058</v>
      </c>
      <c r="X175" s="32">
        <f t="shared" si="50"/>
        <v>-0.61891576076406762</v>
      </c>
      <c r="Y175" s="32">
        <f t="shared" si="51"/>
        <v>-0.82040802109518818</v>
      </c>
      <c r="Z175" s="32">
        <f t="shared" si="52"/>
        <v>-1.0625089558734409</v>
      </c>
      <c r="AA175" s="32">
        <f t="shared" si="53"/>
        <v>-1.002935339374456</v>
      </c>
      <c r="AF175" s="40"/>
    </row>
    <row r="176" spans="1:32" customFormat="1" ht="14.25" hidden="1" customHeight="1" x14ac:dyDescent="0.35">
      <c r="A176" s="30">
        <f t="shared" si="45"/>
        <v>99</v>
      </c>
      <c r="B176">
        <v>109</v>
      </c>
      <c r="C176">
        <v>5</v>
      </c>
      <c r="D176">
        <v>1</v>
      </c>
      <c r="E176">
        <v>5</v>
      </c>
      <c r="F176">
        <v>1</v>
      </c>
      <c r="G176">
        <v>1</v>
      </c>
      <c r="H176">
        <v>1</v>
      </c>
      <c r="I176">
        <v>5</v>
      </c>
      <c r="J176">
        <v>2</v>
      </c>
      <c r="L176">
        <v>1</v>
      </c>
      <c r="O176">
        <v>6</v>
      </c>
      <c r="P176">
        <v>4</v>
      </c>
      <c r="Q176">
        <v>2</v>
      </c>
      <c r="R176">
        <v>3</v>
      </c>
      <c r="S176">
        <v>3</v>
      </c>
      <c r="T176" s="3">
        <f t="shared" si="46"/>
        <v>0.35440770539059319</v>
      </c>
      <c r="U176" s="32">
        <f t="shared" si="47"/>
        <v>0.84420266961423651</v>
      </c>
      <c r="V176" s="32">
        <f t="shared" si="48"/>
        <v>1.0418053570413823</v>
      </c>
      <c r="W176" s="32">
        <f t="shared" si="49"/>
        <v>0.80698132232978881</v>
      </c>
      <c r="X176" s="32">
        <f t="shared" si="50"/>
        <v>1.0506390162289212</v>
      </c>
      <c r="Y176" s="32">
        <f t="shared" si="51"/>
        <v>0.86866731645372852</v>
      </c>
      <c r="Z176" s="32">
        <f t="shared" si="52"/>
        <v>-2.9370783280215829</v>
      </c>
      <c r="AA176" s="32">
        <f t="shared" si="53"/>
        <v>0.80563658408767735</v>
      </c>
      <c r="AF176" s="40"/>
    </row>
    <row r="177" spans="1:32" customFormat="1" ht="14.25" hidden="1" customHeight="1" x14ac:dyDescent="0.35">
      <c r="A177" s="30">
        <f t="shared" si="45"/>
        <v>99</v>
      </c>
      <c r="B177">
        <v>120</v>
      </c>
      <c r="C177">
        <v>5</v>
      </c>
      <c r="D177">
        <v>1</v>
      </c>
      <c r="E177">
        <v>5</v>
      </c>
      <c r="F177">
        <v>1</v>
      </c>
      <c r="G177">
        <v>1</v>
      </c>
      <c r="H177">
        <v>5</v>
      </c>
      <c r="I177">
        <v>5</v>
      </c>
      <c r="J177">
        <v>2</v>
      </c>
      <c r="O177">
        <v>6</v>
      </c>
      <c r="P177">
        <v>4</v>
      </c>
      <c r="Q177">
        <v>2</v>
      </c>
      <c r="R177">
        <v>4</v>
      </c>
      <c r="S177">
        <v>1</v>
      </c>
      <c r="T177" s="3">
        <f t="shared" si="46"/>
        <v>0.88999895457577671</v>
      </c>
      <c r="U177" s="32">
        <f t="shared" si="47"/>
        <v>0.84420266961423651</v>
      </c>
      <c r="V177" s="32">
        <f t="shared" si="48"/>
        <v>1.0418053570413823</v>
      </c>
      <c r="W177" s="32">
        <f t="shared" si="49"/>
        <v>0.80698132232978881</v>
      </c>
      <c r="X177" s="32">
        <f t="shared" si="50"/>
        <v>1.0506390162289212</v>
      </c>
      <c r="Y177" s="32">
        <f t="shared" si="51"/>
        <v>0.86866731645372852</v>
      </c>
      <c r="Z177" s="32">
        <f t="shared" si="52"/>
        <v>0.81206041627470116</v>
      </c>
      <c r="AA177" s="32">
        <f t="shared" si="53"/>
        <v>0.80563658408767735</v>
      </c>
      <c r="AF177" s="40"/>
    </row>
    <row r="178" spans="1:32" customFormat="1" ht="14.25" hidden="1" customHeight="1" x14ac:dyDescent="0.35">
      <c r="A178" s="30">
        <f t="shared" si="45"/>
        <v>99</v>
      </c>
      <c r="B178">
        <v>124</v>
      </c>
      <c r="C178">
        <v>5</v>
      </c>
      <c r="D178">
        <v>1</v>
      </c>
      <c r="E178">
        <v>5</v>
      </c>
      <c r="F178">
        <v>1</v>
      </c>
      <c r="G178">
        <v>1</v>
      </c>
      <c r="H178">
        <v>5</v>
      </c>
      <c r="I178">
        <v>5</v>
      </c>
      <c r="J178">
        <v>3</v>
      </c>
      <c r="K178">
        <v>2</v>
      </c>
      <c r="O178">
        <v>6</v>
      </c>
      <c r="P178">
        <v>4</v>
      </c>
      <c r="Q178">
        <v>2</v>
      </c>
      <c r="R178">
        <v>3</v>
      </c>
      <c r="S178">
        <v>2</v>
      </c>
      <c r="T178" s="3">
        <f t="shared" si="46"/>
        <v>0.88999895457577671</v>
      </c>
      <c r="U178" s="32">
        <f t="shared" si="47"/>
        <v>0.84420266961423651</v>
      </c>
      <c r="V178" s="32">
        <f t="shared" si="48"/>
        <v>1.0418053570413823</v>
      </c>
      <c r="W178" s="32">
        <f t="shared" si="49"/>
        <v>0.80698132232978881</v>
      </c>
      <c r="X178" s="32">
        <f t="shared" si="50"/>
        <v>1.0506390162289212</v>
      </c>
      <c r="Y178" s="32">
        <f t="shared" si="51"/>
        <v>0.86866731645372852</v>
      </c>
      <c r="Z178" s="32">
        <f t="shared" si="52"/>
        <v>0.81206041627470116</v>
      </c>
      <c r="AA178" s="32">
        <f t="shared" si="53"/>
        <v>0.80563658408767735</v>
      </c>
      <c r="AF178" s="40"/>
    </row>
    <row r="179" spans="1:32" customFormat="1" ht="14.25" hidden="1" customHeight="1" x14ac:dyDescent="0.35">
      <c r="A179" s="30">
        <f t="shared" si="45"/>
        <v>99</v>
      </c>
      <c r="B179">
        <v>125</v>
      </c>
      <c r="C179">
        <v>4</v>
      </c>
      <c r="D179">
        <v>3</v>
      </c>
      <c r="E179">
        <v>5</v>
      </c>
      <c r="F179">
        <v>3</v>
      </c>
      <c r="G179">
        <v>1</v>
      </c>
      <c r="H179">
        <v>4</v>
      </c>
      <c r="I179">
        <v>4</v>
      </c>
      <c r="J179">
        <v>3</v>
      </c>
      <c r="L179">
        <v>1</v>
      </c>
      <c r="M179">
        <v>4</v>
      </c>
      <c r="N179">
        <v>20</v>
      </c>
      <c r="O179">
        <v>6</v>
      </c>
      <c r="P179">
        <v>4</v>
      </c>
      <c r="Q179">
        <v>2</v>
      </c>
      <c r="R179">
        <v>2</v>
      </c>
      <c r="S179">
        <v>3</v>
      </c>
      <c r="T179" s="3">
        <f t="shared" si="46"/>
        <v>3.740986463650859E-2</v>
      </c>
      <c r="U179" s="32">
        <f t="shared" si="47"/>
        <v>-5.6401471461296142E-2</v>
      </c>
      <c r="V179" s="32">
        <f t="shared" si="48"/>
        <v>-0.51458870665983425</v>
      </c>
      <c r="W179" s="32">
        <f t="shared" si="49"/>
        <v>0.80698132232978881</v>
      </c>
      <c r="X179" s="32">
        <f t="shared" si="50"/>
        <v>-0.61891576076406762</v>
      </c>
      <c r="Y179" s="32">
        <f t="shared" si="51"/>
        <v>0.86866731645372852</v>
      </c>
      <c r="Z179" s="32">
        <f t="shared" si="52"/>
        <v>-0.12522426979936985</v>
      </c>
      <c r="AA179" s="32">
        <f t="shared" si="53"/>
        <v>-9.8649377643389324E-2</v>
      </c>
      <c r="AF179" s="40"/>
    </row>
    <row r="180" spans="1:32" customFormat="1" ht="14.25" hidden="1" customHeight="1" x14ac:dyDescent="0.35">
      <c r="A180" s="30">
        <f t="shared" si="45"/>
        <v>99</v>
      </c>
      <c r="B180">
        <v>129</v>
      </c>
      <c r="C180">
        <v>1</v>
      </c>
      <c r="D180">
        <v>1</v>
      </c>
      <c r="E180">
        <v>4</v>
      </c>
      <c r="F180">
        <v>3</v>
      </c>
      <c r="G180">
        <v>1</v>
      </c>
      <c r="H180">
        <v>5</v>
      </c>
      <c r="I180">
        <v>3</v>
      </c>
      <c r="J180">
        <v>1</v>
      </c>
      <c r="O180">
        <v>6</v>
      </c>
      <c r="P180">
        <v>1</v>
      </c>
      <c r="Q180">
        <v>1</v>
      </c>
      <c r="R180">
        <v>1</v>
      </c>
      <c r="S180">
        <v>2</v>
      </c>
      <c r="T180" s="3">
        <f t="shared" si="46"/>
        <v>-0.25064515070082344</v>
      </c>
      <c r="U180" s="32">
        <f t="shared" si="47"/>
        <v>-2.758213894687894</v>
      </c>
      <c r="V180" s="32">
        <f t="shared" si="48"/>
        <v>1.0418053570413823</v>
      </c>
      <c r="W180" s="32">
        <f t="shared" si="49"/>
        <v>-9.6984149849158471E-2</v>
      </c>
      <c r="X180" s="32">
        <f t="shared" si="50"/>
        <v>-0.61891576076406762</v>
      </c>
      <c r="Y180" s="32">
        <f t="shared" si="51"/>
        <v>0.86866731645372852</v>
      </c>
      <c r="Z180" s="32">
        <f t="shared" si="52"/>
        <v>0.81206041627470116</v>
      </c>
      <c r="AA180" s="32">
        <f t="shared" si="53"/>
        <v>-1.002935339374456</v>
      </c>
      <c r="AF180" s="40"/>
    </row>
    <row r="181" spans="1:32" customFormat="1" ht="14.25" hidden="1" customHeight="1" x14ac:dyDescent="0.35">
      <c r="A181" s="30">
        <f t="shared" si="45"/>
        <v>99</v>
      </c>
      <c r="B181">
        <v>133</v>
      </c>
      <c r="C181">
        <v>4</v>
      </c>
      <c r="D181">
        <v>2</v>
      </c>
      <c r="E181">
        <v>4</v>
      </c>
      <c r="F181">
        <v>2</v>
      </c>
      <c r="G181">
        <v>2</v>
      </c>
      <c r="H181">
        <v>3</v>
      </c>
      <c r="I181">
        <v>5</v>
      </c>
      <c r="J181">
        <v>2</v>
      </c>
      <c r="L181">
        <v>2</v>
      </c>
      <c r="M181">
        <v>3</v>
      </c>
      <c r="N181">
        <v>3</v>
      </c>
      <c r="O181">
        <v>6</v>
      </c>
      <c r="P181">
        <v>6</v>
      </c>
      <c r="Q181">
        <v>2</v>
      </c>
      <c r="R181">
        <v>4</v>
      </c>
      <c r="S181">
        <v>4</v>
      </c>
      <c r="T181" s="3">
        <f t="shared" si="46"/>
        <v>1.3334515358036108E-2</v>
      </c>
      <c r="U181" s="32">
        <f t="shared" si="47"/>
        <v>-5.6401471461296142E-2</v>
      </c>
      <c r="V181" s="32">
        <f t="shared" si="48"/>
        <v>0.26360832519077404</v>
      </c>
      <c r="W181" s="32">
        <f t="shared" si="49"/>
        <v>-9.6984149849158471E-2</v>
      </c>
      <c r="X181" s="32">
        <f t="shared" si="50"/>
        <v>0.21586162773242673</v>
      </c>
      <c r="Y181" s="32">
        <f t="shared" si="51"/>
        <v>2.4129647679270151E-2</v>
      </c>
      <c r="Z181" s="32">
        <f t="shared" si="52"/>
        <v>-1.0625089558734409</v>
      </c>
      <c r="AA181" s="32">
        <f t="shared" si="53"/>
        <v>0.80563658408767735</v>
      </c>
      <c r="AF181" s="40"/>
    </row>
    <row r="182" spans="1:32" customFormat="1" ht="14.25" hidden="1" customHeight="1" x14ac:dyDescent="0.35">
      <c r="A182" s="30">
        <f t="shared" si="45"/>
        <v>99</v>
      </c>
      <c r="B182">
        <v>134</v>
      </c>
      <c r="C182">
        <v>4</v>
      </c>
      <c r="D182">
        <v>1</v>
      </c>
      <c r="E182">
        <v>5</v>
      </c>
      <c r="F182">
        <v>2</v>
      </c>
      <c r="G182">
        <v>1</v>
      </c>
      <c r="H182">
        <v>5</v>
      </c>
      <c r="I182">
        <v>4</v>
      </c>
      <c r="J182">
        <v>2</v>
      </c>
      <c r="K182">
        <v>1</v>
      </c>
      <c r="L182">
        <v>2</v>
      </c>
      <c r="O182">
        <v>6</v>
      </c>
      <c r="P182">
        <v>6</v>
      </c>
      <c r="Q182">
        <v>2</v>
      </c>
      <c r="R182">
        <v>2</v>
      </c>
      <c r="S182">
        <v>2</v>
      </c>
      <c r="T182" s="3">
        <f t="shared" si="46"/>
        <v>0.51290359867533453</v>
      </c>
      <c r="U182" s="32">
        <f t="shared" si="47"/>
        <v>-5.6401471461296142E-2</v>
      </c>
      <c r="V182" s="32">
        <f t="shared" si="48"/>
        <v>1.0418053570413823</v>
      </c>
      <c r="W182" s="32">
        <f t="shared" si="49"/>
        <v>0.80698132232978881</v>
      </c>
      <c r="X182" s="32">
        <f t="shared" si="50"/>
        <v>0.21586162773242673</v>
      </c>
      <c r="Y182" s="32">
        <f t="shared" si="51"/>
        <v>0.86866731645372852</v>
      </c>
      <c r="Z182" s="32">
        <f t="shared" si="52"/>
        <v>0.81206041627470116</v>
      </c>
      <c r="AA182" s="32">
        <f t="shared" si="53"/>
        <v>-9.8649377643389324E-2</v>
      </c>
      <c r="AF182" s="40"/>
    </row>
    <row r="183" spans="1:32" customFormat="1" ht="14.25" hidden="1" customHeight="1" x14ac:dyDescent="0.35">
      <c r="A183" s="30">
        <f t="shared" si="45"/>
        <v>99</v>
      </c>
      <c r="B183">
        <v>138</v>
      </c>
      <c r="C183">
        <v>2</v>
      </c>
      <c r="D183">
        <v>1</v>
      </c>
      <c r="E183">
        <v>5</v>
      </c>
      <c r="F183">
        <v>1</v>
      </c>
      <c r="G183">
        <v>3</v>
      </c>
      <c r="H183">
        <v>5</v>
      </c>
      <c r="I183">
        <v>5</v>
      </c>
      <c r="J183">
        <v>2</v>
      </c>
      <c r="K183">
        <v>2</v>
      </c>
      <c r="O183">
        <v>6</v>
      </c>
      <c r="P183">
        <v>4</v>
      </c>
      <c r="Q183">
        <v>3</v>
      </c>
      <c r="R183">
        <v>3</v>
      </c>
      <c r="S183">
        <v>3</v>
      </c>
      <c r="T183" s="3">
        <f t="shared" si="46"/>
        <v>0.26272927446498878</v>
      </c>
      <c r="U183" s="32">
        <f t="shared" si="47"/>
        <v>-1.8576097536123615</v>
      </c>
      <c r="V183" s="32">
        <f t="shared" si="48"/>
        <v>1.0418053570413823</v>
      </c>
      <c r="W183" s="32">
        <f t="shared" si="49"/>
        <v>0.80698132232978881</v>
      </c>
      <c r="X183" s="32">
        <f t="shared" si="50"/>
        <v>1.0506390162289212</v>
      </c>
      <c r="Y183" s="32">
        <f t="shared" si="51"/>
        <v>-0.82040802109518818</v>
      </c>
      <c r="Z183" s="32">
        <f t="shared" si="52"/>
        <v>0.81206041627470116</v>
      </c>
      <c r="AA183" s="32">
        <f t="shared" si="53"/>
        <v>0.80563658408767735</v>
      </c>
      <c r="AF183" s="40"/>
    </row>
    <row r="184" spans="1:32" customFormat="1" ht="14.25" hidden="1" customHeight="1" x14ac:dyDescent="0.35">
      <c r="A184" s="30">
        <f t="shared" si="45"/>
        <v>99</v>
      </c>
      <c r="B184">
        <v>139</v>
      </c>
      <c r="C184">
        <v>5</v>
      </c>
      <c r="D184">
        <v>1</v>
      </c>
      <c r="E184">
        <v>4</v>
      </c>
      <c r="F184">
        <v>3</v>
      </c>
      <c r="G184">
        <v>3</v>
      </c>
      <c r="H184">
        <v>3</v>
      </c>
      <c r="I184">
        <v>3</v>
      </c>
      <c r="J184">
        <v>2</v>
      </c>
      <c r="K184">
        <v>2</v>
      </c>
      <c r="L184">
        <v>2</v>
      </c>
      <c r="O184">
        <v>6</v>
      </c>
      <c r="P184">
        <v>6</v>
      </c>
      <c r="Q184">
        <v>1</v>
      </c>
      <c r="R184">
        <v>2</v>
      </c>
      <c r="S184">
        <v>2</v>
      </c>
      <c r="T184" s="3">
        <f t="shared" si="46"/>
        <v>-0.24510631432867028</v>
      </c>
      <c r="U184" s="32">
        <f t="shared" si="47"/>
        <v>0.84420266961423651</v>
      </c>
      <c r="V184" s="32">
        <f t="shared" si="48"/>
        <v>1.0418053570413823</v>
      </c>
      <c r="W184" s="32">
        <f t="shared" si="49"/>
        <v>-9.6984149849158471E-2</v>
      </c>
      <c r="X184" s="32">
        <f t="shared" si="50"/>
        <v>-0.61891576076406762</v>
      </c>
      <c r="Y184" s="32">
        <f t="shared" si="51"/>
        <v>-0.82040802109518818</v>
      </c>
      <c r="Z184" s="32">
        <f t="shared" si="52"/>
        <v>-1.0625089558734409</v>
      </c>
      <c r="AA184" s="32">
        <f t="shared" si="53"/>
        <v>-1.002935339374456</v>
      </c>
      <c r="AF184" s="40"/>
    </row>
    <row r="185" spans="1:32" customFormat="1" ht="14.25" hidden="1" customHeight="1" x14ac:dyDescent="0.35">
      <c r="A185" s="30">
        <f t="shared" si="45"/>
        <v>99</v>
      </c>
      <c r="B185">
        <v>147</v>
      </c>
      <c r="C185">
        <v>5</v>
      </c>
      <c r="D185">
        <v>1</v>
      </c>
      <c r="E185">
        <v>5</v>
      </c>
      <c r="F185">
        <v>2</v>
      </c>
      <c r="G185">
        <v>5</v>
      </c>
      <c r="H185">
        <v>5</v>
      </c>
      <c r="I185">
        <v>5</v>
      </c>
      <c r="J185">
        <v>1</v>
      </c>
      <c r="L185">
        <v>2</v>
      </c>
      <c r="M185">
        <v>1</v>
      </c>
      <c r="N185">
        <v>0</v>
      </c>
      <c r="O185">
        <v>6</v>
      </c>
      <c r="P185">
        <v>4</v>
      </c>
      <c r="Q185">
        <v>2</v>
      </c>
      <c r="R185">
        <v>2</v>
      </c>
      <c r="S185">
        <v>2</v>
      </c>
      <c r="T185" s="3">
        <f t="shared" si="46"/>
        <v>0.28815208834801542</v>
      </c>
      <c r="U185" s="32">
        <f t="shared" si="47"/>
        <v>0.84420266961423651</v>
      </c>
      <c r="V185" s="32">
        <f t="shared" si="48"/>
        <v>1.0418053570413823</v>
      </c>
      <c r="W185" s="32">
        <f t="shared" si="49"/>
        <v>0.80698132232978881</v>
      </c>
      <c r="X185" s="32">
        <f t="shared" si="50"/>
        <v>0.21586162773242673</v>
      </c>
      <c r="Y185" s="32">
        <f t="shared" si="51"/>
        <v>-2.509483358644105</v>
      </c>
      <c r="Z185" s="32">
        <f t="shared" si="52"/>
        <v>0.81206041627470116</v>
      </c>
      <c r="AA185" s="32">
        <f t="shared" si="53"/>
        <v>0.80563658408767735</v>
      </c>
      <c r="AF185" s="40"/>
    </row>
    <row r="186" spans="1:32" customFormat="1" ht="14.25" hidden="1" customHeight="1" x14ac:dyDescent="0.35">
      <c r="A186" s="30">
        <f t="shared" si="45"/>
        <v>99</v>
      </c>
      <c r="B186">
        <v>150</v>
      </c>
      <c r="C186">
        <v>5</v>
      </c>
      <c r="D186">
        <v>1</v>
      </c>
      <c r="E186">
        <v>5</v>
      </c>
      <c r="F186">
        <v>3</v>
      </c>
      <c r="G186">
        <v>1</v>
      </c>
      <c r="H186">
        <v>5</v>
      </c>
      <c r="I186">
        <v>5</v>
      </c>
      <c r="J186">
        <v>2</v>
      </c>
      <c r="O186">
        <v>6</v>
      </c>
      <c r="P186">
        <v>6</v>
      </c>
      <c r="T186" s="3">
        <f t="shared" si="46"/>
        <v>0.6514911292910639</v>
      </c>
      <c r="U186" s="32">
        <f t="shared" si="47"/>
        <v>0.84420266961423651</v>
      </c>
      <c r="V186" s="32">
        <f t="shared" si="48"/>
        <v>1.0418053570413823</v>
      </c>
      <c r="W186" s="32">
        <f t="shared" si="49"/>
        <v>0.80698132232978881</v>
      </c>
      <c r="X186" s="32">
        <f t="shared" si="50"/>
        <v>-0.61891576076406762</v>
      </c>
      <c r="Y186" s="32">
        <f t="shared" si="51"/>
        <v>0.86866731645372852</v>
      </c>
      <c r="Z186" s="32">
        <f t="shared" si="52"/>
        <v>0.81206041627470116</v>
      </c>
      <c r="AA186" s="32">
        <f t="shared" si="53"/>
        <v>0.80563658408767735</v>
      </c>
      <c r="AF186" s="40"/>
    </row>
    <row r="187" spans="1:32" customFormat="1" ht="14.25" hidden="1" customHeight="1" x14ac:dyDescent="0.35">
      <c r="A187" s="30">
        <f t="shared" si="45"/>
        <v>99</v>
      </c>
      <c r="B187">
        <v>152</v>
      </c>
      <c r="C187">
        <v>3</v>
      </c>
      <c r="D187">
        <v>2</v>
      </c>
      <c r="E187">
        <v>5</v>
      </c>
      <c r="F187">
        <v>2</v>
      </c>
      <c r="G187">
        <v>1</v>
      </c>
      <c r="H187">
        <v>5</v>
      </c>
      <c r="I187">
        <v>4</v>
      </c>
      <c r="J187">
        <v>1</v>
      </c>
      <c r="L187">
        <v>1</v>
      </c>
      <c r="M187">
        <v>1</v>
      </c>
      <c r="N187">
        <v>5</v>
      </c>
      <c r="O187">
        <v>6</v>
      </c>
      <c r="P187">
        <v>6</v>
      </c>
      <c r="Q187">
        <v>1</v>
      </c>
      <c r="R187">
        <v>1</v>
      </c>
      <c r="S187">
        <v>3</v>
      </c>
      <c r="T187" s="3">
        <f t="shared" si="46"/>
        <v>0.27307485968588585</v>
      </c>
      <c r="U187" s="32">
        <f t="shared" si="47"/>
        <v>-0.95700561253682881</v>
      </c>
      <c r="V187" s="32">
        <f t="shared" si="48"/>
        <v>0.26360832519077404</v>
      </c>
      <c r="W187" s="32">
        <f t="shared" si="49"/>
        <v>0.80698132232978881</v>
      </c>
      <c r="X187" s="32">
        <f t="shared" si="50"/>
        <v>0.21586162773242673</v>
      </c>
      <c r="Y187" s="32">
        <f t="shared" si="51"/>
        <v>0.86866731645372852</v>
      </c>
      <c r="Z187" s="32">
        <f t="shared" si="52"/>
        <v>0.81206041627470116</v>
      </c>
      <c r="AA187" s="32">
        <f t="shared" si="53"/>
        <v>-9.8649377643389324E-2</v>
      </c>
      <c r="AF187" s="40"/>
    </row>
    <row r="188" spans="1:32" customFormat="1" ht="14.25" hidden="1" customHeight="1" x14ac:dyDescent="0.35">
      <c r="A188" s="30">
        <f t="shared" si="45"/>
        <v>99</v>
      </c>
      <c r="B188">
        <v>153</v>
      </c>
      <c r="C188">
        <v>1</v>
      </c>
      <c r="D188">
        <v>3</v>
      </c>
      <c r="E188">
        <v>1</v>
      </c>
      <c r="F188">
        <v>2</v>
      </c>
      <c r="G188">
        <v>1</v>
      </c>
      <c r="H188">
        <v>4</v>
      </c>
      <c r="I188">
        <v>5</v>
      </c>
      <c r="J188">
        <v>1</v>
      </c>
      <c r="L188">
        <v>2</v>
      </c>
      <c r="O188">
        <v>6</v>
      </c>
      <c r="P188">
        <v>2</v>
      </c>
      <c r="Q188">
        <v>1</v>
      </c>
      <c r="R188">
        <v>1</v>
      </c>
      <c r="S188">
        <v>1</v>
      </c>
      <c r="T188" s="3">
        <f t="shared" si="46"/>
        <v>-0.61667741560846667</v>
      </c>
      <c r="U188" s="32">
        <f t="shared" si="47"/>
        <v>-2.758213894687894</v>
      </c>
      <c r="V188" s="32">
        <f t="shared" si="48"/>
        <v>-0.51458870665983425</v>
      </c>
      <c r="W188" s="32">
        <f t="shared" si="49"/>
        <v>-2.8088805663860001</v>
      </c>
      <c r="X188" s="32">
        <f t="shared" si="50"/>
        <v>0.21586162773242673</v>
      </c>
      <c r="Y188" s="32">
        <f t="shared" si="51"/>
        <v>0.86866731645372852</v>
      </c>
      <c r="Z188" s="32">
        <f t="shared" si="52"/>
        <v>-0.12522426979936985</v>
      </c>
      <c r="AA188" s="32">
        <f t="shared" si="53"/>
        <v>0.80563658408767735</v>
      </c>
      <c r="AF188" s="40"/>
    </row>
    <row r="189" spans="1:32" customFormat="1" ht="14.25" hidden="1" customHeight="1" x14ac:dyDescent="0.35">
      <c r="A189" s="30">
        <f t="shared" si="45"/>
        <v>99</v>
      </c>
      <c r="B189">
        <v>158</v>
      </c>
      <c r="C189">
        <v>2</v>
      </c>
      <c r="D189">
        <v>3</v>
      </c>
      <c r="E189">
        <v>3</v>
      </c>
      <c r="F189">
        <v>3</v>
      </c>
      <c r="G189">
        <v>3</v>
      </c>
      <c r="H189">
        <v>2</v>
      </c>
      <c r="I189">
        <v>2</v>
      </c>
      <c r="J189">
        <v>2</v>
      </c>
      <c r="L189">
        <v>2</v>
      </c>
      <c r="M189">
        <v>2</v>
      </c>
      <c r="N189">
        <v>10</v>
      </c>
      <c r="O189">
        <v>6</v>
      </c>
      <c r="P189">
        <v>5</v>
      </c>
      <c r="Q189">
        <v>4</v>
      </c>
      <c r="R189">
        <v>4</v>
      </c>
      <c r="S189">
        <v>4</v>
      </c>
      <c r="T189" s="3">
        <f t="shared" si="46"/>
        <v>-1.2456409724589415</v>
      </c>
      <c r="U189" s="32">
        <f t="shared" si="47"/>
        <v>-1.8576097536123615</v>
      </c>
      <c r="V189" s="32">
        <f t="shared" si="48"/>
        <v>-0.51458870665983425</v>
      </c>
      <c r="W189" s="32">
        <f t="shared" si="49"/>
        <v>-1.0009496220281058</v>
      </c>
      <c r="X189" s="32">
        <f t="shared" si="50"/>
        <v>-0.61891576076406762</v>
      </c>
      <c r="Y189" s="32">
        <f t="shared" si="51"/>
        <v>-0.82040802109518818</v>
      </c>
      <c r="Z189" s="32">
        <f t="shared" si="52"/>
        <v>-1.9997936419475117</v>
      </c>
      <c r="AA189" s="32">
        <f t="shared" si="53"/>
        <v>-1.9072213011055226</v>
      </c>
      <c r="AF189" s="40"/>
    </row>
    <row r="190" spans="1:32" customFormat="1" ht="14.25" hidden="1" customHeight="1" x14ac:dyDescent="0.35">
      <c r="A190" s="30">
        <f t="shared" si="45"/>
        <v>99</v>
      </c>
      <c r="B190">
        <v>164</v>
      </c>
      <c r="C190">
        <v>5</v>
      </c>
      <c r="D190">
        <v>3</v>
      </c>
      <c r="E190">
        <v>5</v>
      </c>
      <c r="F190">
        <v>4</v>
      </c>
      <c r="G190">
        <v>2</v>
      </c>
      <c r="H190">
        <v>5</v>
      </c>
      <c r="I190">
        <v>4</v>
      </c>
      <c r="J190">
        <v>2</v>
      </c>
      <c r="O190">
        <v>6</v>
      </c>
      <c r="P190">
        <v>4</v>
      </c>
      <c r="Q190">
        <v>1</v>
      </c>
      <c r="R190">
        <v>3</v>
      </c>
      <c r="S190">
        <v>2</v>
      </c>
      <c r="T190" s="3">
        <f t="shared" si="46"/>
        <v>6.0063260333458733E-2</v>
      </c>
      <c r="U190" s="32">
        <f t="shared" si="47"/>
        <v>0.84420266961423651</v>
      </c>
      <c r="V190" s="32">
        <f t="shared" si="48"/>
        <v>-0.51458870665983425</v>
      </c>
      <c r="W190" s="32">
        <f t="shared" si="49"/>
        <v>0.80698132232978881</v>
      </c>
      <c r="X190" s="32">
        <f t="shared" si="50"/>
        <v>-1.453693149260562</v>
      </c>
      <c r="Y190" s="32">
        <f t="shared" si="51"/>
        <v>2.4129647679270151E-2</v>
      </c>
      <c r="Z190" s="32">
        <f t="shared" si="52"/>
        <v>0.81206041627470116</v>
      </c>
      <c r="AA190" s="32">
        <f t="shared" si="53"/>
        <v>-9.8649377643389324E-2</v>
      </c>
      <c r="AF190" s="40"/>
    </row>
    <row r="191" spans="1:32" customFormat="1" ht="14.25" hidden="1" customHeight="1" x14ac:dyDescent="0.35">
      <c r="A191" s="30">
        <f t="shared" si="45"/>
        <v>99</v>
      </c>
      <c r="B191">
        <v>168</v>
      </c>
      <c r="C191">
        <v>5</v>
      </c>
      <c r="D191">
        <v>1</v>
      </c>
      <c r="E191">
        <v>4</v>
      </c>
      <c r="F191">
        <v>3</v>
      </c>
      <c r="G191">
        <v>1</v>
      </c>
      <c r="H191">
        <v>5</v>
      </c>
      <c r="I191">
        <v>5</v>
      </c>
      <c r="J191">
        <v>2</v>
      </c>
      <c r="L191">
        <v>2</v>
      </c>
      <c r="M191">
        <v>1</v>
      </c>
      <c r="N191">
        <v>10</v>
      </c>
      <c r="O191">
        <v>6</v>
      </c>
      <c r="P191">
        <v>4</v>
      </c>
      <c r="Q191">
        <v>2</v>
      </c>
      <c r="R191">
        <v>3</v>
      </c>
      <c r="S191">
        <v>3</v>
      </c>
      <c r="T191" s="3">
        <f t="shared" si="46"/>
        <v>0.52235320469407143</v>
      </c>
      <c r="U191" s="32">
        <f t="shared" si="47"/>
        <v>0.84420266961423651</v>
      </c>
      <c r="V191" s="32">
        <f t="shared" si="48"/>
        <v>1.0418053570413823</v>
      </c>
      <c r="W191" s="32">
        <f t="shared" si="49"/>
        <v>-9.6984149849158471E-2</v>
      </c>
      <c r="X191" s="32">
        <f t="shared" si="50"/>
        <v>-0.61891576076406762</v>
      </c>
      <c r="Y191" s="32">
        <f t="shared" si="51"/>
        <v>0.86866731645372852</v>
      </c>
      <c r="Z191" s="32">
        <f t="shared" si="52"/>
        <v>0.81206041627470116</v>
      </c>
      <c r="AA191" s="32">
        <f t="shared" si="53"/>
        <v>0.80563658408767735</v>
      </c>
      <c r="AF191" s="40"/>
    </row>
    <row r="192" spans="1:32" customFormat="1" ht="14.25" hidden="1" customHeight="1" x14ac:dyDescent="0.35">
      <c r="A192" s="30">
        <f t="shared" si="45"/>
        <v>99</v>
      </c>
      <c r="B192">
        <v>169</v>
      </c>
      <c r="C192">
        <v>3</v>
      </c>
      <c r="D192">
        <v>3</v>
      </c>
      <c r="E192">
        <v>4</v>
      </c>
      <c r="F192">
        <v>3</v>
      </c>
      <c r="G192">
        <v>5</v>
      </c>
      <c r="H192">
        <v>4</v>
      </c>
      <c r="I192">
        <v>3</v>
      </c>
      <c r="J192">
        <v>3</v>
      </c>
      <c r="O192">
        <v>6</v>
      </c>
      <c r="P192">
        <v>4</v>
      </c>
      <c r="Q192">
        <v>2</v>
      </c>
      <c r="R192">
        <v>2</v>
      </c>
      <c r="S192">
        <v>2</v>
      </c>
      <c r="T192" s="3">
        <f t="shared" si="46"/>
        <v>-0.83216245680397427</v>
      </c>
      <c r="U192" s="32">
        <f t="shared" si="47"/>
        <v>-0.95700561253682881</v>
      </c>
      <c r="V192" s="32">
        <f t="shared" si="48"/>
        <v>-0.51458870665983425</v>
      </c>
      <c r="W192" s="32">
        <f t="shared" si="49"/>
        <v>-9.6984149849158471E-2</v>
      </c>
      <c r="X192" s="32">
        <f t="shared" si="50"/>
        <v>-0.61891576076406762</v>
      </c>
      <c r="Y192" s="32">
        <f t="shared" si="51"/>
        <v>-2.509483358644105</v>
      </c>
      <c r="Z192" s="32">
        <f t="shared" si="52"/>
        <v>-0.12522426979936985</v>
      </c>
      <c r="AA192" s="32">
        <f t="shared" si="53"/>
        <v>-1.002935339374456</v>
      </c>
      <c r="AF192" s="40"/>
    </row>
    <row r="193" spans="1:32" customFormat="1" ht="14.25" hidden="1" customHeight="1" x14ac:dyDescent="0.35">
      <c r="A193" s="30">
        <f t="shared" si="45"/>
        <v>99</v>
      </c>
      <c r="B193">
        <v>174</v>
      </c>
      <c r="C193">
        <v>4</v>
      </c>
      <c r="D193">
        <v>2</v>
      </c>
      <c r="E193">
        <v>4</v>
      </c>
      <c r="F193">
        <v>2</v>
      </c>
      <c r="G193">
        <v>2</v>
      </c>
      <c r="H193">
        <v>4</v>
      </c>
      <c r="I193">
        <v>4</v>
      </c>
      <c r="J193">
        <v>3</v>
      </c>
      <c r="L193">
        <v>1</v>
      </c>
      <c r="M193">
        <v>1</v>
      </c>
      <c r="N193">
        <v>10</v>
      </c>
      <c r="O193">
        <v>6</v>
      </c>
      <c r="P193">
        <v>6</v>
      </c>
      <c r="Q193">
        <v>1</v>
      </c>
      <c r="R193">
        <v>2</v>
      </c>
      <c r="S193">
        <v>2</v>
      </c>
      <c r="T193" s="3">
        <f t="shared" si="46"/>
        <v>1.8048618835608161E-2</v>
      </c>
      <c r="U193" s="32">
        <f t="shared" si="47"/>
        <v>-5.6401471461296142E-2</v>
      </c>
      <c r="V193" s="32">
        <f t="shared" si="48"/>
        <v>0.26360832519077404</v>
      </c>
      <c r="W193" s="32">
        <f t="shared" si="49"/>
        <v>-9.6984149849158471E-2</v>
      </c>
      <c r="X193" s="32">
        <f t="shared" si="50"/>
        <v>0.21586162773242673</v>
      </c>
      <c r="Y193" s="32">
        <f t="shared" si="51"/>
        <v>2.4129647679270151E-2</v>
      </c>
      <c r="Z193" s="32">
        <f t="shared" si="52"/>
        <v>-0.12522426979936985</v>
      </c>
      <c r="AA193" s="32">
        <f t="shared" si="53"/>
        <v>-9.8649377643389324E-2</v>
      </c>
      <c r="AF193" s="40"/>
    </row>
    <row r="194" spans="1:32" customFormat="1" ht="14.25" hidden="1" customHeight="1" x14ac:dyDescent="0.35">
      <c r="A194" s="30">
        <f t="shared" si="45"/>
        <v>99</v>
      </c>
      <c r="B194">
        <v>175</v>
      </c>
      <c r="C194">
        <v>5</v>
      </c>
      <c r="D194">
        <v>1</v>
      </c>
      <c r="E194">
        <v>3</v>
      </c>
      <c r="F194">
        <v>2</v>
      </c>
      <c r="G194">
        <v>1</v>
      </c>
      <c r="H194">
        <v>5</v>
      </c>
      <c r="I194">
        <v>5</v>
      </c>
      <c r="J194">
        <v>3</v>
      </c>
      <c r="K194">
        <v>1</v>
      </c>
      <c r="L194">
        <v>2</v>
      </c>
      <c r="O194">
        <v>6</v>
      </c>
      <c r="P194">
        <v>4</v>
      </c>
      <c r="Q194">
        <v>1</v>
      </c>
      <c r="R194">
        <v>4</v>
      </c>
      <c r="S194">
        <v>2</v>
      </c>
      <c r="T194" s="3">
        <f t="shared" si="46"/>
        <v>0.51246919273943525</v>
      </c>
      <c r="U194" s="32">
        <f t="shared" si="47"/>
        <v>0.84420266961423651</v>
      </c>
      <c r="V194" s="32">
        <f t="shared" si="48"/>
        <v>1.0418053570413823</v>
      </c>
      <c r="W194" s="32">
        <f t="shared" si="49"/>
        <v>-1.0009496220281058</v>
      </c>
      <c r="X194" s="32">
        <f t="shared" si="50"/>
        <v>0.21586162773242673</v>
      </c>
      <c r="Y194" s="32">
        <f t="shared" si="51"/>
        <v>0.86866731645372852</v>
      </c>
      <c r="Z194" s="32">
        <f t="shared" si="52"/>
        <v>0.81206041627470116</v>
      </c>
      <c r="AA194" s="32">
        <f t="shared" si="53"/>
        <v>0.80563658408767735</v>
      </c>
      <c r="AF194" s="40"/>
    </row>
    <row r="195" spans="1:32" customFormat="1" ht="14.25" hidden="1" customHeight="1" x14ac:dyDescent="0.35">
      <c r="A195" s="30">
        <f t="shared" si="45"/>
        <v>99</v>
      </c>
      <c r="B195">
        <v>182</v>
      </c>
      <c r="C195">
        <v>3</v>
      </c>
      <c r="D195">
        <v>3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2</v>
      </c>
      <c r="L195">
        <v>2</v>
      </c>
      <c r="M195">
        <v>2</v>
      </c>
      <c r="N195">
        <v>0</v>
      </c>
      <c r="O195">
        <v>6</v>
      </c>
      <c r="P195">
        <v>6</v>
      </c>
      <c r="Q195">
        <v>3</v>
      </c>
      <c r="R195">
        <v>3</v>
      </c>
      <c r="S195">
        <v>3</v>
      </c>
      <c r="T195" s="3">
        <f t="shared" si="46"/>
        <v>-0.85390171690456029</v>
      </c>
      <c r="U195" s="32">
        <f t="shared" si="47"/>
        <v>-0.95700561253682881</v>
      </c>
      <c r="V195" s="32">
        <f t="shared" si="48"/>
        <v>-0.51458870665983425</v>
      </c>
      <c r="W195" s="32">
        <f t="shared" si="49"/>
        <v>-1.0009496220281058</v>
      </c>
      <c r="X195" s="32">
        <f t="shared" si="50"/>
        <v>-0.61891576076406762</v>
      </c>
      <c r="Y195" s="32">
        <f t="shared" si="51"/>
        <v>-0.82040802109518818</v>
      </c>
      <c r="Z195" s="32">
        <f t="shared" si="52"/>
        <v>-1.0625089558734409</v>
      </c>
      <c r="AA195" s="32">
        <f t="shared" si="53"/>
        <v>-1.002935339374456</v>
      </c>
      <c r="AF195" s="40"/>
    </row>
    <row r="196" spans="1:32" customFormat="1" ht="14.25" hidden="1" customHeight="1" x14ac:dyDescent="0.35">
      <c r="A196" s="30">
        <f t="shared" si="45"/>
        <v>99</v>
      </c>
      <c r="B196">
        <v>184</v>
      </c>
      <c r="C196">
        <v>5</v>
      </c>
      <c r="D196">
        <v>1</v>
      </c>
      <c r="E196">
        <v>4</v>
      </c>
      <c r="F196">
        <v>2</v>
      </c>
      <c r="G196">
        <v>5</v>
      </c>
      <c r="H196">
        <v>5</v>
      </c>
      <c r="I196">
        <v>5</v>
      </c>
      <c r="J196">
        <v>2</v>
      </c>
      <c r="L196">
        <v>3</v>
      </c>
      <c r="O196">
        <v>5</v>
      </c>
      <c r="P196">
        <v>1</v>
      </c>
      <c r="Q196">
        <v>1</v>
      </c>
      <c r="R196">
        <v>2</v>
      </c>
      <c r="S196">
        <v>1</v>
      </c>
      <c r="T196" s="3">
        <f t="shared" si="46"/>
        <v>0.15901416375102298</v>
      </c>
      <c r="U196" s="32">
        <f t="shared" si="47"/>
        <v>0.84420266961423651</v>
      </c>
      <c r="V196" s="32">
        <f t="shared" si="48"/>
        <v>1.0418053570413823</v>
      </c>
      <c r="W196" s="32">
        <f t="shared" si="49"/>
        <v>-9.6984149849158471E-2</v>
      </c>
      <c r="X196" s="32">
        <f t="shared" si="50"/>
        <v>0.21586162773242673</v>
      </c>
      <c r="Y196" s="32">
        <f t="shared" si="51"/>
        <v>-2.509483358644105</v>
      </c>
      <c r="Z196" s="32">
        <f t="shared" si="52"/>
        <v>0.81206041627470116</v>
      </c>
      <c r="AA196" s="32">
        <f t="shared" si="53"/>
        <v>0.80563658408767735</v>
      </c>
      <c r="AF196" s="40"/>
    </row>
    <row r="197" spans="1:32" customFormat="1" ht="14.25" hidden="1" customHeight="1" x14ac:dyDescent="0.35">
      <c r="A197" s="30">
        <f t="shared" si="45"/>
        <v>99</v>
      </c>
      <c r="B197">
        <v>186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5</v>
      </c>
      <c r="I197">
        <v>5</v>
      </c>
      <c r="J197">
        <v>2</v>
      </c>
      <c r="O197">
        <v>6</v>
      </c>
      <c r="P197">
        <v>5</v>
      </c>
      <c r="Q197">
        <v>1</v>
      </c>
      <c r="R197">
        <v>1</v>
      </c>
      <c r="S197">
        <v>2</v>
      </c>
      <c r="T197" s="3">
        <f t="shared" si="46"/>
        <v>-0.14118368156964048</v>
      </c>
      <c r="U197" s="32">
        <f t="shared" si="47"/>
        <v>-2.758213894687894</v>
      </c>
      <c r="V197" s="32">
        <f t="shared" si="48"/>
        <v>1.0418053570413823</v>
      </c>
      <c r="W197" s="32">
        <f t="shared" si="49"/>
        <v>-2.8088805663860001</v>
      </c>
      <c r="X197" s="32">
        <f t="shared" si="50"/>
        <v>1.0506390162289212</v>
      </c>
      <c r="Y197" s="32">
        <f t="shared" si="51"/>
        <v>0.86866731645372852</v>
      </c>
      <c r="Z197" s="32">
        <f t="shared" si="52"/>
        <v>0.81206041627470116</v>
      </c>
      <c r="AA197" s="32">
        <f t="shared" si="53"/>
        <v>0.80563658408767735</v>
      </c>
      <c r="AF197" s="40"/>
    </row>
    <row r="198" spans="1:32" customFormat="1" ht="14.25" hidden="1" customHeight="1" x14ac:dyDescent="0.35">
      <c r="A198" s="30">
        <f t="shared" si="45"/>
        <v>99</v>
      </c>
      <c r="B198">
        <v>187</v>
      </c>
      <c r="C198">
        <v>5</v>
      </c>
      <c r="D198">
        <v>1</v>
      </c>
      <c r="E198">
        <v>1</v>
      </c>
      <c r="F198">
        <v>1</v>
      </c>
      <c r="G198">
        <v>1</v>
      </c>
      <c r="H198">
        <v>5</v>
      </c>
      <c r="I198">
        <v>5</v>
      </c>
      <c r="J198">
        <v>2</v>
      </c>
      <c r="O198">
        <v>6</v>
      </c>
      <c r="P198">
        <v>2</v>
      </c>
      <c r="Q198">
        <v>1</v>
      </c>
      <c r="R198">
        <v>3</v>
      </c>
      <c r="S198">
        <v>1</v>
      </c>
      <c r="T198" s="3">
        <f t="shared" si="46"/>
        <v>0.37344725618780672</v>
      </c>
      <c r="U198" s="32">
        <f t="shared" si="47"/>
        <v>0.84420266961423651</v>
      </c>
      <c r="V198" s="32">
        <f t="shared" si="48"/>
        <v>1.0418053570413823</v>
      </c>
      <c r="W198" s="32">
        <f t="shared" si="49"/>
        <v>-2.8088805663860001</v>
      </c>
      <c r="X198" s="32">
        <f t="shared" si="50"/>
        <v>1.0506390162289212</v>
      </c>
      <c r="Y198" s="32">
        <f t="shared" si="51"/>
        <v>0.86866731645372852</v>
      </c>
      <c r="Z198" s="32">
        <f t="shared" si="52"/>
        <v>0.81206041627470116</v>
      </c>
      <c r="AA198" s="32">
        <f t="shared" si="53"/>
        <v>0.80563658408767735</v>
      </c>
      <c r="AF198" s="40"/>
    </row>
    <row r="199" spans="1:32" customFormat="1" ht="14.25" hidden="1" customHeight="1" x14ac:dyDescent="0.35">
      <c r="A199" s="30">
        <f t="shared" si="45"/>
        <v>99</v>
      </c>
      <c r="B199">
        <v>191</v>
      </c>
      <c r="C199">
        <v>5</v>
      </c>
      <c r="D199">
        <v>5</v>
      </c>
      <c r="E199">
        <v>5</v>
      </c>
      <c r="F199">
        <v>1</v>
      </c>
      <c r="G199">
        <v>1</v>
      </c>
      <c r="H199">
        <v>5</v>
      </c>
      <c r="I199">
        <v>5</v>
      </c>
      <c r="J199">
        <v>2</v>
      </c>
      <c r="L199">
        <v>1</v>
      </c>
      <c r="M199">
        <v>4</v>
      </c>
      <c r="N199">
        <v>2</v>
      </c>
      <c r="O199">
        <v>6</v>
      </c>
      <c r="P199">
        <v>3</v>
      </c>
      <c r="Q199">
        <v>1</v>
      </c>
      <c r="R199">
        <v>3</v>
      </c>
      <c r="S199">
        <v>1</v>
      </c>
      <c r="T199" s="3">
        <f t="shared" si="46"/>
        <v>0.44531493637542902</v>
      </c>
      <c r="U199" s="32">
        <f t="shared" si="47"/>
        <v>0.84420266961423651</v>
      </c>
      <c r="V199" s="32">
        <f t="shared" si="48"/>
        <v>-2.0709827703610508</v>
      </c>
      <c r="W199" s="32">
        <f t="shared" si="49"/>
        <v>0.80698132232978881</v>
      </c>
      <c r="X199" s="32">
        <f t="shared" si="50"/>
        <v>1.0506390162289212</v>
      </c>
      <c r="Y199" s="32">
        <f t="shared" si="51"/>
        <v>0.86866731645372852</v>
      </c>
      <c r="Z199" s="32">
        <f t="shared" si="52"/>
        <v>0.81206041627470116</v>
      </c>
      <c r="AA199" s="32">
        <f t="shared" si="53"/>
        <v>0.80563658408767735</v>
      </c>
      <c r="AF199" s="40"/>
    </row>
    <row r="200" spans="1:32" customFormat="1" ht="14.25" hidden="1" customHeight="1" x14ac:dyDescent="0.35">
      <c r="A200" s="30">
        <f t="shared" si="45"/>
        <v>99</v>
      </c>
      <c r="B200">
        <v>192</v>
      </c>
      <c r="C200">
        <v>3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O200">
        <v>6</v>
      </c>
      <c r="P200">
        <v>6</v>
      </c>
      <c r="Q200">
        <v>3</v>
      </c>
      <c r="R200">
        <v>1</v>
      </c>
      <c r="S200">
        <v>3</v>
      </c>
      <c r="T200" s="3">
        <f t="shared" si="46"/>
        <v>-0.85390171690456029</v>
      </c>
      <c r="U200" s="32">
        <f t="shared" si="47"/>
        <v>-0.95700561253682881</v>
      </c>
      <c r="V200" s="32">
        <f t="shared" si="48"/>
        <v>-0.51458870665983425</v>
      </c>
      <c r="W200" s="32">
        <f t="shared" si="49"/>
        <v>-1.0009496220281058</v>
      </c>
      <c r="X200" s="32">
        <f t="shared" si="50"/>
        <v>-0.61891576076406762</v>
      </c>
      <c r="Y200" s="32">
        <f t="shared" si="51"/>
        <v>-0.82040802109518818</v>
      </c>
      <c r="Z200" s="32">
        <f t="shared" si="52"/>
        <v>-1.0625089558734409</v>
      </c>
      <c r="AA200" s="32">
        <f t="shared" si="53"/>
        <v>-1.002935339374456</v>
      </c>
      <c r="AF200" s="40"/>
    </row>
    <row r="201" spans="1:32" customFormat="1" ht="14.25" hidden="1" customHeight="1" x14ac:dyDescent="0.35">
      <c r="A201" s="30">
        <f t="shared" si="45"/>
        <v>99</v>
      </c>
      <c r="B201">
        <v>200</v>
      </c>
      <c r="C201">
        <v>4</v>
      </c>
      <c r="D201">
        <v>3</v>
      </c>
      <c r="E201">
        <v>4</v>
      </c>
      <c r="F201">
        <v>2</v>
      </c>
      <c r="G201">
        <v>2</v>
      </c>
      <c r="H201">
        <v>4</v>
      </c>
      <c r="I201">
        <v>4</v>
      </c>
      <c r="J201">
        <v>2</v>
      </c>
      <c r="K201">
        <v>1</v>
      </c>
      <c r="O201">
        <v>6</v>
      </c>
      <c r="Q201">
        <v>2</v>
      </c>
      <c r="R201">
        <v>1</v>
      </c>
      <c r="S201">
        <v>3</v>
      </c>
      <c r="T201" s="3">
        <f t="shared" si="46"/>
        <v>-9.3122385714478742E-2</v>
      </c>
      <c r="U201" s="32">
        <f t="shared" si="47"/>
        <v>-5.6401471461296142E-2</v>
      </c>
      <c r="V201" s="32">
        <f t="shared" si="48"/>
        <v>-0.51458870665983425</v>
      </c>
      <c r="W201" s="32">
        <f t="shared" si="49"/>
        <v>-9.6984149849158471E-2</v>
      </c>
      <c r="X201" s="32">
        <f t="shared" si="50"/>
        <v>0.21586162773242673</v>
      </c>
      <c r="Y201" s="32">
        <f t="shared" si="51"/>
        <v>2.4129647679270151E-2</v>
      </c>
      <c r="Z201" s="32">
        <f t="shared" si="52"/>
        <v>-0.12522426979936985</v>
      </c>
      <c r="AA201" s="32">
        <f t="shared" si="53"/>
        <v>-9.8649377643389324E-2</v>
      </c>
      <c r="AF201" s="40"/>
    </row>
    <row r="202" spans="1:32" customFormat="1" ht="14.25" hidden="1" customHeight="1" x14ac:dyDescent="0.35">
      <c r="A202" s="30">
        <f t="shared" si="45"/>
        <v>99</v>
      </c>
      <c r="B202">
        <v>207</v>
      </c>
      <c r="C202">
        <v>3</v>
      </c>
      <c r="D202">
        <v>3</v>
      </c>
      <c r="E202">
        <v>3</v>
      </c>
      <c r="F202">
        <v>3</v>
      </c>
      <c r="G202">
        <v>3</v>
      </c>
      <c r="H202">
        <v>3</v>
      </c>
      <c r="I202">
        <v>3</v>
      </c>
      <c r="J202">
        <v>2</v>
      </c>
      <c r="L202">
        <v>4</v>
      </c>
      <c r="M202">
        <v>2</v>
      </c>
      <c r="N202">
        <v>0</v>
      </c>
      <c r="O202">
        <v>6</v>
      </c>
      <c r="P202">
        <v>6</v>
      </c>
      <c r="Q202">
        <v>2</v>
      </c>
      <c r="R202">
        <v>3</v>
      </c>
      <c r="S202">
        <v>3</v>
      </c>
      <c r="T202" s="3">
        <f t="shared" si="46"/>
        <v>-0.85390171690456029</v>
      </c>
      <c r="U202" s="32">
        <f t="shared" si="47"/>
        <v>-0.95700561253682881</v>
      </c>
      <c r="V202" s="32">
        <f t="shared" si="48"/>
        <v>-0.51458870665983425</v>
      </c>
      <c r="W202" s="32">
        <f t="shared" si="49"/>
        <v>-1.0009496220281058</v>
      </c>
      <c r="X202" s="32">
        <f t="shared" si="50"/>
        <v>-0.61891576076406762</v>
      </c>
      <c r="Y202" s="32">
        <f t="shared" si="51"/>
        <v>-0.82040802109518818</v>
      </c>
      <c r="Z202" s="32">
        <f t="shared" si="52"/>
        <v>-1.0625089558734409</v>
      </c>
      <c r="AA202" s="32">
        <f t="shared" si="53"/>
        <v>-1.002935339374456</v>
      </c>
      <c r="AF202" s="40"/>
    </row>
    <row r="203" spans="1:32" customFormat="1" ht="14.25" hidden="1" customHeight="1" x14ac:dyDescent="0.35">
      <c r="A203" s="30">
        <f t="shared" si="45"/>
        <v>99</v>
      </c>
      <c r="B203">
        <v>208</v>
      </c>
      <c r="C203">
        <v>3</v>
      </c>
      <c r="D203">
        <v>3</v>
      </c>
      <c r="E203">
        <v>4</v>
      </c>
      <c r="F203">
        <v>3</v>
      </c>
      <c r="G203">
        <v>4</v>
      </c>
      <c r="H203">
        <v>4</v>
      </c>
      <c r="I203">
        <v>4</v>
      </c>
      <c r="J203">
        <v>3</v>
      </c>
      <c r="O203">
        <v>6</v>
      </c>
      <c r="P203">
        <v>6</v>
      </c>
      <c r="Q203">
        <v>3</v>
      </c>
      <c r="R203">
        <v>4</v>
      </c>
      <c r="S203">
        <v>3</v>
      </c>
      <c r="T203" s="3">
        <f t="shared" si="46"/>
        <v>-0.5823305095888992</v>
      </c>
      <c r="U203" s="32">
        <f t="shared" si="47"/>
        <v>-0.95700561253682881</v>
      </c>
      <c r="V203" s="32">
        <f t="shared" si="48"/>
        <v>-0.51458870665983425</v>
      </c>
      <c r="W203" s="32">
        <f t="shared" si="49"/>
        <v>-9.6984149849158471E-2</v>
      </c>
      <c r="X203" s="32">
        <f t="shared" si="50"/>
        <v>-0.61891576076406762</v>
      </c>
      <c r="Y203" s="32">
        <f t="shared" si="51"/>
        <v>-1.6649456898696466</v>
      </c>
      <c r="Z203" s="32">
        <f t="shared" si="52"/>
        <v>-0.12522426979936985</v>
      </c>
      <c r="AA203" s="32">
        <f t="shared" si="53"/>
        <v>-9.8649377643389324E-2</v>
      </c>
      <c r="AF203" s="40"/>
    </row>
    <row r="204" spans="1:32" customFormat="1" ht="14.25" hidden="1" customHeight="1" x14ac:dyDescent="0.35">
      <c r="A204" s="30">
        <f t="shared" si="45"/>
        <v>99</v>
      </c>
      <c r="B204">
        <v>212</v>
      </c>
      <c r="C204">
        <v>5</v>
      </c>
      <c r="D204">
        <v>1</v>
      </c>
      <c r="E204">
        <v>2</v>
      </c>
      <c r="F204">
        <v>1</v>
      </c>
      <c r="G204">
        <v>1</v>
      </c>
      <c r="H204">
        <v>5</v>
      </c>
      <c r="I204">
        <v>5</v>
      </c>
      <c r="J204">
        <v>2</v>
      </c>
      <c r="L204">
        <v>2</v>
      </c>
      <c r="M204">
        <v>4</v>
      </c>
      <c r="N204">
        <v>0</v>
      </c>
      <c r="O204">
        <v>6</v>
      </c>
      <c r="P204">
        <v>4</v>
      </c>
      <c r="Q204">
        <v>2</v>
      </c>
      <c r="R204">
        <v>4</v>
      </c>
      <c r="S204">
        <v>3</v>
      </c>
      <c r="T204" s="3">
        <f t="shared" si="46"/>
        <v>0.50258518078479919</v>
      </c>
      <c r="U204" s="32">
        <f t="shared" si="47"/>
        <v>0.84420266961423651</v>
      </c>
      <c r="V204" s="32">
        <f t="shared" si="48"/>
        <v>1.0418053570413823</v>
      </c>
      <c r="W204" s="32">
        <f t="shared" si="49"/>
        <v>-1.904915094207053</v>
      </c>
      <c r="X204" s="32">
        <f t="shared" si="50"/>
        <v>1.0506390162289212</v>
      </c>
      <c r="Y204" s="32">
        <f t="shared" si="51"/>
        <v>0.86866731645372852</v>
      </c>
      <c r="Z204" s="32">
        <f t="shared" si="52"/>
        <v>0.81206041627470116</v>
      </c>
      <c r="AA204" s="32">
        <f t="shared" si="53"/>
        <v>0.80563658408767735</v>
      </c>
      <c r="AF204" s="40"/>
    </row>
    <row r="205" spans="1:32" customFormat="1" ht="14.25" hidden="1" customHeight="1" x14ac:dyDescent="0.35">
      <c r="A205" s="30">
        <f t="shared" si="45"/>
        <v>99</v>
      </c>
      <c r="B205">
        <v>213</v>
      </c>
      <c r="C205">
        <v>4</v>
      </c>
      <c r="D205">
        <v>3</v>
      </c>
      <c r="E205">
        <v>3</v>
      </c>
      <c r="F205">
        <v>3</v>
      </c>
      <c r="G205">
        <v>4</v>
      </c>
      <c r="H205">
        <v>4</v>
      </c>
      <c r="I205">
        <v>4</v>
      </c>
      <c r="J205">
        <v>2</v>
      </c>
      <c r="O205">
        <v>6</v>
      </c>
      <c r="P205">
        <v>6</v>
      </c>
      <c r="Q205">
        <v>3</v>
      </c>
      <c r="R205">
        <v>1</v>
      </c>
      <c r="S205">
        <v>3</v>
      </c>
      <c r="T205" s="3">
        <f t="shared" si="46"/>
        <v>-0.58281069974652999</v>
      </c>
      <c r="U205" s="32">
        <f t="shared" si="47"/>
        <v>-5.6401471461296142E-2</v>
      </c>
      <c r="V205" s="32">
        <f t="shared" si="48"/>
        <v>-0.51458870665983425</v>
      </c>
      <c r="W205" s="32">
        <f t="shared" si="49"/>
        <v>-1.0009496220281058</v>
      </c>
      <c r="X205" s="32">
        <f t="shared" si="50"/>
        <v>-0.61891576076406762</v>
      </c>
      <c r="Y205" s="32">
        <f t="shared" si="51"/>
        <v>-1.6649456898696466</v>
      </c>
      <c r="Z205" s="32">
        <f t="shared" si="52"/>
        <v>-0.12522426979936985</v>
      </c>
      <c r="AA205" s="32">
        <f t="shared" si="53"/>
        <v>-9.8649377643389324E-2</v>
      </c>
      <c r="AF205" s="40"/>
    </row>
    <row r="206" spans="1:32" customFormat="1" ht="14.25" hidden="1" customHeight="1" x14ac:dyDescent="0.35">
      <c r="A206" s="30">
        <f t="shared" si="45"/>
        <v>99</v>
      </c>
      <c r="B206">
        <v>241</v>
      </c>
      <c r="C206">
        <v>3</v>
      </c>
      <c r="D206">
        <v>3</v>
      </c>
      <c r="E206">
        <v>3</v>
      </c>
      <c r="F206">
        <v>5</v>
      </c>
      <c r="G206">
        <v>3</v>
      </c>
      <c r="H206">
        <v>3</v>
      </c>
      <c r="I206">
        <v>3</v>
      </c>
      <c r="J206">
        <v>2</v>
      </c>
      <c r="L206">
        <v>2</v>
      </c>
      <c r="M206">
        <v>4</v>
      </c>
      <c r="N206">
        <v>0</v>
      </c>
      <c r="O206">
        <v>5</v>
      </c>
      <c r="P206">
        <v>1</v>
      </c>
      <c r="Q206">
        <v>1</v>
      </c>
      <c r="R206">
        <v>1</v>
      </c>
      <c r="S206">
        <v>2</v>
      </c>
      <c r="T206" s="3">
        <f t="shared" si="46"/>
        <v>-1.092409542189273</v>
      </c>
      <c r="U206" s="32">
        <f t="shared" si="47"/>
        <v>-0.95700561253682881</v>
      </c>
      <c r="V206" s="32">
        <f t="shared" si="48"/>
        <v>-0.51458870665983425</v>
      </c>
      <c r="W206" s="32">
        <f t="shared" si="49"/>
        <v>-1.0009496220281058</v>
      </c>
      <c r="X206" s="32">
        <f t="shared" si="50"/>
        <v>-2.2884705377570564</v>
      </c>
      <c r="Y206" s="32">
        <f t="shared" si="51"/>
        <v>-0.82040802109518818</v>
      </c>
      <c r="Z206" s="32">
        <f t="shared" si="52"/>
        <v>-1.0625089558734409</v>
      </c>
      <c r="AA206" s="32">
        <f t="shared" si="53"/>
        <v>-1.002935339374456</v>
      </c>
      <c r="AF206" s="40"/>
    </row>
    <row r="207" spans="1:32" customFormat="1" ht="14.25" hidden="1" customHeight="1" x14ac:dyDescent="0.35">
      <c r="A207" s="30">
        <f t="shared" si="45"/>
        <v>99</v>
      </c>
      <c r="B207">
        <v>243</v>
      </c>
      <c r="C207">
        <v>4</v>
      </c>
      <c r="D207">
        <v>4</v>
      </c>
      <c r="E207">
        <v>5</v>
      </c>
      <c r="F207">
        <v>3</v>
      </c>
      <c r="G207">
        <v>1</v>
      </c>
      <c r="H207">
        <v>4</v>
      </c>
      <c r="I207">
        <v>2</v>
      </c>
      <c r="J207">
        <v>2</v>
      </c>
      <c r="L207">
        <v>3</v>
      </c>
      <c r="M207">
        <v>2</v>
      </c>
      <c r="N207">
        <v>0</v>
      </c>
      <c r="O207">
        <v>6</v>
      </c>
      <c r="P207">
        <v>4</v>
      </c>
      <c r="Q207">
        <v>2</v>
      </c>
      <c r="R207">
        <v>2</v>
      </c>
      <c r="S207">
        <v>2</v>
      </c>
      <c r="T207" s="3">
        <f t="shared" si="46"/>
        <v>-0.33212855755102588</v>
      </c>
      <c r="U207" s="32">
        <f t="shared" si="47"/>
        <v>-5.6401471461296142E-2</v>
      </c>
      <c r="V207" s="32">
        <f t="shared" si="48"/>
        <v>-1.2927857385104427</v>
      </c>
      <c r="W207" s="32">
        <f t="shared" si="49"/>
        <v>0.80698132232978881</v>
      </c>
      <c r="X207" s="32">
        <f t="shared" si="50"/>
        <v>-0.61891576076406762</v>
      </c>
      <c r="Y207" s="32">
        <f t="shared" si="51"/>
        <v>0.86866731645372852</v>
      </c>
      <c r="Z207" s="32">
        <f t="shared" si="52"/>
        <v>-0.12522426979936985</v>
      </c>
      <c r="AA207" s="32">
        <f t="shared" si="53"/>
        <v>-1.9072213011055226</v>
      </c>
      <c r="AF207" s="40"/>
    </row>
    <row r="208" spans="1:32" customFormat="1" ht="14.25" hidden="1" customHeight="1" x14ac:dyDescent="0.35">
      <c r="A208" s="30">
        <f t="shared" si="45"/>
        <v>99</v>
      </c>
      <c r="B208">
        <v>248</v>
      </c>
      <c r="C208">
        <v>4</v>
      </c>
      <c r="D208">
        <v>2</v>
      </c>
      <c r="E208">
        <v>1</v>
      </c>
      <c r="F208">
        <v>3</v>
      </c>
      <c r="G208">
        <v>1</v>
      </c>
      <c r="H208">
        <v>4</v>
      </c>
      <c r="I208">
        <v>5</v>
      </c>
      <c r="J208">
        <v>1</v>
      </c>
      <c r="O208">
        <v>5</v>
      </c>
      <c r="P208">
        <v>4</v>
      </c>
      <c r="Q208">
        <v>2</v>
      </c>
      <c r="R208">
        <v>2</v>
      </c>
      <c r="S208">
        <v>1</v>
      </c>
      <c r="T208" s="3">
        <f t="shared" si="46"/>
        <v>-0.23878712038265054</v>
      </c>
      <c r="U208" s="32">
        <f t="shared" si="47"/>
        <v>-5.6401471461296142E-2</v>
      </c>
      <c r="V208" s="32">
        <f t="shared" si="48"/>
        <v>0.26360832519077404</v>
      </c>
      <c r="W208" s="32">
        <f t="shared" si="49"/>
        <v>-2.8088805663860001</v>
      </c>
      <c r="X208" s="32">
        <f t="shared" si="50"/>
        <v>-0.61891576076406762</v>
      </c>
      <c r="Y208" s="32">
        <f t="shared" si="51"/>
        <v>0.86866731645372852</v>
      </c>
      <c r="Z208" s="32">
        <f t="shared" si="52"/>
        <v>-0.12522426979936985</v>
      </c>
      <c r="AA208" s="32">
        <f t="shared" si="53"/>
        <v>0.80563658408767735</v>
      </c>
      <c r="AF208" s="40"/>
    </row>
    <row r="209" spans="1:32" customFormat="1" ht="14.25" hidden="1" customHeight="1" x14ac:dyDescent="0.35">
      <c r="A209" s="30">
        <f t="shared" si="45"/>
        <v>99</v>
      </c>
      <c r="B209">
        <v>249</v>
      </c>
      <c r="C209">
        <v>4</v>
      </c>
      <c r="D209">
        <v>1</v>
      </c>
      <c r="E209">
        <v>5</v>
      </c>
      <c r="F209">
        <v>1</v>
      </c>
      <c r="G209">
        <v>1</v>
      </c>
      <c r="H209">
        <v>5</v>
      </c>
      <c r="I209">
        <v>3</v>
      </c>
      <c r="J209">
        <v>2</v>
      </c>
      <c r="L209">
        <v>2</v>
      </c>
      <c r="M209">
        <v>5</v>
      </c>
      <c r="N209">
        <v>25</v>
      </c>
      <c r="O209">
        <v>6</v>
      </c>
      <c r="P209">
        <v>4</v>
      </c>
      <c r="Q209">
        <v>1</v>
      </c>
      <c r="R209">
        <v>4</v>
      </c>
      <c r="S209">
        <v>1</v>
      </c>
      <c r="T209" s="3">
        <f t="shared" si="46"/>
        <v>0.50297380249896717</v>
      </c>
      <c r="U209" s="32">
        <f t="shared" si="47"/>
        <v>-5.6401471461296142E-2</v>
      </c>
      <c r="V209" s="32">
        <f t="shared" si="48"/>
        <v>1.0418053570413823</v>
      </c>
      <c r="W209" s="32">
        <f t="shared" si="49"/>
        <v>0.80698132232978881</v>
      </c>
      <c r="X209" s="32">
        <f t="shared" si="50"/>
        <v>1.0506390162289212</v>
      </c>
      <c r="Y209" s="32">
        <f t="shared" si="51"/>
        <v>0.86866731645372852</v>
      </c>
      <c r="Z209" s="32">
        <f t="shared" si="52"/>
        <v>0.81206041627470116</v>
      </c>
      <c r="AA209" s="32">
        <f t="shared" si="53"/>
        <v>-1.002935339374456</v>
      </c>
      <c r="AF209" s="40"/>
    </row>
    <row r="210" spans="1:32" customFormat="1" ht="14.25" hidden="1" customHeight="1" x14ac:dyDescent="0.35">
      <c r="A210" s="30">
        <f t="shared" ref="A210:A273" si="54">IF(COUNTBLANK(J210:T210)&gt;0,99,1)</f>
        <v>99</v>
      </c>
      <c r="B210">
        <v>256</v>
      </c>
      <c r="C210">
        <v>5</v>
      </c>
      <c r="D210">
        <v>1</v>
      </c>
      <c r="E210">
        <v>5</v>
      </c>
      <c r="F210">
        <v>1</v>
      </c>
      <c r="G210">
        <v>1</v>
      </c>
      <c r="H210">
        <v>5</v>
      </c>
      <c r="I210">
        <v>5</v>
      </c>
      <c r="J210">
        <v>1</v>
      </c>
      <c r="L210">
        <v>1</v>
      </c>
      <c r="M210">
        <v>3</v>
      </c>
      <c r="N210">
        <v>2</v>
      </c>
      <c r="O210">
        <v>6</v>
      </c>
      <c r="P210">
        <v>3</v>
      </c>
      <c r="Q210">
        <v>2</v>
      </c>
      <c r="R210">
        <v>2</v>
      </c>
      <c r="S210">
        <v>1</v>
      </c>
      <c r="T210" s="3">
        <f t="shared" ref="T210:T273" si="55">AVERAGE(U210:AA210)</f>
        <v>0.88999895457577671</v>
      </c>
      <c r="U210" s="32">
        <f t="shared" ref="U210:U273" si="56">IF(ISTEXT(C210),"",STANDARDIZE(C210,AVERAGE(C$2:C$497),STDEV(C$2:C$497)))</f>
        <v>0.84420266961423651</v>
      </c>
      <c r="V210" s="32">
        <f t="shared" ref="V210:V273" si="57">IF(ISTEXT(D210),"",-1*STANDARDIZE(D210,AVERAGE(D$2:D$497),STDEV(D$2:D$497)))</f>
        <v>1.0418053570413823</v>
      </c>
      <c r="W210" s="32">
        <f t="shared" ref="W210:W273" si="58">IF(ISTEXT(E210),"",STANDARDIZE(E210,AVERAGE(E$2:E$497),STDEV(E$2:E$497)))</f>
        <v>0.80698132232978881</v>
      </c>
      <c r="X210" s="32">
        <f t="shared" ref="X210:X273" si="59">IF(ISTEXT(F210),"",-1*STANDARDIZE(F210,AVERAGE(F$2:F$497),STDEV(F$2:F$497)))</f>
        <v>1.0506390162289212</v>
      </c>
      <c r="Y210" s="32">
        <f t="shared" ref="Y210:Y273" si="60">IF(ISTEXT(G210),"",-1*STANDARDIZE(G210,AVERAGE(G$2:G$497),STDEV(G$2:G$497)))</f>
        <v>0.86866731645372852</v>
      </c>
      <c r="Z210" s="32">
        <f t="shared" ref="Z210:Z273" si="61">IF(ISTEXT(H210),"",STANDARDIZE(H210,AVERAGE(H$2:H$497),STDEV(H$2:H$497)))</f>
        <v>0.81206041627470116</v>
      </c>
      <c r="AA210" s="32">
        <f t="shared" ref="AA210:AA273" si="62">IF(ISTEXT(I210),"",STANDARDIZE(I210,AVERAGE(I$2:I$497),STDEV(I$2:I$497)))</f>
        <v>0.80563658408767735</v>
      </c>
      <c r="AF210" s="40"/>
    </row>
    <row r="211" spans="1:32" customFormat="1" ht="14.25" hidden="1" customHeight="1" x14ac:dyDescent="0.35">
      <c r="A211" s="30">
        <f t="shared" si="54"/>
        <v>99</v>
      </c>
      <c r="B211">
        <v>259</v>
      </c>
      <c r="C211">
        <v>5</v>
      </c>
      <c r="D211">
        <v>3</v>
      </c>
      <c r="E211">
        <v>5</v>
      </c>
      <c r="F211">
        <v>5</v>
      </c>
      <c r="G211">
        <v>3</v>
      </c>
      <c r="H211">
        <v>5</v>
      </c>
      <c r="I211">
        <v>5</v>
      </c>
      <c r="J211">
        <v>2</v>
      </c>
      <c r="L211">
        <v>1</v>
      </c>
      <c r="M211">
        <v>3</v>
      </c>
      <c r="N211">
        <v>0</v>
      </c>
      <c r="O211">
        <v>6</v>
      </c>
      <c r="P211">
        <v>2</v>
      </c>
      <c r="Q211">
        <v>1</v>
      </c>
      <c r="R211">
        <v>2</v>
      </c>
      <c r="S211">
        <v>3</v>
      </c>
      <c r="T211" s="3">
        <f t="shared" si="55"/>
        <v>-5.0655181886525007E-2</v>
      </c>
      <c r="U211" s="32">
        <f t="shared" si="56"/>
        <v>0.84420266961423651</v>
      </c>
      <c r="V211" s="32">
        <f t="shared" si="57"/>
        <v>-0.51458870665983425</v>
      </c>
      <c r="W211" s="32">
        <f t="shared" si="58"/>
        <v>0.80698132232978881</v>
      </c>
      <c r="X211" s="32">
        <f t="shared" si="59"/>
        <v>-2.2884705377570564</v>
      </c>
      <c r="Y211" s="32">
        <f t="shared" si="60"/>
        <v>-0.82040802109518818</v>
      </c>
      <c r="Z211" s="32">
        <f t="shared" si="61"/>
        <v>0.81206041627470116</v>
      </c>
      <c r="AA211" s="32">
        <f t="shared" si="62"/>
        <v>0.80563658408767735</v>
      </c>
      <c r="AF211" s="40"/>
    </row>
    <row r="212" spans="1:32" customFormat="1" ht="14.25" hidden="1" customHeight="1" x14ac:dyDescent="0.35">
      <c r="A212" s="30">
        <f t="shared" si="54"/>
        <v>99</v>
      </c>
      <c r="B212">
        <v>260</v>
      </c>
      <c r="C212">
        <v>5</v>
      </c>
      <c r="D212">
        <v>3</v>
      </c>
      <c r="E212">
        <v>5</v>
      </c>
      <c r="F212">
        <v>4</v>
      </c>
      <c r="G212">
        <v>1</v>
      </c>
      <c r="H212">
        <v>5</v>
      </c>
      <c r="I212">
        <v>5</v>
      </c>
      <c r="J212">
        <v>2</v>
      </c>
      <c r="M212">
        <v>1</v>
      </c>
      <c r="N212">
        <v>20</v>
      </c>
      <c r="O212">
        <v>6</v>
      </c>
      <c r="P212">
        <v>3</v>
      </c>
      <c r="Q212">
        <v>2</v>
      </c>
      <c r="R212">
        <v>3</v>
      </c>
      <c r="S212">
        <v>1</v>
      </c>
      <c r="T212" s="3">
        <f t="shared" si="55"/>
        <v>0.30989520754853367</v>
      </c>
      <c r="U212" s="32">
        <f t="shared" si="56"/>
        <v>0.84420266961423651</v>
      </c>
      <c r="V212" s="32">
        <f t="shared" si="57"/>
        <v>-0.51458870665983425</v>
      </c>
      <c r="W212" s="32">
        <f t="shared" si="58"/>
        <v>0.80698132232978881</v>
      </c>
      <c r="X212" s="32">
        <f t="shared" si="59"/>
        <v>-1.453693149260562</v>
      </c>
      <c r="Y212" s="32">
        <f t="shared" si="60"/>
        <v>0.86866731645372852</v>
      </c>
      <c r="Z212" s="32">
        <f t="shared" si="61"/>
        <v>0.81206041627470116</v>
      </c>
      <c r="AA212" s="32">
        <f t="shared" si="62"/>
        <v>0.80563658408767735</v>
      </c>
      <c r="AF212" s="40"/>
    </row>
    <row r="213" spans="1:32" customFormat="1" ht="14.25" hidden="1" customHeight="1" x14ac:dyDescent="0.35">
      <c r="A213" s="30">
        <f t="shared" si="54"/>
        <v>99</v>
      </c>
      <c r="B213">
        <v>266</v>
      </c>
      <c r="C213">
        <v>5</v>
      </c>
      <c r="D213">
        <v>1</v>
      </c>
      <c r="E213">
        <v>4</v>
      </c>
      <c r="F213">
        <v>1</v>
      </c>
      <c r="G213">
        <v>1</v>
      </c>
      <c r="H213">
        <v>5</v>
      </c>
      <c r="I213">
        <v>5</v>
      </c>
      <c r="J213">
        <v>2</v>
      </c>
      <c r="O213">
        <v>6</v>
      </c>
      <c r="P213">
        <v>3</v>
      </c>
      <c r="Q213">
        <v>1</v>
      </c>
      <c r="R213">
        <v>3</v>
      </c>
      <c r="S213">
        <v>1</v>
      </c>
      <c r="T213" s="3">
        <f t="shared" si="55"/>
        <v>0.76086102997878413</v>
      </c>
      <c r="U213" s="32">
        <f t="shared" si="56"/>
        <v>0.84420266961423651</v>
      </c>
      <c r="V213" s="32">
        <f t="shared" si="57"/>
        <v>1.0418053570413823</v>
      </c>
      <c r="W213" s="32">
        <f t="shared" si="58"/>
        <v>-9.6984149849158471E-2</v>
      </c>
      <c r="X213" s="32">
        <f t="shared" si="59"/>
        <v>1.0506390162289212</v>
      </c>
      <c r="Y213" s="32">
        <f t="shared" si="60"/>
        <v>0.86866731645372852</v>
      </c>
      <c r="Z213" s="32">
        <f t="shared" si="61"/>
        <v>0.81206041627470116</v>
      </c>
      <c r="AA213" s="32">
        <f t="shared" si="62"/>
        <v>0.80563658408767735</v>
      </c>
      <c r="AF213" s="40"/>
    </row>
    <row r="214" spans="1:32" customFormat="1" ht="14.25" hidden="1" customHeight="1" x14ac:dyDescent="0.35">
      <c r="A214" s="30">
        <f t="shared" si="54"/>
        <v>99</v>
      </c>
      <c r="B214">
        <v>272</v>
      </c>
      <c r="C214">
        <v>4</v>
      </c>
      <c r="D214">
        <v>3</v>
      </c>
      <c r="E214">
        <v>5</v>
      </c>
      <c r="F214">
        <v>2</v>
      </c>
      <c r="G214">
        <v>1</v>
      </c>
      <c r="H214">
        <v>3</v>
      </c>
      <c r="I214">
        <v>5</v>
      </c>
      <c r="J214">
        <v>2</v>
      </c>
      <c r="L214">
        <v>2</v>
      </c>
      <c r="O214">
        <v>6</v>
      </c>
      <c r="P214">
        <v>5</v>
      </c>
      <c r="Q214">
        <v>2</v>
      </c>
      <c r="R214">
        <v>3</v>
      </c>
      <c r="S214">
        <v>1</v>
      </c>
      <c r="T214" s="3">
        <f t="shared" si="55"/>
        <v>0.15194967380129287</v>
      </c>
      <c r="U214" s="32">
        <f t="shared" si="56"/>
        <v>-5.6401471461296142E-2</v>
      </c>
      <c r="V214" s="32">
        <f t="shared" si="57"/>
        <v>-0.51458870665983425</v>
      </c>
      <c r="W214" s="32">
        <f t="shared" si="58"/>
        <v>0.80698132232978881</v>
      </c>
      <c r="X214" s="32">
        <f t="shared" si="59"/>
        <v>0.21586162773242673</v>
      </c>
      <c r="Y214" s="32">
        <f t="shared" si="60"/>
        <v>0.86866731645372852</v>
      </c>
      <c r="Z214" s="32">
        <f t="shared" si="61"/>
        <v>-1.0625089558734409</v>
      </c>
      <c r="AA214" s="32">
        <f t="shared" si="62"/>
        <v>0.80563658408767735</v>
      </c>
      <c r="AF214" s="40"/>
    </row>
    <row r="215" spans="1:32" customFormat="1" ht="14.25" hidden="1" customHeight="1" x14ac:dyDescent="0.35">
      <c r="A215" s="30">
        <f t="shared" si="54"/>
        <v>99</v>
      </c>
      <c r="B215">
        <v>294</v>
      </c>
      <c r="C215">
        <v>5</v>
      </c>
      <c r="D215">
        <v>4</v>
      </c>
      <c r="E215">
        <v>1</v>
      </c>
      <c r="F215">
        <v>1</v>
      </c>
      <c r="G215">
        <v>2</v>
      </c>
      <c r="H215">
        <v>5</v>
      </c>
      <c r="I215">
        <v>5</v>
      </c>
      <c r="J215">
        <v>1</v>
      </c>
      <c r="K215">
        <v>1</v>
      </c>
      <c r="O215">
        <v>6</v>
      </c>
      <c r="P215">
        <v>5</v>
      </c>
      <c r="Q215">
        <v>2</v>
      </c>
      <c r="R215">
        <v>1</v>
      </c>
      <c r="S215">
        <v>3</v>
      </c>
      <c r="T215" s="3">
        <f t="shared" si="55"/>
        <v>-8.0713995858805232E-2</v>
      </c>
      <c r="U215" s="32">
        <f t="shared" si="56"/>
        <v>0.84420266961423651</v>
      </c>
      <c r="V215" s="32">
        <f t="shared" si="57"/>
        <v>-1.2927857385104427</v>
      </c>
      <c r="W215" s="32">
        <f t="shared" si="58"/>
        <v>-2.8088805663860001</v>
      </c>
      <c r="X215" s="32">
        <f t="shared" si="59"/>
        <v>1.0506390162289212</v>
      </c>
      <c r="Y215" s="32">
        <f t="shared" si="60"/>
        <v>2.4129647679270151E-2</v>
      </c>
      <c r="Z215" s="32">
        <f t="shared" si="61"/>
        <v>0.81206041627470116</v>
      </c>
      <c r="AA215" s="32">
        <f t="shared" si="62"/>
        <v>0.80563658408767735</v>
      </c>
      <c r="AF215" s="40"/>
    </row>
    <row r="216" spans="1:32" customFormat="1" ht="14.25" hidden="1" customHeight="1" x14ac:dyDescent="0.35">
      <c r="A216" s="30">
        <f t="shared" si="54"/>
        <v>99</v>
      </c>
      <c r="B216">
        <v>299</v>
      </c>
      <c r="C216">
        <v>3</v>
      </c>
      <c r="D216">
        <v>3</v>
      </c>
      <c r="E216">
        <v>3</v>
      </c>
      <c r="F216">
        <v>2</v>
      </c>
      <c r="G216">
        <v>2</v>
      </c>
      <c r="H216">
        <v>3</v>
      </c>
      <c r="I216">
        <v>3</v>
      </c>
      <c r="J216">
        <v>3</v>
      </c>
      <c r="L216">
        <v>2</v>
      </c>
      <c r="M216">
        <v>3</v>
      </c>
      <c r="N216">
        <v>2</v>
      </c>
      <c r="O216">
        <v>1</v>
      </c>
      <c r="P216">
        <v>4</v>
      </c>
      <c r="Q216">
        <v>3</v>
      </c>
      <c r="R216">
        <v>3</v>
      </c>
      <c r="S216">
        <v>2</v>
      </c>
      <c r="T216" s="3">
        <f t="shared" si="55"/>
        <v>-0.61399956586585269</v>
      </c>
      <c r="U216" s="32">
        <f t="shared" si="56"/>
        <v>-0.95700561253682881</v>
      </c>
      <c r="V216" s="32">
        <f t="shared" si="57"/>
        <v>-0.51458870665983425</v>
      </c>
      <c r="W216" s="32">
        <f t="shared" si="58"/>
        <v>-1.0009496220281058</v>
      </c>
      <c r="X216" s="32">
        <f t="shared" si="59"/>
        <v>0.21586162773242673</v>
      </c>
      <c r="Y216" s="32">
        <f t="shared" si="60"/>
        <v>2.4129647679270151E-2</v>
      </c>
      <c r="Z216" s="32">
        <f t="shared" si="61"/>
        <v>-1.0625089558734409</v>
      </c>
      <c r="AA216" s="32">
        <f t="shared" si="62"/>
        <v>-1.002935339374456</v>
      </c>
      <c r="AF216" s="40"/>
    </row>
    <row r="217" spans="1:32" customFormat="1" ht="14.25" hidden="1" customHeight="1" x14ac:dyDescent="0.35">
      <c r="A217" s="30">
        <f t="shared" si="54"/>
        <v>99</v>
      </c>
      <c r="B217">
        <v>303</v>
      </c>
      <c r="C217">
        <v>5</v>
      </c>
      <c r="D217">
        <v>1</v>
      </c>
      <c r="E217">
        <v>5</v>
      </c>
      <c r="F217">
        <v>3</v>
      </c>
      <c r="G217">
        <v>1</v>
      </c>
      <c r="H217">
        <v>5</v>
      </c>
      <c r="I217">
        <v>5</v>
      </c>
      <c r="J217">
        <v>1</v>
      </c>
      <c r="K217">
        <v>1</v>
      </c>
      <c r="O217">
        <v>6</v>
      </c>
      <c r="P217">
        <v>5</v>
      </c>
      <c r="Q217">
        <v>1</v>
      </c>
      <c r="R217">
        <v>2</v>
      </c>
      <c r="S217">
        <v>2</v>
      </c>
      <c r="T217" s="3">
        <f t="shared" si="55"/>
        <v>0.6514911292910639</v>
      </c>
      <c r="U217" s="32">
        <f t="shared" si="56"/>
        <v>0.84420266961423651</v>
      </c>
      <c r="V217" s="32">
        <f t="shared" si="57"/>
        <v>1.0418053570413823</v>
      </c>
      <c r="W217" s="32">
        <f t="shared" si="58"/>
        <v>0.80698132232978881</v>
      </c>
      <c r="X217" s="32">
        <f t="shared" si="59"/>
        <v>-0.61891576076406762</v>
      </c>
      <c r="Y217" s="32">
        <f t="shared" si="60"/>
        <v>0.86866731645372852</v>
      </c>
      <c r="Z217" s="32">
        <f t="shared" si="61"/>
        <v>0.81206041627470116</v>
      </c>
      <c r="AA217" s="32">
        <f t="shared" si="62"/>
        <v>0.80563658408767735</v>
      </c>
      <c r="AF217" s="40"/>
    </row>
    <row r="218" spans="1:32" customFormat="1" ht="14.25" hidden="1" customHeight="1" x14ac:dyDescent="0.35">
      <c r="A218" s="30">
        <f t="shared" si="54"/>
        <v>99</v>
      </c>
      <c r="B218">
        <v>308</v>
      </c>
      <c r="C218">
        <v>4</v>
      </c>
      <c r="D218">
        <v>2</v>
      </c>
      <c r="E218">
        <v>4</v>
      </c>
      <c r="F218">
        <v>1</v>
      </c>
      <c r="G218">
        <v>2</v>
      </c>
      <c r="H218">
        <v>4</v>
      </c>
      <c r="I218">
        <v>5</v>
      </c>
      <c r="J218">
        <v>2</v>
      </c>
      <c r="L218">
        <v>2</v>
      </c>
      <c r="M218">
        <v>1</v>
      </c>
      <c r="N218">
        <v>15</v>
      </c>
      <c r="O218">
        <v>5</v>
      </c>
      <c r="P218">
        <v>2</v>
      </c>
      <c r="Q218">
        <v>1</v>
      </c>
      <c r="R218">
        <v>2</v>
      </c>
      <c r="S218">
        <v>2</v>
      </c>
      <c r="T218" s="3">
        <f t="shared" si="55"/>
        <v>0.26648624029668827</v>
      </c>
      <c r="U218" s="32">
        <f t="shared" si="56"/>
        <v>-5.6401471461296142E-2</v>
      </c>
      <c r="V218" s="32">
        <f t="shared" si="57"/>
        <v>0.26360832519077404</v>
      </c>
      <c r="W218" s="32">
        <f t="shared" si="58"/>
        <v>-9.6984149849158471E-2</v>
      </c>
      <c r="X218" s="32">
        <f t="shared" si="59"/>
        <v>1.0506390162289212</v>
      </c>
      <c r="Y218" s="32">
        <f t="shared" si="60"/>
        <v>2.4129647679270151E-2</v>
      </c>
      <c r="Z218" s="32">
        <f t="shared" si="61"/>
        <v>-0.12522426979936985</v>
      </c>
      <c r="AA218" s="32">
        <f t="shared" si="62"/>
        <v>0.80563658408767735</v>
      </c>
      <c r="AF218" s="40"/>
    </row>
    <row r="219" spans="1:32" customFormat="1" ht="14.25" hidden="1" customHeight="1" x14ac:dyDescent="0.35">
      <c r="A219" s="30">
        <f t="shared" si="54"/>
        <v>99</v>
      </c>
      <c r="B219">
        <v>312</v>
      </c>
      <c r="C219">
        <v>4</v>
      </c>
      <c r="D219">
        <v>4</v>
      </c>
      <c r="E219">
        <v>4</v>
      </c>
      <c r="F219">
        <v>4</v>
      </c>
      <c r="G219">
        <v>4</v>
      </c>
      <c r="H219">
        <v>5</v>
      </c>
      <c r="I219">
        <v>5</v>
      </c>
      <c r="J219">
        <v>1</v>
      </c>
      <c r="L219">
        <v>1</v>
      </c>
      <c r="M219">
        <v>1</v>
      </c>
      <c r="N219">
        <v>0</v>
      </c>
      <c r="O219">
        <v>6</v>
      </c>
      <c r="P219">
        <v>6</v>
      </c>
      <c r="Q219">
        <v>2</v>
      </c>
      <c r="R219">
        <v>2</v>
      </c>
      <c r="S219">
        <v>4</v>
      </c>
      <c r="T219" s="3">
        <f t="shared" si="55"/>
        <v>-0.42101617122696106</v>
      </c>
      <c r="U219" s="32">
        <f t="shared" si="56"/>
        <v>-5.6401471461296142E-2</v>
      </c>
      <c r="V219" s="32">
        <f t="shared" si="57"/>
        <v>-1.2927857385104427</v>
      </c>
      <c r="W219" s="32">
        <f t="shared" si="58"/>
        <v>-9.6984149849158471E-2</v>
      </c>
      <c r="X219" s="32">
        <f t="shared" si="59"/>
        <v>-1.453693149260562</v>
      </c>
      <c r="Y219" s="32">
        <f t="shared" si="60"/>
        <v>-1.6649456898696466</v>
      </c>
      <c r="Z219" s="32">
        <f t="shared" si="61"/>
        <v>0.81206041627470116</v>
      </c>
      <c r="AA219" s="32">
        <f t="shared" si="62"/>
        <v>0.80563658408767735</v>
      </c>
      <c r="AF219" s="40"/>
    </row>
    <row r="220" spans="1:32" customFormat="1" ht="14.25" hidden="1" customHeight="1" x14ac:dyDescent="0.35">
      <c r="A220" s="30">
        <f t="shared" si="54"/>
        <v>99</v>
      </c>
      <c r="B220">
        <v>315</v>
      </c>
      <c r="C220">
        <v>5</v>
      </c>
      <c r="D220">
        <v>1</v>
      </c>
      <c r="E220">
        <v>5</v>
      </c>
      <c r="F220">
        <v>1</v>
      </c>
      <c r="G220">
        <v>1</v>
      </c>
      <c r="H220">
        <v>5</v>
      </c>
      <c r="I220">
        <v>5</v>
      </c>
      <c r="J220">
        <v>3</v>
      </c>
      <c r="K220">
        <v>1</v>
      </c>
      <c r="L220">
        <v>1</v>
      </c>
      <c r="O220">
        <v>6</v>
      </c>
      <c r="P220">
        <v>2</v>
      </c>
      <c r="Q220">
        <v>2</v>
      </c>
      <c r="R220">
        <v>3</v>
      </c>
      <c r="S220">
        <v>2</v>
      </c>
      <c r="T220" s="3">
        <f t="shared" si="55"/>
        <v>0.88999895457577671</v>
      </c>
      <c r="U220" s="32">
        <f t="shared" si="56"/>
        <v>0.84420266961423651</v>
      </c>
      <c r="V220" s="32">
        <f t="shared" si="57"/>
        <v>1.0418053570413823</v>
      </c>
      <c r="W220" s="32">
        <f t="shared" si="58"/>
        <v>0.80698132232978881</v>
      </c>
      <c r="X220" s="32">
        <f t="shared" si="59"/>
        <v>1.0506390162289212</v>
      </c>
      <c r="Y220" s="32">
        <f t="shared" si="60"/>
        <v>0.86866731645372852</v>
      </c>
      <c r="Z220" s="32">
        <f t="shared" si="61"/>
        <v>0.81206041627470116</v>
      </c>
      <c r="AA220" s="32">
        <f t="shared" si="62"/>
        <v>0.80563658408767735</v>
      </c>
      <c r="AF220" s="40"/>
    </row>
    <row r="221" spans="1:32" customFormat="1" ht="14.25" hidden="1" customHeight="1" x14ac:dyDescent="0.35">
      <c r="A221" s="30">
        <f t="shared" si="54"/>
        <v>99</v>
      </c>
      <c r="B221">
        <v>332</v>
      </c>
      <c r="C221">
        <v>5</v>
      </c>
      <c r="D221">
        <v>1</v>
      </c>
      <c r="E221">
        <v>5</v>
      </c>
      <c r="F221">
        <v>1</v>
      </c>
      <c r="G221">
        <v>1</v>
      </c>
      <c r="H221">
        <v>5</v>
      </c>
      <c r="I221">
        <v>5</v>
      </c>
      <c r="J221">
        <v>1</v>
      </c>
      <c r="L221">
        <v>1</v>
      </c>
      <c r="M221">
        <v>1</v>
      </c>
      <c r="N221">
        <v>7</v>
      </c>
      <c r="O221">
        <v>5</v>
      </c>
      <c r="P221">
        <v>2</v>
      </c>
      <c r="Q221">
        <v>1</v>
      </c>
      <c r="R221">
        <v>3</v>
      </c>
      <c r="S221">
        <v>1</v>
      </c>
      <c r="T221" s="3">
        <f t="shared" si="55"/>
        <v>0.88999895457577671</v>
      </c>
      <c r="U221" s="32">
        <f t="shared" si="56"/>
        <v>0.84420266961423651</v>
      </c>
      <c r="V221" s="32">
        <f t="shared" si="57"/>
        <v>1.0418053570413823</v>
      </c>
      <c r="W221" s="32">
        <f t="shared" si="58"/>
        <v>0.80698132232978881</v>
      </c>
      <c r="X221" s="32">
        <f t="shared" si="59"/>
        <v>1.0506390162289212</v>
      </c>
      <c r="Y221" s="32">
        <f t="shared" si="60"/>
        <v>0.86866731645372852</v>
      </c>
      <c r="Z221" s="32">
        <f t="shared" si="61"/>
        <v>0.81206041627470116</v>
      </c>
      <c r="AA221" s="32">
        <f t="shared" si="62"/>
        <v>0.80563658408767735</v>
      </c>
      <c r="AF221" s="40"/>
    </row>
    <row r="222" spans="1:32" customFormat="1" ht="14.25" hidden="1" customHeight="1" x14ac:dyDescent="0.35">
      <c r="A222" s="30">
        <f t="shared" si="54"/>
        <v>99</v>
      </c>
      <c r="B222">
        <v>337</v>
      </c>
      <c r="C222">
        <v>5</v>
      </c>
      <c r="D222">
        <v>2</v>
      </c>
      <c r="E222">
        <v>5</v>
      </c>
      <c r="F222">
        <v>2</v>
      </c>
      <c r="G222">
        <v>1</v>
      </c>
      <c r="H222">
        <v>4</v>
      </c>
      <c r="I222">
        <v>4</v>
      </c>
      <c r="J222">
        <v>2</v>
      </c>
      <c r="L222">
        <v>1</v>
      </c>
      <c r="M222">
        <v>1</v>
      </c>
      <c r="N222">
        <v>0</v>
      </c>
      <c r="O222">
        <v>6</v>
      </c>
      <c r="P222">
        <v>3</v>
      </c>
      <c r="Q222">
        <v>1</v>
      </c>
      <c r="R222">
        <v>2</v>
      </c>
      <c r="S222">
        <v>2</v>
      </c>
      <c r="T222" s="3">
        <f t="shared" si="55"/>
        <v>0.39649251626831361</v>
      </c>
      <c r="U222" s="32">
        <f t="shared" si="56"/>
        <v>0.84420266961423651</v>
      </c>
      <c r="V222" s="32">
        <f t="shared" si="57"/>
        <v>0.26360832519077404</v>
      </c>
      <c r="W222" s="32">
        <f t="shared" si="58"/>
        <v>0.80698132232978881</v>
      </c>
      <c r="X222" s="32">
        <f t="shared" si="59"/>
        <v>0.21586162773242673</v>
      </c>
      <c r="Y222" s="32">
        <f t="shared" si="60"/>
        <v>0.86866731645372852</v>
      </c>
      <c r="Z222" s="32">
        <f t="shared" si="61"/>
        <v>-0.12522426979936985</v>
      </c>
      <c r="AA222" s="32">
        <f t="shared" si="62"/>
        <v>-9.8649377643389324E-2</v>
      </c>
      <c r="AF222" s="40"/>
    </row>
    <row r="223" spans="1:32" customFormat="1" ht="14.25" hidden="1" customHeight="1" x14ac:dyDescent="0.35">
      <c r="A223" s="30">
        <f t="shared" si="54"/>
        <v>99</v>
      </c>
      <c r="B223">
        <v>339</v>
      </c>
      <c r="C223">
        <v>3</v>
      </c>
      <c r="D223">
        <v>3</v>
      </c>
      <c r="E223">
        <v>3</v>
      </c>
      <c r="F223">
        <v>3</v>
      </c>
      <c r="G223">
        <v>3</v>
      </c>
      <c r="H223">
        <v>3</v>
      </c>
      <c r="I223">
        <v>3</v>
      </c>
      <c r="J223">
        <v>2</v>
      </c>
      <c r="L223">
        <v>1</v>
      </c>
      <c r="M223">
        <v>1</v>
      </c>
      <c r="N223">
        <v>2</v>
      </c>
      <c r="O223">
        <v>6</v>
      </c>
      <c r="P223">
        <v>6</v>
      </c>
      <c r="Q223">
        <v>2</v>
      </c>
      <c r="R223">
        <v>2</v>
      </c>
      <c r="S223">
        <v>4</v>
      </c>
      <c r="T223" s="3">
        <f t="shared" si="55"/>
        <v>-0.85390171690456029</v>
      </c>
      <c r="U223" s="32">
        <f t="shared" si="56"/>
        <v>-0.95700561253682881</v>
      </c>
      <c r="V223" s="32">
        <f t="shared" si="57"/>
        <v>-0.51458870665983425</v>
      </c>
      <c r="W223" s="32">
        <f t="shared" si="58"/>
        <v>-1.0009496220281058</v>
      </c>
      <c r="X223" s="32">
        <f t="shared" si="59"/>
        <v>-0.61891576076406762</v>
      </c>
      <c r="Y223" s="32">
        <f t="shared" si="60"/>
        <v>-0.82040802109518818</v>
      </c>
      <c r="Z223" s="32">
        <f t="shared" si="61"/>
        <v>-1.0625089558734409</v>
      </c>
      <c r="AA223" s="32">
        <f t="shared" si="62"/>
        <v>-1.002935339374456</v>
      </c>
      <c r="AF223" s="40"/>
    </row>
    <row r="224" spans="1:32" customFormat="1" ht="14.25" hidden="1" customHeight="1" x14ac:dyDescent="0.35">
      <c r="A224" s="30">
        <f t="shared" si="54"/>
        <v>99</v>
      </c>
      <c r="B224">
        <v>347</v>
      </c>
      <c r="C224">
        <v>5</v>
      </c>
      <c r="D224">
        <v>1</v>
      </c>
      <c r="E224">
        <v>5</v>
      </c>
      <c r="F224">
        <v>1</v>
      </c>
      <c r="G224">
        <v>5</v>
      </c>
      <c r="H224">
        <v>4</v>
      </c>
      <c r="I224">
        <v>5</v>
      </c>
      <c r="J224">
        <v>1</v>
      </c>
      <c r="K224">
        <v>1</v>
      </c>
      <c r="O224">
        <v>6</v>
      </c>
      <c r="P224">
        <v>1</v>
      </c>
      <c r="Q224">
        <v>1</v>
      </c>
      <c r="R224">
        <v>1</v>
      </c>
      <c r="S224">
        <v>1</v>
      </c>
      <c r="T224" s="3">
        <f t="shared" si="55"/>
        <v>0.27350818869407589</v>
      </c>
      <c r="U224" s="32">
        <f t="shared" si="56"/>
        <v>0.84420266961423651</v>
      </c>
      <c r="V224" s="32">
        <f t="shared" si="57"/>
        <v>1.0418053570413823</v>
      </c>
      <c r="W224" s="32">
        <f t="shared" si="58"/>
        <v>0.80698132232978881</v>
      </c>
      <c r="X224" s="32">
        <f t="shared" si="59"/>
        <v>1.0506390162289212</v>
      </c>
      <c r="Y224" s="32">
        <f t="shared" si="60"/>
        <v>-2.509483358644105</v>
      </c>
      <c r="Z224" s="32">
        <f t="shared" si="61"/>
        <v>-0.12522426979936985</v>
      </c>
      <c r="AA224" s="32">
        <f t="shared" si="62"/>
        <v>0.80563658408767735</v>
      </c>
      <c r="AF224" s="40"/>
    </row>
    <row r="225" spans="1:32" customFormat="1" ht="14.25" hidden="1" customHeight="1" x14ac:dyDescent="0.35">
      <c r="A225" s="30">
        <f t="shared" si="54"/>
        <v>99</v>
      </c>
      <c r="B225">
        <v>359</v>
      </c>
      <c r="C225">
        <v>5</v>
      </c>
      <c r="D225">
        <v>3</v>
      </c>
      <c r="E225">
        <v>3</v>
      </c>
      <c r="F225">
        <v>3</v>
      </c>
      <c r="G225">
        <v>3</v>
      </c>
      <c r="H225">
        <v>5</v>
      </c>
      <c r="I225">
        <v>5</v>
      </c>
      <c r="J225">
        <v>3</v>
      </c>
      <c r="L225">
        <v>2</v>
      </c>
      <c r="O225">
        <v>5</v>
      </c>
      <c r="P225">
        <v>1</v>
      </c>
      <c r="Q225">
        <v>2</v>
      </c>
      <c r="R225">
        <v>4</v>
      </c>
      <c r="S225">
        <v>2</v>
      </c>
      <c r="T225" s="3">
        <f t="shared" si="55"/>
        <v>-7.0423205795797292E-2</v>
      </c>
      <c r="U225" s="32">
        <f t="shared" si="56"/>
        <v>0.84420266961423651</v>
      </c>
      <c r="V225" s="32">
        <f t="shared" si="57"/>
        <v>-0.51458870665983425</v>
      </c>
      <c r="W225" s="32">
        <f t="shared" si="58"/>
        <v>-1.0009496220281058</v>
      </c>
      <c r="X225" s="32">
        <f t="shared" si="59"/>
        <v>-0.61891576076406762</v>
      </c>
      <c r="Y225" s="32">
        <f t="shared" si="60"/>
        <v>-0.82040802109518818</v>
      </c>
      <c r="Z225" s="32">
        <f t="shared" si="61"/>
        <v>0.81206041627470116</v>
      </c>
      <c r="AA225" s="32">
        <f t="shared" si="62"/>
        <v>0.80563658408767735</v>
      </c>
      <c r="AF225" s="40"/>
    </row>
    <row r="226" spans="1:32" customFormat="1" ht="14.25" hidden="1" customHeight="1" x14ac:dyDescent="0.35">
      <c r="A226" s="30">
        <f t="shared" si="54"/>
        <v>99</v>
      </c>
      <c r="B226">
        <v>365</v>
      </c>
      <c r="C226">
        <v>1</v>
      </c>
      <c r="D226">
        <v>4</v>
      </c>
      <c r="E226">
        <v>5</v>
      </c>
      <c r="F226">
        <v>3</v>
      </c>
      <c r="G226">
        <v>2</v>
      </c>
      <c r="H226">
        <v>3</v>
      </c>
      <c r="I226">
        <v>4</v>
      </c>
      <c r="J226">
        <v>1</v>
      </c>
      <c r="L226">
        <v>2</v>
      </c>
      <c r="M226">
        <v>1</v>
      </c>
      <c r="N226">
        <v>2</v>
      </c>
      <c r="O226">
        <v>6</v>
      </c>
      <c r="P226">
        <v>5</v>
      </c>
      <c r="Q226">
        <v>1</v>
      </c>
      <c r="R226">
        <v>2</v>
      </c>
      <c r="S226">
        <v>2</v>
      </c>
      <c r="T226" s="3">
        <f t="shared" si="55"/>
        <v>-0.71428039392431075</v>
      </c>
      <c r="U226" s="32">
        <f t="shared" si="56"/>
        <v>-2.758213894687894</v>
      </c>
      <c r="V226" s="32">
        <f t="shared" si="57"/>
        <v>-1.2927857385104427</v>
      </c>
      <c r="W226" s="32">
        <f t="shared" si="58"/>
        <v>0.80698132232978881</v>
      </c>
      <c r="X226" s="32">
        <f t="shared" si="59"/>
        <v>-0.61891576076406762</v>
      </c>
      <c r="Y226" s="32">
        <f t="shared" si="60"/>
        <v>2.4129647679270151E-2</v>
      </c>
      <c r="Z226" s="32">
        <f t="shared" si="61"/>
        <v>-1.0625089558734409</v>
      </c>
      <c r="AA226" s="32">
        <f t="shared" si="62"/>
        <v>-9.8649377643389324E-2</v>
      </c>
      <c r="AF226" s="40"/>
    </row>
    <row r="227" spans="1:32" customFormat="1" ht="14.25" hidden="1" customHeight="1" x14ac:dyDescent="0.35">
      <c r="A227" s="30">
        <f t="shared" si="54"/>
        <v>99</v>
      </c>
      <c r="B227">
        <v>369</v>
      </c>
      <c r="C227">
        <v>5</v>
      </c>
      <c r="D227">
        <v>4</v>
      </c>
      <c r="E227">
        <v>4</v>
      </c>
      <c r="F227">
        <v>2</v>
      </c>
      <c r="G227">
        <v>2</v>
      </c>
      <c r="H227">
        <v>4</v>
      </c>
      <c r="I227">
        <v>5</v>
      </c>
      <c r="J227">
        <v>1</v>
      </c>
      <c r="K227">
        <v>1</v>
      </c>
      <c r="L227">
        <v>1</v>
      </c>
      <c r="O227">
        <v>6</v>
      </c>
      <c r="P227">
        <v>6</v>
      </c>
      <c r="Q227">
        <v>1</v>
      </c>
      <c r="R227">
        <v>2</v>
      </c>
      <c r="S227">
        <v>3</v>
      </c>
      <c r="T227" s="3">
        <f t="shared" si="55"/>
        <v>5.3548052993519966E-2</v>
      </c>
      <c r="U227" s="32">
        <f t="shared" si="56"/>
        <v>0.84420266961423651</v>
      </c>
      <c r="V227" s="32">
        <f t="shared" si="57"/>
        <v>-1.2927857385104427</v>
      </c>
      <c r="W227" s="32">
        <f t="shared" si="58"/>
        <v>-9.6984149849158471E-2</v>
      </c>
      <c r="X227" s="32">
        <f t="shared" si="59"/>
        <v>0.21586162773242673</v>
      </c>
      <c r="Y227" s="32">
        <f t="shared" si="60"/>
        <v>2.4129647679270151E-2</v>
      </c>
      <c r="Z227" s="32">
        <f t="shared" si="61"/>
        <v>-0.12522426979936985</v>
      </c>
      <c r="AA227" s="32">
        <f t="shared" si="62"/>
        <v>0.80563658408767735</v>
      </c>
      <c r="AF227" s="40"/>
    </row>
    <row r="228" spans="1:32" customFormat="1" ht="14.25" hidden="1" customHeight="1" x14ac:dyDescent="0.35">
      <c r="A228" s="30">
        <f t="shared" si="54"/>
        <v>99</v>
      </c>
      <c r="B228">
        <v>377</v>
      </c>
      <c r="C228">
        <v>4</v>
      </c>
      <c r="D228">
        <v>1</v>
      </c>
      <c r="E228">
        <v>4</v>
      </c>
      <c r="F228">
        <v>1</v>
      </c>
      <c r="G228">
        <v>1</v>
      </c>
      <c r="H228">
        <v>4</v>
      </c>
      <c r="I228">
        <v>1</v>
      </c>
      <c r="J228">
        <v>2</v>
      </c>
      <c r="K228">
        <v>1</v>
      </c>
      <c r="O228">
        <v>6</v>
      </c>
      <c r="P228">
        <v>3</v>
      </c>
      <c r="Q228">
        <v>1</v>
      </c>
      <c r="R228">
        <v>2</v>
      </c>
      <c r="S228">
        <v>2</v>
      </c>
      <c r="T228" s="3">
        <f t="shared" si="55"/>
        <v>-1.8429352031768813E-2</v>
      </c>
      <c r="U228" s="32">
        <f t="shared" si="56"/>
        <v>-5.6401471461296142E-2</v>
      </c>
      <c r="V228" s="32">
        <f t="shared" si="57"/>
        <v>1.0418053570413823</v>
      </c>
      <c r="W228" s="32">
        <f t="shared" si="58"/>
        <v>-9.6984149849158471E-2</v>
      </c>
      <c r="X228" s="32">
        <f t="shared" si="59"/>
        <v>1.0506390162289212</v>
      </c>
      <c r="Y228" s="32">
        <f t="shared" si="60"/>
        <v>0.86866731645372852</v>
      </c>
      <c r="Z228" s="32">
        <f t="shared" si="61"/>
        <v>-0.12522426979936985</v>
      </c>
      <c r="AA228" s="32">
        <f t="shared" si="62"/>
        <v>-2.8115072628365891</v>
      </c>
      <c r="AF228" s="40"/>
    </row>
    <row r="229" spans="1:32" customFormat="1" ht="14.25" hidden="1" customHeight="1" x14ac:dyDescent="0.35">
      <c r="A229" s="30">
        <f t="shared" si="54"/>
        <v>99</v>
      </c>
      <c r="B229">
        <v>380</v>
      </c>
      <c r="C229">
        <v>3</v>
      </c>
      <c r="D229">
        <v>1</v>
      </c>
      <c r="E229">
        <v>2</v>
      </c>
      <c r="F229">
        <v>5</v>
      </c>
      <c r="G229">
        <v>3</v>
      </c>
      <c r="H229">
        <v>5</v>
      </c>
      <c r="I229">
        <v>4</v>
      </c>
      <c r="J229">
        <v>1</v>
      </c>
      <c r="L229">
        <v>1</v>
      </c>
      <c r="M229">
        <v>1</v>
      </c>
      <c r="N229">
        <v>0</v>
      </c>
      <c r="O229">
        <v>6</v>
      </c>
      <c r="P229">
        <v>4</v>
      </c>
      <c r="Q229">
        <v>1</v>
      </c>
      <c r="R229">
        <v>2</v>
      </c>
      <c r="S229">
        <v>2</v>
      </c>
      <c r="T229" s="3">
        <f t="shared" si="55"/>
        <v>-0.60222612427477618</v>
      </c>
      <c r="U229" s="32">
        <f t="shared" si="56"/>
        <v>-0.95700561253682881</v>
      </c>
      <c r="V229" s="32">
        <f t="shared" si="57"/>
        <v>1.0418053570413823</v>
      </c>
      <c r="W229" s="32">
        <f t="shared" si="58"/>
        <v>-1.904915094207053</v>
      </c>
      <c r="X229" s="32">
        <f t="shared" si="59"/>
        <v>-2.2884705377570564</v>
      </c>
      <c r="Y229" s="32">
        <f t="shared" si="60"/>
        <v>-0.82040802109518818</v>
      </c>
      <c r="Z229" s="32">
        <f t="shared" si="61"/>
        <v>0.81206041627470116</v>
      </c>
      <c r="AA229" s="32">
        <f t="shared" si="62"/>
        <v>-9.8649377643389324E-2</v>
      </c>
      <c r="AF229" s="40"/>
    </row>
    <row r="230" spans="1:32" customFormat="1" ht="14.25" hidden="1" customHeight="1" x14ac:dyDescent="0.35">
      <c r="A230" s="30">
        <f t="shared" si="54"/>
        <v>99</v>
      </c>
      <c r="B230">
        <v>386</v>
      </c>
      <c r="C230">
        <v>4</v>
      </c>
      <c r="D230">
        <v>2</v>
      </c>
      <c r="E230">
        <v>5</v>
      </c>
      <c r="F230">
        <v>2</v>
      </c>
      <c r="G230">
        <v>2</v>
      </c>
      <c r="H230">
        <v>4</v>
      </c>
      <c r="I230">
        <v>5</v>
      </c>
      <c r="J230">
        <v>2</v>
      </c>
      <c r="L230">
        <v>2</v>
      </c>
      <c r="M230">
        <v>2</v>
      </c>
      <c r="N230">
        <v>15</v>
      </c>
      <c r="O230">
        <v>6</v>
      </c>
      <c r="P230">
        <v>5</v>
      </c>
      <c r="Q230">
        <v>2</v>
      </c>
      <c r="R230">
        <v>2</v>
      </c>
      <c r="S230">
        <v>2</v>
      </c>
      <c r="T230" s="3">
        <f t="shared" si="55"/>
        <v>0.27637025225132444</v>
      </c>
      <c r="U230" s="32">
        <f t="shared" si="56"/>
        <v>-5.6401471461296142E-2</v>
      </c>
      <c r="V230" s="32">
        <f t="shared" si="57"/>
        <v>0.26360832519077404</v>
      </c>
      <c r="W230" s="32">
        <f t="shared" si="58"/>
        <v>0.80698132232978881</v>
      </c>
      <c r="X230" s="32">
        <f t="shared" si="59"/>
        <v>0.21586162773242673</v>
      </c>
      <c r="Y230" s="32">
        <f t="shared" si="60"/>
        <v>2.4129647679270151E-2</v>
      </c>
      <c r="Z230" s="32">
        <f t="shared" si="61"/>
        <v>-0.12522426979936985</v>
      </c>
      <c r="AA230" s="32">
        <f t="shared" si="62"/>
        <v>0.80563658408767735</v>
      </c>
      <c r="AF230" s="40"/>
    </row>
    <row r="231" spans="1:32" customFormat="1" ht="14.25" hidden="1" customHeight="1" x14ac:dyDescent="0.35">
      <c r="A231" s="30">
        <f t="shared" si="54"/>
        <v>99</v>
      </c>
      <c r="B231">
        <v>397</v>
      </c>
      <c r="C231">
        <v>5</v>
      </c>
      <c r="D231">
        <v>1</v>
      </c>
      <c r="E231">
        <v>5</v>
      </c>
      <c r="F231">
        <v>1</v>
      </c>
      <c r="H231">
        <v>5</v>
      </c>
      <c r="I231">
        <v>5</v>
      </c>
      <c r="J231">
        <v>1</v>
      </c>
      <c r="K231">
        <v>1</v>
      </c>
      <c r="L231">
        <v>1</v>
      </c>
      <c r="O231">
        <v>6</v>
      </c>
      <c r="P231">
        <v>4</v>
      </c>
      <c r="Q231">
        <v>2</v>
      </c>
      <c r="R231">
        <v>2</v>
      </c>
      <c r="S231">
        <v>2</v>
      </c>
      <c r="T231" s="3">
        <f t="shared" si="55"/>
        <v>1.0106471929721277</v>
      </c>
      <c r="U231" s="32">
        <f t="shared" si="56"/>
        <v>0.84420266961423651</v>
      </c>
      <c r="V231" s="32">
        <f t="shared" si="57"/>
        <v>1.0418053570413823</v>
      </c>
      <c r="W231" s="32">
        <f t="shared" si="58"/>
        <v>0.80698132232978881</v>
      </c>
      <c r="X231" s="32">
        <f t="shared" si="59"/>
        <v>1.0506390162289212</v>
      </c>
      <c r="Y231" s="32">
        <f t="shared" si="60"/>
        <v>1.7132049852281868</v>
      </c>
      <c r="Z231" s="32">
        <f t="shared" si="61"/>
        <v>0.81206041627470116</v>
      </c>
      <c r="AA231" s="32">
        <f t="shared" si="62"/>
        <v>0.80563658408767735</v>
      </c>
      <c r="AF231" s="40"/>
    </row>
    <row r="232" spans="1:32" customFormat="1" ht="14.25" hidden="1" customHeight="1" x14ac:dyDescent="0.35">
      <c r="A232" s="30">
        <f t="shared" si="54"/>
        <v>99</v>
      </c>
      <c r="B232">
        <v>401</v>
      </c>
      <c r="C232">
        <v>2</v>
      </c>
      <c r="D232">
        <v>1</v>
      </c>
      <c r="E232">
        <v>2</v>
      </c>
      <c r="F232">
        <v>2</v>
      </c>
      <c r="G232">
        <v>2</v>
      </c>
      <c r="H232">
        <v>2</v>
      </c>
      <c r="I232">
        <v>3</v>
      </c>
      <c r="J232">
        <v>2</v>
      </c>
      <c r="K232">
        <v>2</v>
      </c>
      <c r="O232">
        <v>6</v>
      </c>
      <c r="P232">
        <v>6</v>
      </c>
      <c r="Q232">
        <v>4</v>
      </c>
      <c r="R232">
        <v>1</v>
      </c>
      <c r="S232">
        <v>2</v>
      </c>
      <c r="T232" s="3">
        <f t="shared" si="55"/>
        <v>-0.78335102809832891</v>
      </c>
      <c r="U232" s="32">
        <f t="shared" si="56"/>
        <v>-1.8576097536123615</v>
      </c>
      <c r="V232" s="32">
        <f t="shared" si="57"/>
        <v>1.0418053570413823</v>
      </c>
      <c r="W232" s="32">
        <f t="shared" si="58"/>
        <v>-1.904915094207053</v>
      </c>
      <c r="X232" s="32">
        <f t="shared" si="59"/>
        <v>0.21586162773242673</v>
      </c>
      <c r="Y232" s="32">
        <f t="shared" si="60"/>
        <v>2.4129647679270151E-2</v>
      </c>
      <c r="Z232" s="32">
        <f t="shared" si="61"/>
        <v>-1.9997936419475117</v>
      </c>
      <c r="AA232" s="32">
        <f t="shared" si="62"/>
        <v>-1.002935339374456</v>
      </c>
      <c r="AF232" s="40"/>
    </row>
    <row r="233" spans="1:32" customFormat="1" ht="14.25" hidden="1" customHeight="1" x14ac:dyDescent="0.35">
      <c r="A233" s="30">
        <f t="shared" si="54"/>
        <v>99</v>
      </c>
      <c r="B233">
        <v>405</v>
      </c>
      <c r="C233">
        <v>5</v>
      </c>
      <c r="D233">
        <v>1</v>
      </c>
      <c r="E233">
        <v>5</v>
      </c>
      <c r="F233">
        <v>1</v>
      </c>
      <c r="G233">
        <v>1</v>
      </c>
      <c r="H233">
        <v>5</v>
      </c>
      <c r="I233">
        <v>5</v>
      </c>
      <c r="J233">
        <v>3</v>
      </c>
      <c r="L233">
        <v>3</v>
      </c>
      <c r="M233">
        <v>3</v>
      </c>
      <c r="N233">
        <v>0</v>
      </c>
      <c r="O233">
        <v>6</v>
      </c>
      <c r="P233">
        <v>5</v>
      </c>
      <c r="Q233">
        <v>1</v>
      </c>
      <c r="R233">
        <v>1</v>
      </c>
      <c r="S233">
        <v>2</v>
      </c>
      <c r="T233" s="3">
        <f t="shared" si="55"/>
        <v>0.88999895457577671</v>
      </c>
      <c r="U233" s="32">
        <f t="shared" si="56"/>
        <v>0.84420266961423651</v>
      </c>
      <c r="V233" s="32">
        <f t="shared" si="57"/>
        <v>1.0418053570413823</v>
      </c>
      <c r="W233" s="32">
        <f t="shared" si="58"/>
        <v>0.80698132232978881</v>
      </c>
      <c r="X233" s="32">
        <f t="shared" si="59"/>
        <v>1.0506390162289212</v>
      </c>
      <c r="Y233" s="32">
        <f t="shared" si="60"/>
        <v>0.86866731645372852</v>
      </c>
      <c r="Z233" s="32">
        <f t="shared" si="61"/>
        <v>0.81206041627470116</v>
      </c>
      <c r="AA233" s="32">
        <f t="shared" si="62"/>
        <v>0.80563658408767735</v>
      </c>
      <c r="AF233" s="40"/>
    </row>
    <row r="234" spans="1:32" customFormat="1" ht="14.25" hidden="1" customHeight="1" x14ac:dyDescent="0.35">
      <c r="A234" s="30">
        <f t="shared" si="54"/>
        <v>99</v>
      </c>
      <c r="B234">
        <v>412</v>
      </c>
      <c r="C234">
        <v>3</v>
      </c>
      <c r="D234">
        <v>1</v>
      </c>
      <c r="E234">
        <v>5</v>
      </c>
      <c r="F234">
        <v>2</v>
      </c>
      <c r="G234">
        <v>1</v>
      </c>
      <c r="H234">
        <v>2</v>
      </c>
      <c r="I234">
        <v>5</v>
      </c>
      <c r="J234">
        <v>2</v>
      </c>
      <c r="L234">
        <v>1</v>
      </c>
      <c r="M234">
        <v>2</v>
      </c>
      <c r="N234">
        <v>5</v>
      </c>
      <c r="O234">
        <v>6</v>
      </c>
      <c r="P234">
        <v>1</v>
      </c>
      <c r="Q234">
        <v>3</v>
      </c>
      <c r="R234">
        <v>2</v>
      </c>
      <c r="S234">
        <v>1</v>
      </c>
      <c r="T234" s="3">
        <f t="shared" si="55"/>
        <v>0.11173613616580903</v>
      </c>
      <c r="U234" s="32">
        <f t="shared" si="56"/>
        <v>-0.95700561253682881</v>
      </c>
      <c r="V234" s="32">
        <f t="shared" si="57"/>
        <v>1.0418053570413823</v>
      </c>
      <c r="W234" s="32">
        <f t="shared" si="58"/>
        <v>0.80698132232978881</v>
      </c>
      <c r="X234" s="32">
        <f t="shared" si="59"/>
        <v>0.21586162773242673</v>
      </c>
      <c r="Y234" s="32">
        <f t="shared" si="60"/>
        <v>0.86866731645372852</v>
      </c>
      <c r="Z234" s="32">
        <f t="shared" si="61"/>
        <v>-1.9997936419475117</v>
      </c>
      <c r="AA234" s="32">
        <f t="shared" si="62"/>
        <v>0.80563658408767735</v>
      </c>
      <c r="AF234" s="40"/>
    </row>
    <row r="235" spans="1:32" customFormat="1" ht="14.25" hidden="1" customHeight="1" x14ac:dyDescent="0.35">
      <c r="A235" s="30">
        <f t="shared" si="54"/>
        <v>99</v>
      </c>
      <c r="B235">
        <v>421</v>
      </c>
      <c r="C235">
        <v>5</v>
      </c>
      <c r="D235">
        <v>1</v>
      </c>
      <c r="E235">
        <v>5</v>
      </c>
      <c r="F235">
        <v>1</v>
      </c>
      <c r="G235">
        <v>1</v>
      </c>
      <c r="H235">
        <v>5</v>
      </c>
      <c r="I235">
        <v>5</v>
      </c>
      <c r="J235">
        <v>2</v>
      </c>
      <c r="L235">
        <v>1</v>
      </c>
      <c r="O235">
        <v>6</v>
      </c>
      <c r="P235">
        <v>1</v>
      </c>
      <c r="Q235">
        <v>1</v>
      </c>
      <c r="R235">
        <v>4</v>
      </c>
      <c r="S235">
        <v>1</v>
      </c>
      <c r="T235" s="3">
        <f t="shared" si="55"/>
        <v>0.88999895457577671</v>
      </c>
      <c r="U235" s="32">
        <f t="shared" si="56"/>
        <v>0.84420266961423651</v>
      </c>
      <c r="V235" s="32">
        <f t="shared" si="57"/>
        <v>1.0418053570413823</v>
      </c>
      <c r="W235" s="32">
        <f t="shared" si="58"/>
        <v>0.80698132232978881</v>
      </c>
      <c r="X235" s="32">
        <f t="shared" si="59"/>
        <v>1.0506390162289212</v>
      </c>
      <c r="Y235" s="32">
        <f t="shared" si="60"/>
        <v>0.86866731645372852</v>
      </c>
      <c r="Z235" s="32">
        <f t="shared" si="61"/>
        <v>0.81206041627470116</v>
      </c>
      <c r="AA235" s="32">
        <f t="shared" si="62"/>
        <v>0.80563658408767735</v>
      </c>
      <c r="AF235" s="40"/>
    </row>
    <row r="236" spans="1:32" customFormat="1" ht="14.25" hidden="1" customHeight="1" x14ac:dyDescent="0.35">
      <c r="A236" s="30">
        <f t="shared" si="54"/>
        <v>99</v>
      </c>
      <c r="B236">
        <v>424</v>
      </c>
      <c r="C236">
        <v>5</v>
      </c>
      <c r="D236">
        <v>3</v>
      </c>
      <c r="E236">
        <v>3</v>
      </c>
      <c r="F236">
        <v>1</v>
      </c>
      <c r="G236">
        <v>3</v>
      </c>
      <c r="H236">
        <v>3</v>
      </c>
      <c r="I236">
        <v>3</v>
      </c>
      <c r="J236">
        <v>2</v>
      </c>
      <c r="L236">
        <v>1</v>
      </c>
      <c r="O236">
        <v>5</v>
      </c>
      <c r="P236">
        <v>2</v>
      </c>
      <c r="Q236">
        <v>1</v>
      </c>
      <c r="R236">
        <v>4</v>
      </c>
      <c r="S236">
        <v>2</v>
      </c>
      <c r="T236" s="3">
        <f t="shared" si="55"/>
        <v>-0.35807842274112389</v>
      </c>
      <c r="U236" s="32">
        <f t="shared" si="56"/>
        <v>0.84420266961423651</v>
      </c>
      <c r="V236" s="32">
        <f t="shared" si="57"/>
        <v>-0.51458870665983425</v>
      </c>
      <c r="W236" s="32">
        <f t="shared" si="58"/>
        <v>-1.0009496220281058</v>
      </c>
      <c r="X236" s="32">
        <f t="shared" si="59"/>
        <v>1.0506390162289212</v>
      </c>
      <c r="Y236" s="32">
        <f t="shared" si="60"/>
        <v>-0.82040802109518818</v>
      </c>
      <c r="Z236" s="32">
        <f t="shared" si="61"/>
        <v>-1.0625089558734409</v>
      </c>
      <c r="AA236" s="32">
        <f t="shared" si="62"/>
        <v>-1.002935339374456</v>
      </c>
      <c r="AF236" s="40"/>
    </row>
    <row r="237" spans="1:32" customFormat="1" ht="14.25" hidden="1" customHeight="1" x14ac:dyDescent="0.35">
      <c r="A237" s="30">
        <f t="shared" si="54"/>
        <v>99</v>
      </c>
      <c r="B237">
        <v>431</v>
      </c>
      <c r="C237">
        <v>4</v>
      </c>
      <c r="D237">
        <v>2</v>
      </c>
      <c r="E237">
        <v>4</v>
      </c>
      <c r="F237">
        <v>2</v>
      </c>
      <c r="G237">
        <v>2</v>
      </c>
      <c r="H237">
        <v>4</v>
      </c>
      <c r="I237">
        <v>2</v>
      </c>
      <c r="J237">
        <v>2</v>
      </c>
      <c r="L237">
        <v>2</v>
      </c>
      <c r="M237">
        <v>3</v>
      </c>
      <c r="N237">
        <v>0</v>
      </c>
      <c r="O237">
        <v>6</v>
      </c>
      <c r="P237">
        <v>4</v>
      </c>
      <c r="Q237">
        <v>1</v>
      </c>
      <c r="R237">
        <v>2</v>
      </c>
      <c r="S237">
        <v>2</v>
      </c>
      <c r="T237" s="3">
        <f t="shared" si="55"/>
        <v>-0.24031879880183943</v>
      </c>
      <c r="U237" s="32">
        <f t="shared" si="56"/>
        <v>-5.6401471461296142E-2</v>
      </c>
      <c r="V237" s="32">
        <f t="shared" si="57"/>
        <v>0.26360832519077404</v>
      </c>
      <c r="W237" s="32">
        <f t="shared" si="58"/>
        <v>-9.6984149849158471E-2</v>
      </c>
      <c r="X237" s="32">
        <f t="shared" si="59"/>
        <v>0.21586162773242673</v>
      </c>
      <c r="Y237" s="32">
        <f t="shared" si="60"/>
        <v>2.4129647679270151E-2</v>
      </c>
      <c r="Z237" s="32">
        <f t="shared" si="61"/>
        <v>-0.12522426979936985</v>
      </c>
      <c r="AA237" s="32">
        <f t="shared" si="62"/>
        <v>-1.9072213011055226</v>
      </c>
      <c r="AF237" s="40"/>
    </row>
    <row r="238" spans="1:32" customFormat="1" ht="14.25" hidden="1" customHeight="1" x14ac:dyDescent="0.35">
      <c r="A238" s="30">
        <f t="shared" si="54"/>
        <v>99</v>
      </c>
      <c r="B238">
        <v>435</v>
      </c>
      <c r="C238">
        <v>5</v>
      </c>
      <c r="D238">
        <v>1</v>
      </c>
      <c r="E238">
        <v>5</v>
      </c>
      <c r="F238">
        <v>1</v>
      </c>
      <c r="G238">
        <v>1</v>
      </c>
      <c r="H238">
        <v>5</v>
      </c>
      <c r="I238">
        <v>5</v>
      </c>
      <c r="J238">
        <v>2</v>
      </c>
      <c r="O238">
        <v>6</v>
      </c>
      <c r="P238">
        <v>1</v>
      </c>
      <c r="Q238">
        <v>1</v>
      </c>
      <c r="R238">
        <v>5</v>
      </c>
      <c r="S238">
        <v>1</v>
      </c>
      <c r="T238" s="3">
        <f t="shared" si="55"/>
        <v>0.88999895457577671</v>
      </c>
      <c r="U238" s="32">
        <f t="shared" si="56"/>
        <v>0.84420266961423651</v>
      </c>
      <c r="V238" s="32">
        <f t="shared" si="57"/>
        <v>1.0418053570413823</v>
      </c>
      <c r="W238" s="32">
        <f t="shared" si="58"/>
        <v>0.80698132232978881</v>
      </c>
      <c r="X238" s="32">
        <f t="shared" si="59"/>
        <v>1.0506390162289212</v>
      </c>
      <c r="Y238" s="32">
        <f t="shared" si="60"/>
        <v>0.86866731645372852</v>
      </c>
      <c r="Z238" s="32">
        <f t="shared" si="61"/>
        <v>0.81206041627470116</v>
      </c>
      <c r="AA238" s="32">
        <f t="shared" si="62"/>
        <v>0.80563658408767735</v>
      </c>
      <c r="AF238" s="40"/>
    </row>
    <row r="239" spans="1:32" customFormat="1" ht="14.25" hidden="1" customHeight="1" x14ac:dyDescent="0.35">
      <c r="A239" s="30">
        <f t="shared" si="54"/>
        <v>99</v>
      </c>
      <c r="B239">
        <v>444</v>
      </c>
      <c r="C239">
        <v>5</v>
      </c>
      <c r="D239">
        <v>1</v>
      </c>
      <c r="E239">
        <v>2</v>
      </c>
      <c r="F239">
        <v>5</v>
      </c>
      <c r="G239">
        <v>2</v>
      </c>
      <c r="H239">
        <v>5</v>
      </c>
      <c r="I239">
        <v>5</v>
      </c>
      <c r="J239">
        <v>2</v>
      </c>
      <c r="L239">
        <v>1</v>
      </c>
      <c r="M239">
        <v>2</v>
      </c>
      <c r="N239">
        <v>0</v>
      </c>
      <c r="O239">
        <v>6</v>
      </c>
      <c r="P239">
        <v>6</v>
      </c>
      <c r="Q239">
        <v>2</v>
      </c>
      <c r="R239">
        <v>5</v>
      </c>
      <c r="S239">
        <v>1</v>
      </c>
      <c r="T239" s="3">
        <f t="shared" si="55"/>
        <v>-9.5078708180977384E-2</v>
      </c>
      <c r="U239" s="32">
        <f t="shared" si="56"/>
        <v>0.84420266961423651</v>
      </c>
      <c r="V239" s="32">
        <f t="shared" si="57"/>
        <v>1.0418053570413823</v>
      </c>
      <c r="W239" s="32">
        <f t="shared" si="58"/>
        <v>-1.904915094207053</v>
      </c>
      <c r="X239" s="32">
        <f t="shared" si="59"/>
        <v>-2.2884705377570564</v>
      </c>
      <c r="Y239" s="32">
        <f t="shared" si="60"/>
        <v>2.4129647679270151E-2</v>
      </c>
      <c r="Z239" s="32">
        <f t="shared" si="61"/>
        <v>0.81206041627470116</v>
      </c>
      <c r="AA239" s="32">
        <f t="shared" si="62"/>
        <v>0.80563658408767735</v>
      </c>
      <c r="AF239" s="40"/>
    </row>
    <row r="240" spans="1:32" customFormat="1" ht="14.25" hidden="1" customHeight="1" x14ac:dyDescent="0.35">
      <c r="A240" s="30">
        <f t="shared" si="54"/>
        <v>99</v>
      </c>
      <c r="B240">
        <v>448</v>
      </c>
      <c r="C240">
        <v>5</v>
      </c>
      <c r="F240">
        <v>1</v>
      </c>
      <c r="G240">
        <v>3</v>
      </c>
      <c r="H240">
        <v>4</v>
      </c>
      <c r="I240">
        <v>4</v>
      </c>
      <c r="J240">
        <v>1</v>
      </c>
      <c r="L240">
        <v>1</v>
      </c>
      <c r="M240">
        <v>1</v>
      </c>
      <c r="N240">
        <v>0</v>
      </c>
      <c r="O240">
        <v>6</v>
      </c>
      <c r="P240">
        <v>4</v>
      </c>
      <c r="Q240">
        <v>3</v>
      </c>
      <c r="R240">
        <v>2</v>
      </c>
      <c r="S240">
        <v>3</v>
      </c>
      <c r="T240" s="3">
        <f t="shared" si="55"/>
        <v>-0.14889766176682093</v>
      </c>
      <c r="U240" s="32">
        <f t="shared" si="56"/>
        <v>0.84420266961423651</v>
      </c>
      <c r="V240" s="32">
        <f t="shared" si="57"/>
        <v>1.8200023888919907</v>
      </c>
      <c r="W240" s="32">
        <f t="shared" si="58"/>
        <v>-3.7128460385649475</v>
      </c>
      <c r="X240" s="32">
        <f t="shared" si="59"/>
        <v>1.0506390162289212</v>
      </c>
      <c r="Y240" s="32">
        <f t="shared" si="60"/>
        <v>-0.82040802109518818</v>
      </c>
      <c r="Z240" s="32">
        <f t="shared" si="61"/>
        <v>-0.12522426979936985</v>
      </c>
      <c r="AA240" s="32">
        <f t="shared" si="62"/>
        <v>-9.8649377643389324E-2</v>
      </c>
      <c r="AF240" s="40"/>
    </row>
    <row r="241" spans="1:32" customFormat="1" ht="14.25" hidden="1" customHeight="1" x14ac:dyDescent="0.35">
      <c r="A241" s="30">
        <f t="shared" si="54"/>
        <v>99</v>
      </c>
      <c r="B241">
        <v>453</v>
      </c>
      <c r="C241">
        <v>5</v>
      </c>
      <c r="D241">
        <v>3</v>
      </c>
      <c r="E241">
        <v>5</v>
      </c>
      <c r="F241">
        <v>2</v>
      </c>
      <c r="G241">
        <v>2</v>
      </c>
      <c r="H241">
        <v>5</v>
      </c>
      <c r="I241">
        <v>5</v>
      </c>
      <c r="J241">
        <v>2</v>
      </c>
      <c r="L241">
        <v>2</v>
      </c>
      <c r="M241">
        <v>1</v>
      </c>
      <c r="N241">
        <v>2</v>
      </c>
      <c r="O241">
        <v>6</v>
      </c>
      <c r="P241">
        <v>4</v>
      </c>
      <c r="Q241">
        <v>1</v>
      </c>
      <c r="R241">
        <v>3</v>
      </c>
      <c r="S241">
        <v>1</v>
      </c>
      <c r="T241" s="3">
        <f t="shared" si="55"/>
        <v>0.42775479443689524</v>
      </c>
      <c r="U241" s="32">
        <f t="shared" si="56"/>
        <v>0.84420266961423651</v>
      </c>
      <c r="V241" s="32">
        <f t="shared" si="57"/>
        <v>-0.51458870665983425</v>
      </c>
      <c r="W241" s="32">
        <f t="shared" si="58"/>
        <v>0.80698132232978881</v>
      </c>
      <c r="X241" s="32">
        <f t="shared" si="59"/>
        <v>0.21586162773242673</v>
      </c>
      <c r="Y241" s="32">
        <f t="shared" si="60"/>
        <v>2.4129647679270151E-2</v>
      </c>
      <c r="Z241" s="32">
        <f t="shared" si="61"/>
        <v>0.81206041627470116</v>
      </c>
      <c r="AA241" s="32">
        <f t="shared" si="62"/>
        <v>0.80563658408767735</v>
      </c>
      <c r="AF241" s="40"/>
    </row>
    <row r="242" spans="1:32" customFormat="1" ht="14.25" hidden="1" customHeight="1" x14ac:dyDescent="0.35">
      <c r="A242" s="30">
        <f t="shared" si="54"/>
        <v>99</v>
      </c>
      <c r="B242">
        <v>456</v>
      </c>
      <c r="C242">
        <v>5</v>
      </c>
      <c r="D242">
        <v>1</v>
      </c>
      <c r="E242">
        <v>5</v>
      </c>
      <c r="F242">
        <v>1</v>
      </c>
      <c r="G242">
        <v>1</v>
      </c>
      <c r="H242">
        <v>4</v>
      </c>
      <c r="I242">
        <v>4</v>
      </c>
      <c r="J242">
        <v>3</v>
      </c>
      <c r="L242">
        <v>1</v>
      </c>
      <c r="M242">
        <v>1</v>
      </c>
      <c r="N242">
        <v>25</v>
      </c>
      <c r="O242">
        <v>5</v>
      </c>
      <c r="P242">
        <v>4</v>
      </c>
      <c r="Q242">
        <v>2</v>
      </c>
      <c r="R242">
        <v>2</v>
      </c>
      <c r="S242">
        <v>2</v>
      </c>
      <c r="T242" s="3">
        <f t="shared" si="55"/>
        <v>0.6269174334607569</v>
      </c>
      <c r="U242" s="32">
        <f t="shared" si="56"/>
        <v>0.84420266961423651</v>
      </c>
      <c r="V242" s="32">
        <f t="shared" si="57"/>
        <v>1.0418053570413823</v>
      </c>
      <c r="W242" s="32">
        <f t="shared" si="58"/>
        <v>0.80698132232978881</v>
      </c>
      <c r="X242" s="32">
        <f t="shared" si="59"/>
        <v>1.0506390162289212</v>
      </c>
      <c r="Y242" s="32">
        <f t="shared" si="60"/>
        <v>0.86866731645372852</v>
      </c>
      <c r="Z242" s="32">
        <f t="shared" si="61"/>
        <v>-0.12522426979936985</v>
      </c>
      <c r="AA242" s="32">
        <f t="shared" si="62"/>
        <v>-9.8649377643389324E-2</v>
      </c>
      <c r="AF242" s="40"/>
    </row>
    <row r="243" spans="1:32" customFormat="1" ht="14.25" hidden="1" customHeight="1" x14ac:dyDescent="0.35">
      <c r="A243" s="30">
        <f t="shared" si="54"/>
        <v>99</v>
      </c>
      <c r="B243">
        <v>460</v>
      </c>
      <c r="C243">
        <v>5</v>
      </c>
      <c r="D243">
        <v>5</v>
      </c>
      <c r="E243">
        <v>5</v>
      </c>
      <c r="F243">
        <v>3</v>
      </c>
      <c r="G243">
        <v>3</v>
      </c>
      <c r="H243">
        <v>5</v>
      </c>
      <c r="I243">
        <v>5</v>
      </c>
      <c r="J243">
        <v>3</v>
      </c>
      <c r="O243">
        <v>6</v>
      </c>
      <c r="P243">
        <v>6</v>
      </c>
      <c r="Q243">
        <v>1</v>
      </c>
      <c r="R243">
        <v>1</v>
      </c>
      <c r="S243">
        <v>1</v>
      </c>
      <c r="T243" s="3">
        <f t="shared" si="55"/>
        <v>-3.4489365701986081E-2</v>
      </c>
      <c r="U243" s="32">
        <f t="shared" si="56"/>
        <v>0.84420266961423651</v>
      </c>
      <c r="V243" s="32">
        <f t="shared" si="57"/>
        <v>-2.0709827703610508</v>
      </c>
      <c r="W243" s="32">
        <f t="shared" si="58"/>
        <v>0.80698132232978881</v>
      </c>
      <c r="X243" s="32">
        <f t="shared" si="59"/>
        <v>-0.61891576076406762</v>
      </c>
      <c r="Y243" s="32">
        <f t="shared" si="60"/>
        <v>-0.82040802109518818</v>
      </c>
      <c r="Z243" s="32">
        <f t="shared" si="61"/>
        <v>0.81206041627470116</v>
      </c>
      <c r="AA243" s="32">
        <f t="shared" si="62"/>
        <v>0.80563658408767735</v>
      </c>
      <c r="AF243" s="40"/>
    </row>
    <row r="244" spans="1:32" customFormat="1" ht="14.25" hidden="1" customHeight="1" x14ac:dyDescent="0.35">
      <c r="A244" s="30">
        <f t="shared" si="54"/>
        <v>99</v>
      </c>
      <c r="B244">
        <v>462</v>
      </c>
      <c r="C244">
        <v>5</v>
      </c>
      <c r="D244">
        <v>4</v>
      </c>
      <c r="E244">
        <v>4</v>
      </c>
      <c r="F244">
        <v>2</v>
      </c>
      <c r="G244">
        <v>1</v>
      </c>
      <c r="H244">
        <v>5</v>
      </c>
      <c r="I244">
        <v>5</v>
      </c>
      <c r="J244">
        <v>1</v>
      </c>
      <c r="O244">
        <v>6</v>
      </c>
      <c r="P244">
        <v>5</v>
      </c>
      <c r="Q244">
        <v>2</v>
      </c>
      <c r="R244">
        <v>2</v>
      </c>
      <c r="S244">
        <v>2</v>
      </c>
      <c r="T244" s="3">
        <f t="shared" si="55"/>
        <v>0.30809410368616696</v>
      </c>
      <c r="U244" s="32">
        <f t="shared" si="56"/>
        <v>0.84420266961423651</v>
      </c>
      <c r="V244" s="32">
        <f t="shared" si="57"/>
        <v>-1.2927857385104427</v>
      </c>
      <c r="W244" s="32">
        <f t="shared" si="58"/>
        <v>-9.6984149849158471E-2</v>
      </c>
      <c r="X244" s="32">
        <f t="shared" si="59"/>
        <v>0.21586162773242673</v>
      </c>
      <c r="Y244" s="32">
        <f t="shared" si="60"/>
        <v>0.86866731645372852</v>
      </c>
      <c r="Z244" s="32">
        <f t="shared" si="61"/>
        <v>0.81206041627470116</v>
      </c>
      <c r="AA244" s="32">
        <f t="shared" si="62"/>
        <v>0.80563658408767735</v>
      </c>
      <c r="AF244" s="40"/>
    </row>
    <row r="245" spans="1:32" customFormat="1" ht="14.25" hidden="1" customHeight="1" x14ac:dyDescent="0.35">
      <c r="A245" s="30">
        <f t="shared" si="54"/>
        <v>99</v>
      </c>
      <c r="B245">
        <v>469</v>
      </c>
      <c r="C245">
        <v>3</v>
      </c>
      <c r="E245">
        <v>3</v>
      </c>
      <c r="F245">
        <v>4</v>
      </c>
      <c r="H245">
        <v>4</v>
      </c>
      <c r="I245">
        <v>5</v>
      </c>
      <c r="J245">
        <v>2</v>
      </c>
      <c r="K245">
        <v>2</v>
      </c>
      <c r="O245">
        <v>6</v>
      </c>
      <c r="Q245">
        <v>3</v>
      </c>
      <c r="R245">
        <v>3</v>
      </c>
      <c r="S245">
        <v>3</v>
      </c>
      <c r="T245" s="3">
        <f t="shared" si="55"/>
        <v>0.11456732922614118</v>
      </c>
      <c r="U245" s="32">
        <f t="shared" si="56"/>
        <v>-0.95700561253682881</v>
      </c>
      <c r="V245" s="32">
        <f t="shared" si="57"/>
        <v>1.8200023888919907</v>
      </c>
      <c r="W245" s="32">
        <f t="shared" si="58"/>
        <v>-1.0009496220281058</v>
      </c>
      <c r="X245" s="32">
        <f t="shared" si="59"/>
        <v>-1.453693149260562</v>
      </c>
      <c r="Y245" s="32">
        <f t="shared" si="60"/>
        <v>1.7132049852281868</v>
      </c>
      <c r="Z245" s="32">
        <f t="shared" si="61"/>
        <v>-0.12522426979936985</v>
      </c>
      <c r="AA245" s="32">
        <f t="shared" si="62"/>
        <v>0.80563658408767735</v>
      </c>
      <c r="AF245" s="40"/>
    </row>
    <row r="246" spans="1:32" customFormat="1" ht="14.25" hidden="1" customHeight="1" x14ac:dyDescent="0.35">
      <c r="A246" s="30">
        <f t="shared" si="54"/>
        <v>99</v>
      </c>
      <c r="B246">
        <v>482</v>
      </c>
      <c r="C246">
        <v>4</v>
      </c>
      <c r="D246">
        <v>1</v>
      </c>
      <c r="E246">
        <v>5</v>
      </c>
      <c r="F246">
        <v>3</v>
      </c>
      <c r="G246">
        <v>1</v>
      </c>
      <c r="H246">
        <v>4</v>
      </c>
      <c r="I246">
        <v>4</v>
      </c>
      <c r="J246">
        <v>1</v>
      </c>
      <c r="K246">
        <v>1</v>
      </c>
      <c r="O246">
        <v>6</v>
      </c>
      <c r="P246">
        <v>4</v>
      </c>
      <c r="Q246">
        <v>1</v>
      </c>
      <c r="R246">
        <v>2</v>
      </c>
      <c r="S246">
        <v>2</v>
      </c>
      <c r="T246" s="3">
        <f t="shared" si="55"/>
        <v>0.25975187373668235</v>
      </c>
      <c r="U246" s="32">
        <f t="shared" si="56"/>
        <v>-5.6401471461296142E-2</v>
      </c>
      <c r="V246" s="32">
        <f t="shared" si="57"/>
        <v>1.0418053570413823</v>
      </c>
      <c r="W246" s="32">
        <f t="shared" si="58"/>
        <v>0.80698132232978881</v>
      </c>
      <c r="X246" s="32">
        <f t="shared" si="59"/>
        <v>-0.61891576076406762</v>
      </c>
      <c r="Y246" s="32">
        <f t="shared" si="60"/>
        <v>0.86866731645372852</v>
      </c>
      <c r="Z246" s="32">
        <f t="shared" si="61"/>
        <v>-0.12522426979936985</v>
      </c>
      <c r="AA246" s="32">
        <f t="shared" si="62"/>
        <v>-9.8649377643389324E-2</v>
      </c>
      <c r="AF246" s="40"/>
    </row>
    <row r="247" spans="1:32" customFormat="1" ht="14.25" hidden="1" customHeight="1" x14ac:dyDescent="0.35">
      <c r="A247" s="30">
        <f t="shared" si="54"/>
        <v>99</v>
      </c>
      <c r="B247">
        <v>491</v>
      </c>
      <c r="C247">
        <v>4</v>
      </c>
      <c r="D247">
        <v>1</v>
      </c>
      <c r="E247">
        <v>5</v>
      </c>
      <c r="F247">
        <v>1</v>
      </c>
      <c r="G247">
        <v>1</v>
      </c>
      <c r="H247">
        <v>5</v>
      </c>
      <c r="I247">
        <v>5</v>
      </c>
      <c r="J247">
        <v>3</v>
      </c>
      <c r="L247">
        <v>4</v>
      </c>
      <c r="O247">
        <v>6</v>
      </c>
      <c r="P247">
        <v>5</v>
      </c>
      <c r="Q247">
        <v>1</v>
      </c>
      <c r="R247">
        <v>3</v>
      </c>
      <c r="S247">
        <v>3</v>
      </c>
      <c r="T247" s="3">
        <f t="shared" si="55"/>
        <v>0.76134122013641481</v>
      </c>
      <c r="U247" s="32">
        <f t="shared" si="56"/>
        <v>-5.6401471461296142E-2</v>
      </c>
      <c r="V247" s="32">
        <f t="shared" si="57"/>
        <v>1.0418053570413823</v>
      </c>
      <c r="W247" s="32">
        <f t="shared" si="58"/>
        <v>0.80698132232978881</v>
      </c>
      <c r="X247" s="32">
        <f t="shared" si="59"/>
        <v>1.0506390162289212</v>
      </c>
      <c r="Y247" s="32">
        <f t="shared" si="60"/>
        <v>0.86866731645372852</v>
      </c>
      <c r="Z247" s="32">
        <f t="shared" si="61"/>
        <v>0.81206041627470116</v>
      </c>
      <c r="AA247" s="32">
        <f t="shared" si="62"/>
        <v>0.80563658408767735</v>
      </c>
      <c r="AF247" s="40"/>
    </row>
    <row r="248" spans="1:32" customFormat="1" ht="14.25" hidden="1" customHeight="1" x14ac:dyDescent="0.35">
      <c r="A248" s="30">
        <f t="shared" si="54"/>
        <v>99</v>
      </c>
      <c r="B248">
        <v>493</v>
      </c>
      <c r="C248">
        <v>5</v>
      </c>
      <c r="D248">
        <v>1</v>
      </c>
      <c r="E248">
        <v>5</v>
      </c>
      <c r="F248">
        <v>1</v>
      </c>
      <c r="G248">
        <v>1</v>
      </c>
      <c r="H248">
        <v>5</v>
      </c>
      <c r="I248">
        <v>5</v>
      </c>
      <c r="J248">
        <v>2</v>
      </c>
      <c r="L248">
        <v>3</v>
      </c>
      <c r="M248">
        <v>3</v>
      </c>
      <c r="N248">
        <v>5</v>
      </c>
      <c r="O248">
        <v>6</v>
      </c>
      <c r="P248">
        <v>4</v>
      </c>
      <c r="Q248">
        <v>2</v>
      </c>
      <c r="R248">
        <v>3</v>
      </c>
      <c r="S248">
        <v>2</v>
      </c>
      <c r="T248" s="3">
        <f t="shared" si="55"/>
        <v>0.88999895457577671</v>
      </c>
      <c r="U248" s="32">
        <f t="shared" si="56"/>
        <v>0.84420266961423651</v>
      </c>
      <c r="V248" s="32">
        <f t="shared" si="57"/>
        <v>1.0418053570413823</v>
      </c>
      <c r="W248" s="32">
        <f t="shared" si="58"/>
        <v>0.80698132232978881</v>
      </c>
      <c r="X248" s="32">
        <f t="shared" si="59"/>
        <v>1.0506390162289212</v>
      </c>
      <c r="Y248" s="32">
        <f t="shared" si="60"/>
        <v>0.86866731645372852</v>
      </c>
      <c r="Z248" s="32">
        <f t="shared" si="61"/>
        <v>0.81206041627470116</v>
      </c>
      <c r="AA248" s="32">
        <f t="shared" si="62"/>
        <v>0.80563658408767735</v>
      </c>
      <c r="AF248" s="40"/>
    </row>
    <row r="249" spans="1:32" customFormat="1" ht="14.25" hidden="1" customHeight="1" x14ac:dyDescent="0.35">
      <c r="A249" s="30">
        <f t="shared" si="54"/>
        <v>99</v>
      </c>
      <c r="B249">
        <v>514</v>
      </c>
      <c r="C249">
        <v>5</v>
      </c>
      <c r="D249">
        <v>1</v>
      </c>
      <c r="E249">
        <v>5</v>
      </c>
      <c r="F249">
        <v>1</v>
      </c>
      <c r="G249">
        <v>1</v>
      </c>
      <c r="H249">
        <v>5</v>
      </c>
      <c r="I249">
        <v>5</v>
      </c>
      <c r="J249">
        <v>2</v>
      </c>
      <c r="K249">
        <v>2</v>
      </c>
      <c r="L249">
        <v>3</v>
      </c>
      <c r="O249">
        <v>6</v>
      </c>
      <c r="P249">
        <v>3</v>
      </c>
      <c r="Q249">
        <v>1</v>
      </c>
      <c r="R249">
        <v>4</v>
      </c>
      <c r="S249">
        <v>1</v>
      </c>
      <c r="T249" s="3">
        <f t="shared" si="55"/>
        <v>0.88999895457577671</v>
      </c>
      <c r="U249" s="32">
        <f t="shared" si="56"/>
        <v>0.84420266961423651</v>
      </c>
      <c r="V249" s="32">
        <f t="shared" si="57"/>
        <v>1.0418053570413823</v>
      </c>
      <c r="W249" s="32">
        <f t="shared" si="58"/>
        <v>0.80698132232978881</v>
      </c>
      <c r="X249" s="32">
        <f t="shared" si="59"/>
        <v>1.0506390162289212</v>
      </c>
      <c r="Y249" s="32">
        <f t="shared" si="60"/>
        <v>0.86866731645372852</v>
      </c>
      <c r="Z249" s="32">
        <f t="shared" si="61"/>
        <v>0.81206041627470116</v>
      </c>
      <c r="AA249" s="32">
        <f t="shared" si="62"/>
        <v>0.80563658408767735</v>
      </c>
      <c r="AF249" s="40"/>
    </row>
    <row r="250" spans="1:32" customFormat="1" ht="14.25" hidden="1" customHeight="1" x14ac:dyDescent="0.35">
      <c r="A250" s="30">
        <f t="shared" si="54"/>
        <v>99</v>
      </c>
      <c r="B250">
        <v>520</v>
      </c>
      <c r="C250">
        <v>3</v>
      </c>
      <c r="D250">
        <v>3</v>
      </c>
      <c r="E250">
        <v>4</v>
      </c>
      <c r="F250">
        <v>2</v>
      </c>
      <c r="G250">
        <v>2</v>
      </c>
      <c r="H250">
        <v>3</v>
      </c>
      <c r="I250">
        <v>3</v>
      </c>
      <c r="J250">
        <v>1</v>
      </c>
      <c r="L250">
        <v>1</v>
      </c>
      <c r="M250">
        <v>1</v>
      </c>
      <c r="N250">
        <v>0</v>
      </c>
      <c r="O250">
        <v>6</v>
      </c>
      <c r="P250">
        <v>6</v>
      </c>
      <c r="Q250">
        <v>2</v>
      </c>
      <c r="R250">
        <v>2</v>
      </c>
      <c r="S250">
        <v>2</v>
      </c>
      <c r="T250" s="3">
        <f t="shared" si="55"/>
        <v>-0.48486164126886022</v>
      </c>
      <c r="U250" s="32">
        <f t="shared" si="56"/>
        <v>-0.95700561253682881</v>
      </c>
      <c r="V250" s="32">
        <f t="shared" si="57"/>
        <v>-0.51458870665983425</v>
      </c>
      <c r="W250" s="32">
        <f t="shared" si="58"/>
        <v>-9.6984149849158471E-2</v>
      </c>
      <c r="X250" s="32">
        <f t="shared" si="59"/>
        <v>0.21586162773242673</v>
      </c>
      <c r="Y250" s="32">
        <f t="shared" si="60"/>
        <v>2.4129647679270151E-2</v>
      </c>
      <c r="Z250" s="32">
        <f t="shared" si="61"/>
        <v>-1.0625089558734409</v>
      </c>
      <c r="AA250" s="32">
        <f t="shared" si="62"/>
        <v>-1.002935339374456</v>
      </c>
      <c r="AF250" s="40"/>
    </row>
    <row r="251" spans="1:32" customFormat="1" ht="14.25" hidden="1" customHeight="1" x14ac:dyDescent="0.35">
      <c r="A251" s="30">
        <f t="shared" si="54"/>
        <v>99</v>
      </c>
      <c r="B251">
        <v>526</v>
      </c>
      <c r="C251">
        <v>5</v>
      </c>
      <c r="D251">
        <v>4</v>
      </c>
      <c r="E251">
        <v>4</v>
      </c>
      <c r="F251">
        <v>2</v>
      </c>
      <c r="G251">
        <v>4</v>
      </c>
      <c r="H251">
        <v>4</v>
      </c>
      <c r="I251">
        <v>4</v>
      </c>
      <c r="J251">
        <v>3</v>
      </c>
      <c r="L251">
        <v>2</v>
      </c>
      <c r="M251">
        <v>4</v>
      </c>
      <c r="N251">
        <v>5</v>
      </c>
      <c r="O251">
        <v>6</v>
      </c>
      <c r="P251">
        <v>6</v>
      </c>
      <c r="Q251">
        <v>2</v>
      </c>
      <c r="R251">
        <v>3</v>
      </c>
      <c r="S251">
        <v>2</v>
      </c>
      <c r="T251" s="3">
        <f t="shared" si="55"/>
        <v>-0.31693213261790626</v>
      </c>
      <c r="U251" s="32">
        <f t="shared" si="56"/>
        <v>0.84420266961423651</v>
      </c>
      <c r="V251" s="32">
        <f t="shared" si="57"/>
        <v>-1.2927857385104427</v>
      </c>
      <c r="W251" s="32">
        <f t="shared" si="58"/>
        <v>-9.6984149849158471E-2</v>
      </c>
      <c r="X251" s="32">
        <f t="shared" si="59"/>
        <v>0.21586162773242673</v>
      </c>
      <c r="Y251" s="32">
        <f t="shared" si="60"/>
        <v>-1.6649456898696466</v>
      </c>
      <c r="Z251" s="32">
        <f t="shared" si="61"/>
        <v>-0.12522426979936985</v>
      </c>
      <c r="AA251" s="32">
        <f t="shared" si="62"/>
        <v>-9.8649377643389324E-2</v>
      </c>
      <c r="AF251" s="40"/>
    </row>
    <row r="252" spans="1:32" customFormat="1" ht="14.25" hidden="1" customHeight="1" x14ac:dyDescent="0.35">
      <c r="A252" s="30">
        <f t="shared" si="54"/>
        <v>99</v>
      </c>
      <c r="B252">
        <v>568</v>
      </c>
      <c r="C252">
        <v>5</v>
      </c>
      <c r="D252">
        <v>1</v>
      </c>
      <c r="E252">
        <v>5</v>
      </c>
      <c r="F252">
        <v>1</v>
      </c>
      <c r="G252">
        <v>1</v>
      </c>
      <c r="H252">
        <v>5</v>
      </c>
      <c r="I252">
        <v>5</v>
      </c>
      <c r="J252">
        <v>3</v>
      </c>
      <c r="L252">
        <v>4</v>
      </c>
      <c r="O252">
        <v>6</v>
      </c>
      <c r="P252">
        <v>2</v>
      </c>
      <c r="Q252">
        <v>1</v>
      </c>
      <c r="R252">
        <v>4</v>
      </c>
      <c r="S252">
        <v>2</v>
      </c>
      <c r="T252" s="3">
        <f t="shared" si="55"/>
        <v>0.88999895457577671</v>
      </c>
      <c r="U252" s="32">
        <f t="shared" si="56"/>
        <v>0.84420266961423651</v>
      </c>
      <c r="V252" s="32">
        <f t="shared" si="57"/>
        <v>1.0418053570413823</v>
      </c>
      <c r="W252" s="32">
        <f t="shared" si="58"/>
        <v>0.80698132232978881</v>
      </c>
      <c r="X252" s="32">
        <f t="shared" si="59"/>
        <v>1.0506390162289212</v>
      </c>
      <c r="Y252" s="32">
        <f t="shared" si="60"/>
        <v>0.86866731645372852</v>
      </c>
      <c r="Z252" s="32">
        <f t="shared" si="61"/>
        <v>0.81206041627470116</v>
      </c>
      <c r="AA252" s="32">
        <f t="shared" si="62"/>
        <v>0.80563658408767735</v>
      </c>
      <c r="AF252" s="40"/>
    </row>
    <row r="253" spans="1:32" customFormat="1" ht="14.25" hidden="1" customHeight="1" x14ac:dyDescent="0.35">
      <c r="A253" s="30">
        <f t="shared" si="54"/>
        <v>99</v>
      </c>
      <c r="B253">
        <v>572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3</v>
      </c>
      <c r="J253">
        <v>2</v>
      </c>
      <c r="O253">
        <v>6</v>
      </c>
      <c r="P253">
        <v>5</v>
      </c>
      <c r="Q253">
        <v>2</v>
      </c>
      <c r="R253">
        <v>4</v>
      </c>
      <c r="S253">
        <v>3</v>
      </c>
      <c r="T253" s="3">
        <f t="shared" si="55"/>
        <v>-0.85390171690456029</v>
      </c>
      <c r="U253" s="32">
        <f t="shared" si="56"/>
        <v>-0.95700561253682881</v>
      </c>
      <c r="V253" s="32">
        <f t="shared" si="57"/>
        <v>-0.51458870665983425</v>
      </c>
      <c r="W253" s="32">
        <f t="shared" si="58"/>
        <v>-1.0009496220281058</v>
      </c>
      <c r="X253" s="32">
        <f t="shared" si="59"/>
        <v>-0.61891576076406762</v>
      </c>
      <c r="Y253" s="32">
        <f t="shared" si="60"/>
        <v>-0.82040802109518818</v>
      </c>
      <c r="Z253" s="32">
        <f t="shared" si="61"/>
        <v>-1.0625089558734409</v>
      </c>
      <c r="AA253" s="32">
        <f t="shared" si="62"/>
        <v>-1.002935339374456</v>
      </c>
      <c r="AF253" s="40"/>
    </row>
    <row r="254" spans="1:32" customFormat="1" ht="14.25" hidden="1" customHeight="1" x14ac:dyDescent="0.35">
      <c r="A254" s="30">
        <f t="shared" si="54"/>
        <v>99</v>
      </c>
      <c r="B254">
        <v>583</v>
      </c>
      <c r="C254">
        <v>3</v>
      </c>
      <c r="D254">
        <v>2</v>
      </c>
      <c r="E254">
        <v>4</v>
      </c>
      <c r="F254">
        <v>3</v>
      </c>
      <c r="G254">
        <v>3</v>
      </c>
      <c r="H254">
        <v>2</v>
      </c>
      <c r="I254">
        <v>3</v>
      </c>
      <c r="J254">
        <v>3</v>
      </c>
      <c r="L254">
        <v>2</v>
      </c>
      <c r="O254">
        <v>6</v>
      </c>
      <c r="P254">
        <v>4</v>
      </c>
      <c r="Q254">
        <v>3</v>
      </c>
      <c r="R254">
        <v>2</v>
      </c>
      <c r="S254">
        <v>2</v>
      </c>
      <c r="T254" s="3">
        <f t="shared" si="55"/>
        <v>-0.74749060005377665</v>
      </c>
      <c r="U254" s="32">
        <f t="shared" si="56"/>
        <v>-0.95700561253682881</v>
      </c>
      <c r="V254" s="32">
        <f t="shared" si="57"/>
        <v>0.26360832519077404</v>
      </c>
      <c r="W254" s="32">
        <f t="shared" si="58"/>
        <v>-9.6984149849158471E-2</v>
      </c>
      <c r="X254" s="32">
        <f t="shared" si="59"/>
        <v>-0.61891576076406762</v>
      </c>
      <c r="Y254" s="32">
        <f t="shared" si="60"/>
        <v>-0.82040802109518818</v>
      </c>
      <c r="Z254" s="32">
        <f t="shared" si="61"/>
        <v>-1.9997936419475117</v>
      </c>
      <c r="AA254" s="32">
        <f t="shared" si="62"/>
        <v>-1.002935339374456</v>
      </c>
      <c r="AF254" s="40"/>
    </row>
    <row r="255" spans="1:32" customFormat="1" ht="14.25" hidden="1" customHeight="1" x14ac:dyDescent="0.35">
      <c r="A255" s="30">
        <f t="shared" si="54"/>
        <v>99</v>
      </c>
      <c r="B255">
        <v>587</v>
      </c>
      <c r="C255">
        <v>4</v>
      </c>
      <c r="D255">
        <v>2</v>
      </c>
      <c r="E255">
        <v>4</v>
      </c>
      <c r="F255">
        <v>4</v>
      </c>
      <c r="G255">
        <v>3</v>
      </c>
      <c r="H255">
        <v>5</v>
      </c>
      <c r="I255">
        <v>5</v>
      </c>
      <c r="J255">
        <v>2</v>
      </c>
      <c r="L255">
        <v>3</v>
      </c>
      <c r="M255">
        <v>4</v>
      </c>
      <c r="N255">
        <v>0</v>
      </c>
      <c r="O255">
        <v>6</v>
      </c>
      <c r="P255">
        <v>5</v>
      </c>
      <c r="Q255">
        <v>2</v>
      </c>
      <c r="R255">
        <v>2</v>
      </c>
      <c r="S255">
        <v>2</v>
      </c>
      <c r="T255" s="3">
        <f t="shared" si="55"/>
        <v>-7.8025923730436028E-2</v>
      </c>
      <c r="U255" s="32">
        <f t="shared" si="56"/>
        <v>-5.6401471461296142E-2</v>
      </c>
      <c r="V255" s="32">
        <f t="shared" si="57"/>
        <v>0.26360832519077404</v>
      </c>
      <c r="W255" s="32">
        <f t="shared" si="58"/>
        <v>-9.6984149849158471E-2</v>
      </c>
      <c r="X255" s="32">
        <f t="shared" si="59"/>
        <v>-1.453693149260562</v>
      </c>
      <c r="Y255" s="32">
        <f t="shared" si="60"/>
        <v>-0.82040802109518818</v>
      </c>
      <c r="Z255" s="32">
        <f t="shared" si="61"/>
        <v>0.81206041627470116</v>
      </c>
      <c r="AA255" s="32">
        <f t="shared" si="62"/>
        <v>0.80563658408767735</v>
      </c>
      <c r="AF255" s="40"/>
    </row>
    <row r="256" spans="1:32" customFormat="1" ht="14.25" hidden="1" customHeight="1" x14ac:dyDescent="0.35">
      <c r="A256" s="30">
        <f t="shared" si="54"/>
        <v>99</v>
      </c>
      <c r="B256">
        <v>608</v>
      </c>
      <c r="C256">
        <v>4</v>
      </c>
      <c r="D256">
        <v>3</v>
      </c>
      <c r="E256">
        <v>4</v>
      </c>
      <c r="F256">
        <v>3</v>
      </c>
      <c r="G256">
        <v>4</v>
      </c>
      <c r="H256">
        <v>3</v>
      </c>
      <c r="I256">
        <v>1</v>
      </c>
      <c r="J256">
        <v>2</v>
      </c>
      <c r="O256">
        <v>6</v>
      </c>
      <c r="P256">
        <v>6</v>
      </c>
      <c r="Q256">
        <v>3</v>
      </c>
      <c r="R256">
        <v>1</v>
      </c>
      <c r="S256">
        <v>3</v>
      </c>
      <c r="T256" s="3">
        <f t="shared" si="55"/>
        <v>-0.97512171390200464</v>
      </c>
      <c r="U256" s="32">
        <f t="shared" si="56"/>
        <v>-5.6401471461296142E-2</v>
      </c>
      <c r="V256" s="32">
        <f t="shared" si="57"/>
        <v>-0.51458870665983425</v>
      </c>
      <c r="W256" s="32">
        <f t="shared" si="58"/>
        <v>-9.6984149849158471E-2</v>
      </c>
      <c r="X256" s="32">
        <f t="shared" si="59"/>
        <v>-0.61891576076406762</v>
      </c>
      <c r="Y256" s="32">
        <f t="shared" si="60"/>
        <v>-1.6649456898696466</v>
      </c>
      <c r="Z256" s="32">
        <f t="shared" si="61"/>
        <v>-1.0625089558734409</v>
      </c>
      <c r="AA256" s="32">
        <f t="shared" si="62"/>
        <v>-2.8115072628365891</v>
      </c>
      <c r="AF256" s="40"/>
    </row>
    <row r="257" spans="1:32" customFormat="1" ht="14.25" hidden="1" customHeight="1" x14ac:dyDescent="0.35">
      <c r="A257" s="30">
        <f t="shared" si="54"/>
        <v>99</v>
      </c>
      <c r="B257">
        <v>612</v>
      </c>
      <c r="C257">
        <v>5</v>
      </c>
      <c r="D257">
        <v>1</v>
      </c>
      <c r="E257">
        <v>5</v>
      </c>
      <c r="F257">
        <v>1</v>
      </c>
      <c r="G257">
        <v>1</v>
      </c>
      <c r="H257">
        <v>5</v>
      </c>
      <c r="I257">
        <v>5</v>
      </c>
      <c r="J257">
        <v>1</v>
      </c>
      <c r="K257">
        <v>1</v>
      </c>
      <c r="O257">
        <v>6</v>
      </c>
      <c r="P257">
        <v>4</v>
      </c>
      <c r="Q257">
        <v>2</v>
      </c>
      <c r="R257">
        <v>4</v>
      </c>
      <c r="S257">
        <v>2</v>
      </c>
      <c r="T257" s="3">
        <f t="shared" si="55"/>
        <v>0.88999895457577671</v>
      </c>
      <c r="U257" s="32">
        <f t="shared" si="56"/>
        <v>0.84420266961423651</v>
      </c>
      <c r="V257" s="32">
        <f t="shared" si="57"/>
        <v>1.0418053570413823</v>
      </c>
      <c r="W257" s="32">
        <f t="shared" si="58"/>
        <v>0.80698132232978881</v>
      </c>
      <c r="X257" s="32">
        <f t="shared" si="59"/>
        <v>1.0506390162289212</v>
      </c>
      <c r="Y257" s="32">
        <f t="shared" si="60"/>
        <v>0.86866731645372852</v>
      </c>
      <c r="Z257" s="32">
        <f t="shared" si="61"/>
        <v>0.81206041627470116</v>
      </c>
      <c r="AA257" s="32">
        <f t="shared" si="62"/>
        <v>0.80563658408767735</v>
      </c>
      <c r="AF257" s="40"/>
    </row>
    <row r="258" spans="1:32" customFormat="1" ht="14.25" hidden="1" customHeight="1" x14ac:dyDescent="0.35">
      <c r="A258" s="30">
        <f t="shared" si="54"/>
        <v>99</v>
      </c>
      <c r="B258">
        <v>620</v>
      </c>
      <c r="C258">
        <v>5</v>
      </c>
      <c r="D258">
        <v>3</v>
      </c>
      <c r="E258">
        <v>5</v>
      </c>
      <c r="F258">
        <v>2</v>
      </c>
      <c r="G258">
        <v>1</v>
      </c>
      <c r="H258">
        <v>3</v>
      </c>
      <c r="I258">
        <v>5</v>
      </c>
      <c r="J258">
        <v>2</v>
      </c>
      <c r="K258">
        <v>2</v>
      </c>
      <c r="O258">
        <v>6</v>
      </c>
      <c r="P258">
        <v>6</v>
      </c>
      <c r="Q258">
        <v>2</v>
      </c>
      <c r="R258">
        <v>4</v>
      </c>
      <c r="S258">
        <v>2</v>
      </c>
      <c r="T258" s="3">
        <f t="shared" si="55"/>
        <v>0.28060740824065472</v>
      </c>
      <c r="U258" s="32">
        <f t="shared" si="56"/>
        <v>0.84420266961423651</v>
      </c>
      <c r="V258" s="32">
        <f t="shared" si="57"/>
        <v>-0.51458870665983425</v>
      </c>
      <c r="W258" s="32">
        <f t="shared" si="58"/>
        <v>0.80698132232978881</v>
      </c>
      <c r="X258" s="32">
        <f t="shared" si="59"/>
        <v>0.21586162773242673</v>
      </c>
      <c r="Y258" s="32">
        <f t="shared" si="60"/>
        <v>0.86866731645372852</v>
      </c>
      <c r="Z258" s="32">
        <f t="shared" si="61"/>
        <v>-1.0625089558734409</v>
      </c>
      <c r="AA258" s="32">
        <f t="shared" si="62"/>
        <v>0.80563658408767735</v>
      </c>
      <c r="AF258" s="40"/>
    </row>
    <row r="259" spans="1:32" customFormat="1" ht="14.25" hidden="1" customHeight="1" x14ac:dyDescent="0.35">
      <c r="A259" s="30">
        <f t="shared" si="54"/>
        <v>99</v>
      </c>
      <c r="B259">
        <v>631</v>
      </c>
      <c r="C259">
        <v>3</v>
      </c>
      <c r="D259">
        <v>4</v>
      </c>
      <c r="E259">
        <v>4</v>
      </c>
      <c r="F259">
        <v>3</v>
      </c>
      <c r="G259">
        <v>4</v>
      </c>
      <c r="H259">
        <v>3</v>
      </c>
      <c r="I259">
        <v>2</v>
      </c>
      <c r="J259">
        <v>2</v>
      </c>
      <c r="O259">
        <v>6</v>
      </c>
      <c r="P259">
        <v>4</v>
      </c>
      <c r="Q259">
        <v>2</v>
      </c>
      <c r="R259">
        <v>2</v>
      </c>
      <c r="S259">
        <v>2</v>
      </c>
      <c r="T259" s="3">
        <f t="shared" si="55"/>
        <v>-1.0857667440727297</v>
      </c>
      <c r="U259" s="32">
        <f t="shared" si="56"/>
        <v>-0.95700561253682881</v>
      </c>
      <c r="V259" s="32">
        <f t="shared" si="57"/>
        <v>-1.2927857385104427</v>
      </c>
      <c r="W259" s="32">
        <f t="shared" si="58"/>
        <v>-9.6984149849158471E-2</v>
      </c>
      <c r="X259" s="32">
        <f t="shared" si="59"/>
        <v>-0.61891576076406762</v>
      </c>
      <c r="Y259" s="32">
        <f t="shared" si="60"/>
        <v>-1.6649456898696466</v>
      </c>
      <c r="Z259" s="32">
        <f t="shared" si="61"/>
        <v>-1.0625089558734409</v>
      </c>
      <c r="AA259" s="32">
        <f t="shared" si="62"/>
        <v>-1.9072213011055226</v>
      </c>
      <c r="AF259" s="40"/>
    </row>
    <row r="260" spans="1:32" customFormat="1" ht="14.25" hidden="1" customHeight="1" x14ac:dyDescent="0.35">
      <c r="A260" s="30">
        <f t="shared" si="54"/>
        <v>99</v>
      </c>
      <c r="B260">
        <v>647</v>
      </c>
      <c r="C260">
        <v>5</v>
      </c>
      <c r="D260">
        <v>4</v>
      </c>
      <c r="E260">
        <v>4</v>
      </c>
      <c r="F260">
        <v>1</v>
      </c>
      <c r="G260">
        <v>1</v>
      </c>
      <c r="H260">
        <v>5</v>
      </c>
      <c r="I260">
        <v>5</v>
      </c>
      <c r="J260">
        <v>1</v>
      </c>
      <c r="O260">
        <v>6</v>
      </c>
      <c r="P260">
        <v>3</v>
      </c>
      <c r="Q260">
        <v>3</v>
      </c>
      <c r="R260">
        <v>4</v>
      </c>
      <c r="S260">
        <v>3</v>
      </c>
      <c r="T260" s="3">
        <f t="shared" si="55"/>
        <v>0.42734801632852332</v>
      </c>
      <c r="U260" s="32">
        <f t="shared" si="56"/>
        <v>0.84420266961423651</v>
      </c>
      <c r="V260" s="32">
        <f t="shared" si="57"/>
        <v>-1.2927857385104427</v>
      </c>
      <c r="W260" s="32">
        <f t="shared" si="58"/>
        <v>-9.6984149849158471E-2</v>
      </c>
      <c r="X260" s="32">
        <f t="shared" si="59"/>
        <v>1.0506390162289212</v>
      </c>
      <c r="Y260" s="32">
        <f t="shared" si="60"/>
        <v>0.86866731645372852</v>
      </c>
      <c r="Z260" s="32">
        <f t="shared" si="61"/>
        <v>0.81206041627470116</v>
      </c>
      <c r="AA260" s="32">
        <f t="shared" si="62"/>
        <v>0.80563658408767735</v>
      </c>
      <c r="AF260" s="40"/>
    </row>
    <row r="261" spans="1:32" customFormat="1" ht="14.25" hidden="1" customHeight="1" x14ac:dyDescent="0.35">
      <c r="A261" s="30">
        <f t="shared" si="54"/>
        <v>99</v>
      </c>
      <c r="B261">
        <v>656</v>
      </c>
      <c r="C261">
        <v>5</v>
      </c>
      <c r="D261">
        <v>1</v>
      </c>
      <c r="E261">
        <v>1</v>
      </c>
      <c r="F261">
        <v>1</v>
      </c>
      <c r="G261">
        <v>1</v>
      </c>
      <c r="H261">
        <v>5</v>
      </c>
      <c r="I261">
        <v>5</v>
      </c>
      <c r="J261">
        <v>1</v>
      </c>
      <c r="K261">
        <v>1</v>
      </c>
      <c r="O261">
        <v>6</v>
      </c>
      <c r="P261">
        <v>5</v>
      </c>
      <c r="Q261">
        <v>1</v>
      </c>
      <c r="R261">
        <v>4</v>
      </c>
      <c r="S261">
        <v>2</v>
      </c>
      <c r="T261" s="3">
        <f t="shared" si="55"/>
        <v>0.37344725618780672</v>
      </c>
      <c r="U261" s="32">
        <f t="shared" si="56"/>
        <v>0.84420266961423651</v>
      </c>
      <c r="V261" s="32">
        <f t="shared" si="57"/>
        <v>1.0418053570413823</v>
      </c>
      <c r="W261" s="32">
        <f t="shared" si="58"/>
        <v>-2.8088805663860001</v>
      </c>
      <c r="X261" s="32">
        <f t="shared" si="59"/>
        <v>1.0506390162289212</v>
      </c>
      <c r="Y261" s="32">
        <f t="shared" si="60"/>
        <v>0.86866731645372852</v>
      </c>
      <c r="Z261" s="32">
        <f t="shared" si="61"/>
        <v>0.81206041627470116</v>
      </c>
      <c r="AA261" s="32">
        <f t="shared" si="62"/>
        <v>0.80563658408767735</v>
      </c>
      <c r="AF261" s="40"/>
    </row>
    <row r="262" spans="1:32" customFormat="1" ht="14.25" hidden="1" customHeight="1" x14ac:dyDescent="0.35">
      <c r="A262" s="30">
        <f t="shared" si="54"/>
        <v>99</v>
      </c>
      <c r="B262">
        <v>660</v>
      </c>
      <c r="C262">
        <v>5</v>
      </c>
      <c r="D262">
        <v>4</v>
      </c>
      <c r="E262">
        <v>4</v>
      </c>
      <c r="F262">
        <v>2</v>
      </c>
      <c r="G262">
        <v>4</v>
      </c>
      <c r="H262">
        <v>4</v>
      </c>
      <c r="I262">
        <v>5</v>
      </c>
      <c r="J262">
        <v>2</v>
      </c>
      <c r="O262">
        <v>6</v>
      </c>
      <c r="P262">
        <v>4</v>
      </c>
      <c r="Q262">
        <v>2</v>
      </c>
      <c r="R262">
        <v>3</v>
      </c>
      <c r="S262">
        <v>2</v>
      </c>
      <c r="T262" s="3">
        <f t="shared" si="55"/>
        <v>-0.18774842379918241</v>
      </c>
      <c r="U262" s="32">
        <f t="shared" si="56"/>
        <v>0.84420266961423651</v>
      </c>
      <c r="V262" s="32">
        <f t="shared" si="57"/>
        <v>-1.2927857385104427</v>
      </c>
      <c r="W262" s="32">
        <f t="shared" si="58"/>
        <v>-9.6984149849158471E-2</v>
      </c>
      <c r="X262" s="32">
        <f t="shared" si="59"/>
        <v>0.21586162773242673</v>
      </c>
      <c r="Y262" s="32">
        <f t="shared" si="60"/>
        <v>-1.6649456898696466</v>
      </c>
      <c r="Z262" s="32">
        <f t="shared" si="61"/>
        <v>-0.12522426979936985</v>
      </c>
      <c r="AA262" s="32">
        <f t="shared" si="62"/>
        <v>0.80563658408767735</v>
      </c>
      <c r="AF262" s="40"/>
    </row>
    <row r="263" spans="1:32" customFormat="1" ht="14.25" hidden="1" customHeight="1" x14ac:dyDescent="0.35">
      <c r="A263" s="30">
        <f t="shared" si="54"/>
        <v>99</v>
      </c>
      <c r="B263">
        <v>668</v>
      </c>
      <c r="C263">
        <v>1</v>
      </c>
      <c r="D263">
        <v>3</v>
      </c>
      <c r="E263">
        <v>4</v>
      </c>
      <c r="F263">
        <v>2</v>
      </c>
      <c r="G263">
        <v>2</v>
      </c>
      <c r="H263">
        <v>4</v>
      </c>
      <c r="I263">
        <v>3</v>
      </c>
      <c r="J263">
        <v>1</v>
      </c>
      <c r="K263">
        <v>1</v>
      </c>
      <c r="O263">
        <v>6</v>
      </c>
      <c r="P263">
        <v>3</v>
      </c>
      <c r="Q263">
        <v>2</v>
      </c>
      <c r="R263">
        <v>2</v>
      </c>
      <c r="S263">
        <v>1</v>
      </c>
      <c r="T263" s="3">
        <f t="shared" si="55"/>
        <v>-0.60827929785128798</v>
      </c>
      <c r="U263" s="32">
        <f t="shared" si="56"/>
        <v>-2.758213894687894</v>
      </c>
      <c r="V263" s="32">
        <f t="shared" si="57"/>
        <v>-0.51458870665983425</v>
      </c>
      <c r="W263" s="32">
        <f t="shared" si="58"/>
        <v>-9.6984149849158471E-2</v>
      </c>
      <c r="X263" s="32">
        <f t="shared" si="59"/>
        <v>0.21586162773242673</v>
      </c>
      <c r="Y263" s="32">
        <f t="shared" si="60"/>
        <v>2.4129647679270151E-2</v>
      </c>
      <c r="Z263" s="32">
        <f t="shared" si="61"/>
        <v>-0.12522426979936985</v>
      </c>
      <c r="AA263" s="32">
        <f t="shared" si="62"/>
        <v>-1.002935339374456</v>
      </c>
      <c r="AF263" s="40"/>
    </row>
    <row r="264" spans="1:32" customFormat="1" ht="14.25" hidden="1" customHeight="1" x14ac:dyDescent="0.35">
      <c r="A264" s="30">
        <f t="shared" si="54"/>
        <v>99</v>
      </c>
      <c r="B264">
        <v>670</v>
      </c>
      <c r="C264">
        <v>5</v>
      </c>
      <c r="D264">
        <v>2</v>
      </c>
      <c r="E264">
        <v>5</v>
      </c>
      <c r="F264">
        <v>3</v>
      </c>
      <c r="G264">
        <v>3</v>
      </c>
      <c r="H264">
        <v>5</v>
      </c>
      <c r="I264">
        <v>5</v>
      </c>
      <c r="J264">
        <v>2</v>
      </c>
      <c r="L264">
        <v>2</v>
      </c>
      <c r="O264">
        <v>6</v>
      </c>
      <c r="P264">
        <v>6</v>
      </c>
      <c r="Q264">
        <v>1</v>
      </c>
      <c r="R264">
        <v>4</v>
      </c>
      <c r="S264">
        <v>1</v>
      </c>
      <c r="T264" s="3">
        <f t="shared" si="55"/>
        <v>0.29902364794827463</v>
      </c>
      <c r="U264" s="32">
        <f t="shared" si="56"/>
        <v>0.84420266961423651</v>
      </c>
      <c r="V264" s="32">
        <f t="shared" si="57"/>
        <v>0.26360832519077404</v>
      </c>
      <c r="W264" s="32">
        <f t="shared" si="58"/>
        <v>0.80698132232978881</v>
      </c>
      <c r="X264" s="32">
        <f t="shared" si="59"/>
        <v>-0.61891576076406762</v>
      </c>
      <c r="Y264" s="32">
        <f t="shared" si="60"/>
        <v>-0.82040802109518818</v>
      </c>
      <c r="Z264" s="32">
        <f t="shared" si="61"/>
        <v>0.81206041627470116</v>
      </c>
      <c r="AA264" s="32">
        <f t="shared" si="62"/>
        <v>0.80563658408767735</v>
      </c>
      <c r="AF264" s="40"/>
    </row>
    <row r="265" spans="1:32" customFormat="1" ht="14.25" hidden="1" customHeight="1" x14ac:dyDescent="0.35">
      <c r="A265" s="30">
        <f t="shared" si="54"/>
        <v>99</v>
      </c>
      <c r="B265">
        <v>672</v>
      </c>
      <c r="C265">
        <v>5</v>
      </c>
      <c r="D265">
        <v>3</v>
      </c>
      <c r="E265">
        <v>4</v>
      </c>
      <c r="F265">
        <v>3</v>
      </c>
      <c r="G265">
        <v>2</v>
      </c>
      <c r="H265">
        <v>4</v>
      </c>
      <c r="I265">
        <v>5</v>
      </c>
      <c r="J265">
        <v>2</v>
      </c>
      <c r="L265">
        <v>1</v>
      </c>
      <c r="M265">
        <v>1</v>
      </c>
      <c r="N265">
        <v>0</v>
      </c>
      <c r="O265">
        <v>6</v>
      </c>
      <c r="P265">
        <v>6</v>
      </c>
      <c r="Q265">
        <v>1</v>
      </c>
      <c r="R265">
        <v>1</v>
      </c>
      <c r="S265">
        <v>2</v>
      </c>
      <c r="T265" s="3">
        <f t="shared" si="55"/>
        <v>4.5465144901250545E-2</v>
      </c>
      <c r="U265" s="32">
        <f t="shared" si="56"/>
        <v>0.84420266961423651</v>
      </c>
      <c r="V265" s="32">
        <f t="shared" si="57"/>
        <v>-0.51458870665983425</v>
      </c>
      <c r="W265" s="32">
        <f t="shared" si="58"/>
        <v>-9.6984149849158471E-2</v>
      </c>
      <c r="X265" s="32">
        <f t="shared" si="59"/>
        <v>-0.61891576076406762</v>
      </c>
      <c r="Y265" s="32">
        <f t="shared" si="60"/>
        <v>2.4129647679270151E-2</v>
      </c>
      <c r="Z265" s="32">
        <f t="shared" si="61"/>
        <v>-0.12522426979936985</v>
      </c>
      <c r="AA265" s="32">
        <f t="shared" si="62"/>
        <v>0.80563658408767735</v>
      </c>
      <c r="AF265" s="40"/>
    </row>
    <row r="266" spans="1:32" customFormat="1" ht="14.25" hidden="1" customHeight="1" x14ac:dyDescent="0.35">
      <c r="A266" s="30">
        <f t="shared" si="54"/>
        <v>99</v>
      </c>
      <c r="B266">
        <v>677</v>
      </c>
      <c r="C266">
        <v>5</v>
      </c>
      <c r="D266">
        <v>1</v>
      </c>
      <c r="E266">
        <v>5</v>
      </c>
      <c r="F266">
        <v>1</v>
      </c>
      <c r="G266">
        <v>1</v>
      </c>
      <c r="H266">
        <v>5</v>
      </c>
      <c r="I266">
        <v>5</v>
      </c>
      <c r="J266">
        <v>2</v>
      </c>
      <c r="O266">
        <v>6</v>
      </c>
      <c r="P266">
        <v>3</v>
      </c>
      <c r="Q266">
        <v>1</v>
      </c>
      <c r="R266">
        <v>2</v>
      </c>
      <c r="S266">
        <v>1</v>
      </c>
      <c r="T266" s="3">
        <f t="shared" si="55"/>
        <v>0.88999895457577671</v>
      </c>
      <c r="U266" s="32">
        <f t="shared" si="56"/>
        <v>0.84420266961423651</v>
      </c>
      <c r="V266" s="32">
        <f t="shared" si="57"/>
        <v>1.0418053570413823</v>
      </c>
      <c r="W266" s="32">
        <f t="shared" si="58"/>
        <v>0.80698132232978881</v>
      </c>
      <c r="X266" s="32">
        <f t="shared" si="59"/>
        <v>1.0506390162289212</v>
      </c>
      <c r="Y266" s="32">
        <f t="shared" si="60"/>
        <v>0.86866731645372852</v>
      </c>
      <c r="Z266" s="32">
        <f t="shared" si="61"/>
        <v>0.81206041627470116</v>
      </c>
      <c r="AA266" s="32">
        <f t="shared" si="62"/>
        <v>0.80563658408767735</v>
      </c>
      <c r="AF266" s="40"/>
    </row>
    <row r="267" spans="1:32" customFormat="1" ht="14.25" hidden="1" customHeight="1" x14ac:dyDescent="0.35">
      <c r="A267" s="30">
        <f t="shared" si="54"/>
        <v>99</v>
      </c>
      <c r="B267">
        <v>718</v>
      </c>
      <c r="C267">
        <v>5</v>
      </c>
      <c r="D267">
        <v>2</v>
      </c>
      <c r="E267">
        <v>4</v>
      </c>
      <c r="F267">
        <v>4</v>
      </c>
      <c r="G267">
        <v>2</v>
      </c>
      <c r="H267">
        <v>4</v>
      </c>
      <c r="I267">
        <v>3</v>
      </c>
      <c r="J267">
        <v>2</v>
      </c>
      <c r="L267">
        <v>2</v>
      </c>
      <c r="M267">
        <v>3</v>
      </c>
      <c r="N267">
        <v>2</v>
      </c>
      <c r="O267">
        <v>6</v>
      </c>
      <c r="P267">
        <v>6</v>
      </c>
      <c r="Q267">
        <v>2</v>
      </c>
      <c r="R267">
        <v>2</v>
      </c>
      <c r="S267">
        <v>2</v>
      </c>
      <c r="T267" s="3">
        <f t="shared" si="55"/>
        <v>-0.22098518082846649</v>
      </c>
      <c r="U267" s="32">
        <f t="shared" si="56"/>
        <v>0.84420266961423651</v>
      </c>
      <c r="V267" s="32">
        <f t="shared" si="57"/>
        <v>0.26360832519077404</v>
      </c>
      <c r="W267" s="32">
        <f t="shared" si="58"/>
        <v>-9.6984149849158471E-2</v>
      </c>
      <c r="X267" s="32">
        <f t="shared" si="59"/>
        <v>-1.453693149260562</v>
      </c>
      <c r="Y267" s="32">
        <f t="shared" si="60"/>
        <v>2.4129647679270151E-2</v>
      </c>
      <c r="Z267" s="32">
        <f t="shared" si="61"/>
        <v>-0.12522426979936985</v>
      </c>
      <c r="AA267" s="32">
        <f t="shared" si="62"/>
        <v>-1.002935339374456</v>
      </c>
      <c r="AF267" s="40"/>
    </row>
    <row r="268" spans="1:32" customFormat="1" ht="14.25" hidden="1" customHeight="1" x14ac:dyDescent="0.35">
      <c r="A268" s="30">
        <f t="shared" si="54"/>
        <v>99</v>
      </c>
      <c r="B268">
        <v>727</v>
      </c>
      <c r="C268">
        <v>5</v>
      </c>
      <c r="D268">
        <v>1</v>
      </c>
      <c r="E268">
        <v>5</v>
      </c>
      <c r="F268">
        <v>2</v>
      </c>
      <c r="G268">
        <v>3</v>
      </c>
      <c r="H268">
        <v>5</v>
      </c>
      <c r="I268">
        <v>5</v>
      </c>
      <c r="J268">
        <v>2</v>
      </c>
      <c r="O268">
        <v>6</v>
      </c>
      <c r="P268">
        <v>6</v>
      </c>
      <c r="Q268">
        <v>1</v>
      </c>
      <c r="R268">
        <v>2</v>
      </c>
      <c r="S268">
        <v>1</v>
      </c>
      <c r="T268" s="3">
        <f t="shared" si="55"/>
        <v>0.52944856514071781</v>
      </c>
      <c r="U268" s="32">
        <f t="shared" si="56"/>
        <v>0.84420266961423651</v>
      </c>
      <c r="V268" s="32">
        <f t="shared" si="57"/>
        <v>1.0418053570413823</v>
      </c>
      <c r="W268" s="32">
        <f t="shared" si="58"/>
        <v>0.80698132232978881</v>
      </c>
      <c r="X268" s="32">
        <f t="shared" si="59"/>
        <v>0.21586162773242673</v>
      </c>
      <c r="Y268" s="32">
        <f t="shared" si="60"/>
        <v>-0.82040802109518818</v>
      </c>
      <c r="Z268" s="32">
        <f t="shared" si="61"/>
        <v>0.81206041627470116</v>
      </c>
      <c r="AA268" s="32">
        <f t="shared" si="62"/>
        <v>0.80563658408767735</v>
      </c>
      <c r="AF268" s="40"/>
    </row>
    <row r="269" spans="1:32" customFormat="1" ht="14.25" hidden="1" customHeight="1" x14ac:dyDescent="0.35">
      <c r="A269" s="30">
        <f t="shared" si="54"/>
        <v>99</v>
      </c>
      <c r="B269">
        <v>731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4</v>
      </c>
      <c r="I269">
        <v>3</v>
      </c>
      <c r="J269">
        <v>2</v>
      </c>
      <c r="O269">
        <v>5</v>
      </c>
      <c r="P269">
        <v>6</v>
      </c>
      <c r="Q269">
        <v>2</v>
      </c>
      <c r="R269">
        <v>4</v>
      </c>
      <c r="S269">
        <v>2</v>
      </c>
      <c r="T269" s="3">
        <f t="shared" si="55"/>
        <v>-0.72000390460826424</v>
      </c>
      <c r="U269" s="32">
        <f t="shared" si="56"/>
        <v>-0.95700561253682881</v>
      </c>
      <c r="V269" s="32">
        <f t="shared" si="57"/>
        <v>-0.51458870665983425</v>
      </c>
      <c r="W269" s="32">
        <f t="shared" si="58"/>
        <v>-1.0009496220281058</v>
      </c>
      <c r="X269" s="32">
        <f t="shared" si="59"/>
        <v>-0.61891576076406762</v>
      </c>
      <c r="Y269" s="32">
        <f t="shared" si="60"/>
        <v>-0.82040802109518818</v>
      </c>
      <c r="Z269" s="32">
        <f t="shared" si="61"/>
        <v>-0.12522426979936985</v>
      </c>
      <c r="AA269" s="32">
        <f t="shared" si="62"/>
        <v>-1.002935339374456</v>
      </c>
      <c r="AF269" s="40"/>
    </row>
    <row r="270" spans="1:32" customFormat="1" ht="14.25" hidden="1" customHeight="1" x14ac:dyDescent="0.35">
      <c r="A270" s="30">
        <f t="shared" si="54"/>
        <v>99</v>
      </c>
      <c r="B270">
        <v>742</v>
      </c>
      <c r="C270">
        <v>5</v>
      </c>
      <c r="D270">
        <v>2</v>
      </c>
      <c r="E270">
        <v>5</v>
      </c>
      <c r="F270">
        <v>1</v>
      </c>
      <c r="G270">
        <v>2</v>
      </c>
      <c r="H270">
        <v>5</v>
      </c>
      <c r="I270">
        <v>4</v>
      </c>
      <c r="J270">
        <v>2</v>
      </c>
      <c r="L270">
        <v>1</v>
      </c>
      <c r="M270">
        <v>1</v>
      </c>
      <c r="N270">
        <v>0</v>
      </c>
      <c r="O270">
        <v>6</v>
      </c>
      <c r="P270">
        <v>6</v>
      </c>
      <c r="Q270">
        <v>1</v>
      </c>
      <c r="R270">
        <v>2</v>
      </c>
      <c r="S270">
        <v>2</v>
      </c>
      <c r="T270" s="3">
        <f t="shared" si="55"/>
        <v>0.52899600281061454</v>
      </c>
      <c r="U270" s="32">
        <f t="shared" si="56"/>
        <v>0.84420266961423651</v>
      </c>
      <c r="V270" s="32">
        <f t="shared" si="57"/>
        <v>0.26360832519077404</v>
      </c>
      <c r="W270" s="32">
        <f t="shared" si="58"/>
        <v>0.80698132232978881</v>
      </c>
      <c r="X270" s="32">
        <f t="shared" si="59"/>
        <v>1.0506390162289212</v>
      </c>
      <c r="Y270" s="32">
        <f t="shared" si="60"/>
        <v>2.4129647679270151E-2</v>
      </c>
      <c r="Z270" s="32">
        <f t="shared" si="61"/>
        <v>0.81206041627470116</v>
      </c>
      <c r="AA270" s="32">
        <f t="shared" si="62"/>
        <v>-9.8649377643389324E-2</v>
      </c>
      <c r="AF270" s="40"/>
    </row>
    <row r="271" spans="1:32" customFormat="1" ht="14.25" hidden="1" customHeight="1" x14ac:dyDescent="0.35">
      <c r="A271" s="30">
        <f t="shared" si="54"/>
        <v>99</v>
      </c>
      <c r="B271">
        <v>747</v>
      </c>
      <c r="C271">
        <v>5</v>
      </c>
      <c r="D271">
        <v>1</v>
      </c>
      <c r="E271">
        <v>5</v>
      </c>
      <c r="F271">
        <v>5</v>
      </c>
      <c r="G271">
        <v>1</v>
      </c>
      <c r="H271">
        <v>5</v>
      </c>
      <c r="I271">
        <v>5</v>
      </c>
      <c r="J271">
        <v>2</v>
      </c>
      <c r="L271">
        <v>2</v>
      </c>
      <c r="M271">
        <v>4</v>
      </c>
      <c r="N271">
        <v>15</v>
      </c>
      <c r="O271">
        <v>6</v>
      </c>
      <c r="P271">
        <v>6</v>
      </c>
      <c r="Q271">
        <v>2</v>
      </c>
      <c r="R271">
        <v>5</v>
      </c>
      <c r="S271">
        <v>4</v>
      </c>
      <c r="T271" s="3">
        <f t="shared" si="55"/>
        <v>0.41298330400635119</v>
      </c>
      <c r="U271" s="32">
        <f t="shared" si="56"/>
        <v>0.84420266961423651</v>
      </c>
      <c r="V271" s="32">
        <f t="shared" si="57"/>
        <v>1.0418053570413823</v>
      </c>
      <c r="W271" s="32">
        <f t="shared" si="58"/>
        <v>0.80698132232978881</v>
      </c>
      <c r="X271" s="32">
        <f t="shared" si="59"/>
        <v>-2.2884705377570564</v>
      </c>
      <c r="Y271" s="32">
        <f t="shared" si="60"/>
        <v>0.86866731645372852</v>
      </c>
      <c r="Z271" s="32">
        <f t="shared" si="61"/>
        <v>0.81206041627470116</v>
      </c>
      <c r="AA271" s="32">
        <f t="shared" si="62"/>
        <v>0.80563658408767735</v>
      </c>
      <c r="AF271" s="40"/>
    </row>
    <row r="272" spans="1:32" customFormat="1" ht="14.25" hidden="1" customHeight="1" x14ac:dyDescent="0.35">
      <c r="A272" s="30">
        <f t="shared" si="54"/>
        <v>99</v>
      </c>
      <c r="B272">
        <v>752</v>
      </c>
      <c r="C272">
        <v>5</v>
      </c>
      <c r="D272">
        <v>1</v>
      </c>
      <c r="E272">
        <v>5</v>
      </c>
      <c r="F272">
        <v>1</v>
      </c>
      <c r="G272">
        <v>1</v>
      </c>
      <c r="H272">
        <v>5</v>
      </c>
      <c r="I272">
        <v>5</v>
      </c>
      <c r="J272">
        <v>3</v>
      </c>
      <c r="L272">
        <v>2</v>
      </c>
      <c r="M272">
        <v>4</v>
      </c>
      <c r="N272">
        <v>30</v>
      </c>
      <c r="O272">
        <v>6</v>
      </c>
      <c r="P272">
        <v>4</v>
      </c>
      <c r="Q272">
        <v>1</v>
      </c>
      <c r="R272">
        <v>1</v>
      </c>
      <c r="S272">
        <v>1</v>
      </c>
      <c r="T272" s="3">
        <f t="shared" si="55"/>
        <v>0.88999895457577671</v>
      </c>
      <c r="U272" s="32">
        <f t="shared" si="56"/>
        <v>0.84420266961423651</v>
      </c>
      <c r="V272" s="32">
        <f t="shared" si="57"/>
        <v>1.0418053570413823</v>
      </c>
      <c r="W272" s="32">
        <f t="shared" si="58"/>
        <v>0.80698132232978881</v>
      </c>
      <c r="X272" s="32">
        <f t="shared" si="59"/>
        <v>1.0506390162289212</v>
      </c>
      <c r="Y272" s="32">
        <f t="shared" si="60"/>
        <v>0.86866731645372852</v>
      </c>
      <c r="Z272" s="32">
        <f t="shared" si="61"/>
        <v>0.81206041627470116</v>
      </c>
      <c r="AA272" s="32">
        <f t="shared" si="62"/>
        <v>0.80563658408767735</v>
      </c>
      <c r="AF272" s="40"/>
    </row>
    <row r="273" spans="1:32" customFormat="1" ht="14.25" hidden="1" customHeight="1" x14ac:dyDescent="0.35">
      <c r="A273" s="30">
        <f t="shared" si="54"/>
        <v>99</v>
      </c>
      <c r="B273">
        <v>771</v>
      </c>
      <c r="C273">
        <v>4</v>
      </c>
      <c r="D273">
        <v>4</v>
      </c>
      <c r="E273">
        <v>5</v>
      </c>
      <c r="F273">
        <v>3</v>
      </c>
      <c r="G273">
        <v>4</v>
      </c>
      <c r="H273">
        <v>4</v>
      </c>
      <c r="I273">
        <v>3</v>
      </c>
      <c r="J273">
        <v>2</v>
      </c>
      <c r="K273">
        <v>2</v>
      </c>
      <c r="L273">
        <v>2</v>
      </c>
      <c r="O273">
        <v>5</v>
      </c>
      <c r="P273">
        <v>6</v>
      </c>
      <c r="Q273">
        <v>2</v>
      </c>
      <c r="R273">
        <v>1</v>
      </c>
      <c r="S273">
        <v>1</v>
      </c>
      <c r="T273" s="3">
        <f t="shared" si="55"/>
        <v>-0.5648895639213557</v>
      </c>
      <c r="U273" s="32">
        <f t="shared" si="56"/>
        <v>-5.6401471461296142E-2</v>
      </c>
      <c r="V273" s="32">
        <f t="shared" si="57"/>
        <v>-1.2927857385104427</v>
      </c>
      <c r="W273" s="32">
        <f t="shared" si="58"/>
        <v>0.80698132232978881</v>
      </c>
      <c r="X273" s="32">
        <f t="shared" si="59"/>
        <v>-0.61891576076406762</v>
      </c>
      <c r="Y273" s="32">
        <f t="shared" si="60"/>
        <v>-1.6649456898696466</v>
      </c>
      <c r="Z273" s="32">
        <f t="shared" si="61"/>
        <v>-0.12522426979936985</v>
      </c>
      <c r="AA273" s="32">
        <f t="shared" si="62"/>
        <v>-1.002935339374456</v>
      </c>
      <c r="AF273" s="40"/>
    </row>
    <row r="274" spans="1:32" customFormat="1" ht="14.25" hidden="1" customHeight="1" x14ac:dyDescent="0.35">
      <c r="A274" s="30">
        <f t="shared" ref="A274:A337" si="63">IF(COUNTBLANK(J274:T274)&gt;0,99,1)</f>
        <v>99</v>
      </c>
      <c r="B274">
        <v>781</v>
      </c>
      <c r="C274">
        <v>1</v>
      </c>
      <c r="D274">
        <v>3</v>
      </c>
      <c r="E274">
        <v>5</v>
      </c>
      <c r="F274">
        <v>3</v>
      </c>
      <c r="G274">
        <v>4</v>
      </c>
      <c r="H274">
        <v>1</v>
      </c>
      <c r="I274">
        <v>1</v>
      </c>
      <c r="J274">
        <v>1</v>
      </c>
      <c r="O274">
        <v>6</v>
      </c>
      <c r="P274">
        <v>4</v>
      </c>
      <c r="Q274">
        <v>1</v>
      </c>
      <c r="R274">
        <v>2</v>
      </c>
      <c r="S274">
        <v>1</v>
      </c>
      <c r="T274" s="3">
        <f t="shared" ref="T274:T337" si="64">AVERAGE(U274:AA274)</f>
        <v>-1.4997526172156894</v>
      </c>
      <c r="U274" s="32">
        <f t="shared" ref="U274:U337" si="65">IF(ISTEXT(C274),"",STANDARDIZE(C274,AVERAGE(C$2:C$497),STDEV(C$2:C$497)))</f>
        <v>-2.758213894687894</v>
      </c>
      <c r="V274" s="32">
        <f t="shared" ref="V274:V337" si="66">IF(ISTEXT(D274),"",-1*STANDARDIZE(D274,AVERAGE(D$2:D$497),STDEV(D$2:D$497)))</f>
        <v>-0.51458870665983425</v>
      </c>
      <c r="W274" s="32">
        <f t="shared" ref="W274:W337" si="67">IF(ISTEXT(E274),"",STANDARDIZE(E274,AVERAGE(E$2:E$497),STDEV(E$2:E$497)))</f>
        <v>0.80698132232978881</v>
      </c>
      <c r="X274" s="32">
        <f t="shared" ref="X274:X337" si="68">IF(ISTEXT(F274),"",-1*STANDARDIZE(F274,AVERAGE(F$2:F$497),STDEV(F$2:F$497)))</f>
        <v>-0.61891576076406762</v>
      </c>
      <c r="Y274" s="32">
        <f t="shared" ref="Y274:Y337" si="69">IF(ISTEXT(G274),"",-1*STANDARDIZE(G274,AVERAGE(G$2:G$497),STDEV(G$2:G$497)))</f>
        <v>-1.6649456898696466</v>
      </c>
      <c r="Z274" s="32">
        <f t="shared" ref="Z274:Z337" si="70">IF(ISTEXT(H274),"",STANDARDIZE(H274,AVERAGE(H$2:H$497),STDEV(H$2:H$497)))</f>
        <v>-2.9370783280215829</v>
      </c>
      <c r="AA274" s="32">
        <f t="shared" ref="AA274:AA337" si="71">IF(ISTEXT(I274),"",STANDARDIZE(I274,AVERAGE(I$2:I$497),STDEV(I$2:I$497)))</f>
        <v>-2.8115072628365891</v>
      </c>
      <c r="AF274" s="40"/>
    </row>
    <row r="275" spans="1:32" customFormat="1" ht="14.25" hidden="1" customHeight="1" x14ac:dyDescent="0.35">
      <c r="A275" s="30">
        <f t="shared" si="63"/>
        <v>99</v>
      </c>
      <c r="B275">
        <v>785</v>
      </c>
      <c r="C275">
        <v>4</v>
      </c>
      <c r="D275">
        <v>2</v>
      </c>
      <c r="E275">
        <v>4</v>
      </c>
      <c r="F275">
        <v>2</v>
      </c>
      <c r="G275">
        <v>2</v>
      </c>
      <c r="H275">
        <v>4</v>
      </c>
      <c r="I275">
        <v>4</v>
      </c>
      <c r="J275">
        <v>2</v>
      </c>
      <c r="K275">
        <v>2</v>
      </c>
      <c r="O275">
        <v>6</v>
      </c>
      <c r="P275">
        <v>6</v>
      </c>
      <c r="Q275">
        <v>2</v>
      </c>
      <c r="R275">
        <v>3</v>
      </c>
      <c r="S275">
        <v>2</v>
      </c>
      <c r="T275" s="3">
        <f t="shared" si="64"/>
        <v>1.8048618835608161E-2</v>
      </c>
      <c r="U275" s="32">
        <f t="shared" si="65"/>
        <v>-5.6401471461296142E-2</v>
      </c>
      <c r="V275" s="32">
        <f t="shared" si="66"/>
        <v>0.26360832519077404</v>
      </c>
      <c r="W275" s="32">
        <f t="shared" si="67"/>
        <v>-9.6984149849158471E-2</v>
      </c>
      <c r="X275" s="32">
        <f t="shared" si="68"/>
        <v>0.21586162773242673</v>
      </c>
      <c r="Y275" s="32">
        <f t="shared" si="69"/>
        <v>2.4129647679270151E-2</v>
      </c>
      <c r="Z275" s="32">
        <f t="shared" si="70"/>
        <v>-0.12522426979936985</v>
      </c>
      <c r="AA275" s="32">
        <f t="shared" si="71"/>
        <v>-9.8649377643389324E-2</v>
      </c>
      <c r="AF275" s="40"/>
    </row>
    <row r="276" spans="1:32" customFormat="1" ht="14.25" hidden="1" customHeight="1" x14ac:dyDescent="0.35">
      <c r="A276" s="30">
        <f t="shared" si="63"/>
        <v>99</v>
      </c>
      <c r="B276">
        <v>793</v>
      </c>
      <c r="C276">
        <v>5</v>
      </c>
      <c r="D276">
        <v>1</v>
      </c>
      <c r="E276">
        <v>1</v>
      </c>
      <c r="F276">
        <v>1</v>
      </c>
      <c r="G276">
        <v>5</v>
      </c>
      <c r="H276">
        <v>1</v>
      </c>
      <c r="I276">
        <v>3</v>
      </c>
      <c r="J276">
        <v>1</v>
      </c>
      <c r="K276">
        <v>1</v>
      </c>
      <c r="O276">
        <v>6</v>
      </c>
      <c r="P276">
        <v>4</v>
      </c>
      <c r="Q276">
        <v>1</v>
      </c>
      <c r="R276">
        <v>2</v>
      </c>
      <c r="S276">
        <v>1</v>
      </c>
      <c r="T276" s="3">
        <f t="shared" si="64"/>
        <v>-0.90310436422022911</v>
      </c>
      <c r="U276" s="32">
        <f t="shared" si="65"/>
        <v>0.84420266961423651</v>
      </c>
      <c r="V276" s="32">
        <f t="shared" si="66"/>
        <v>1.0418053570413823</v>
      </c>
      <c r="W276" s="32">
        <f t="shared" si="67"/>
        <v>-2.8088805663860001</v>
      </c>
      <c r="X276" s="32">
        <f t="shared" si="68"/>
        <v>1.0506390162289212</v>
      </c>
      <c r="Y276" s="32">
        <f t="shared" si="69"/>
        <v>-2.509483358644105</v>
      </c>
      <c r="Z276" s="32">
        <f t="shared" si="70"/>
        <v>-2.9370783280215829</v>
      </c>
      <c r="AA276" s="32">
        <f t="shared" si="71"/>
        <v>-1.002935339374456</v>
      </c>
      <c r="AF276" s="40"/>
    </row>
    <row r="277" spans="1:32" customFormat="1" ht="14.25" hidden="1" customHeight="1" x14ac:dyDescent="0.35">
      <c r="A277" s="30">
        <f t="shared" si="63"/>
        <v>99</v>
      </c>
      <c r="B277">
        <v>805</v>
      </c>
      <c r="C277">
        <v>5</v>
      </c>
      <c r="D277">
        <v>1</v>
      </c>
      <c r="E277">
        <v>5</v>
      </c>
      <c r="F277">
        <v>4</v>
      </c>
      <c r="G277">
        <v>3</v>
      </c>
      <c r="H277">
        <v>5</v>
      </c>
      <c r="I277">
        <v>5</v>
      </c>
      <c r="J277">
        <v>2</v>
      </c>
      <c r="K277">
        <v>1</v>
      </c>
      <c r="O277">
        <v>6</v>
      </c>
      <c r="P277">
        <v>4</v>
      </c>
      <c r="Q277">
        <v>1</v>
      </c>
      <c r="R277">
        <v>2</v>
      </c>
      <c r="S277">
        <v>3</v>
      </c>
      <c r="T277" s="3">
        <f t="shared" si="64"/>
        <v>0.29094073985600516</v>
      </c>
      <c r="U277" s="32">
        <f t="shared" si="65"/>
        <v>0.84420266961423651</v>
      </c>
      <c r="V277" s="32">
        <f t="shared" si="66"/>
        <v>1.0418053570413823</v>
      </c>
      <c r="W277" s="32">
        <f t="shared" si="67"/>
        <v>0.80698132232978881</v>
      </c>
      <c r="X277" s="32">
        <f t="shared" si="68"/>
        <v>-1.453693149260562</v>
      </c>
      <c r="Y277" s="32">
        <f t="shared" si="69"/>
        <v>-0.82040802109518818</v>
      </c>
      <c r="Z277" s="32">
        <f t="shared" si="70"/>
        <v>0.81206041627470116</v>
      </c>
      <c r="AA277" s="32">
        <f t="shared" si="71"/>
        <v>0.80563658408767735</v>
      </c>
      <c r="AF277" s="40"/>
    </row>
    <row r="278" spans="1:32" customFormat="1" ht="14.25" hidden="1" customHeight="1" x14ac:dyDescent="0.35">
      <c r="A278" s="30">
        <f t="shared" si="63"/>
        <v>99</v>
      </c>
      <c r="B278">
        <v>808</v>
      </c>
      <c r="C278">
        <v>5</v>
      </c>
      <c r="D278">
        <v>1</v>
      </c>
      <c r="E278">
        <v>5</v>
      </c>
      <c r="F278">
        <v>1</v>
      </c>
      <c r="G278">
        <v>1</v>
      </c>
      <c r="H278">
        <v>5</v>
      </c>
      <c r="I278">
        <v>5</v>
      </c>
      <c r="J278">
        <v>2</v>
      </c>
      <c r="L278">
        <v>1</v>
      </c>
      <c r="M278">
        <v>3</v>
      </c>
      <c r="N278">
        <v>0</v>
      </c>
      <c r="O278">
        <v>3</v>
      </c>
      <c r="P278">
        <v>4</v>
      </c>
      <c r="Q278">
        <v>1</v>
      </c>
      <c r="R278">
        <v>1</v>
      </c>
      <c r="S278">
        <v>1</v>
      </c>
      <c r="T278" s="3">
        <f t="shared" si="64"/>
        <v>0.88999895457577671</v>
      </c>
      <c r="U278" s="32">
        <f t="shared" si="65"/>
        <v>0.84420266961423651</v>
      </c>
      <c r="V278" s="32">
        <f t="shared" si="66"/>
        <v>1.0418053570413823</v>
      </c>
      <c r="W278" s="32">
        <f t="shared" si="67"/>
        <v>0.80698132232978881</v>
      </c>
      <c r="X278" s="32">
        <f t="shared" si="68"/>
        <v>1.0506390162289212</v>
      </c>
      <c r="Y278" s="32">
        <f t="shared" si="69"/>
        <v>0.86866731645372852</v>
      </c>
      <c r="Z278" s="32">
        <f t="shared" si="70"/>
        <v>0.81206041627470116</v>
      </c>
      <c r="AA278" s="32">
        <f t="shared" si="71"/>
        <v>0.80563658408767735</v>
      </c>
      <c r="AF278" s="40"/>
    </row>
    <row r="279" spans="1:32" customFormat="1" ht="14.25" hidden="1" customHeight="1" x14ac:dyDescent="0.35">
      <c r="A279" s="30">
        <f t="shared" si="63"/>
        <v>99</v>
      </c>
      <c r="B279">
        <v>815</v>
      </c>
      <c r="C279">
        <v>5</v>
      </c>
      <c r="D279">
        <v>1</v>
      </c>
      <c r="E279">
        <v>5</v>
      </c>
      <c r="F279">
        <v>4</v>
      </c>
      <c r="G279">
        <v>1</v>
      </c>
      <c r="H279">
        <v>5</v>
      </c>
      <c r="I279">
        <v>5</v>
      </c>
      <c r="J279">
        <v>1</v>
      </c>
      <c r="O279">
        <v>6</v>
      </c>
      <c r="P279">
        <v>6</v>
      </c>
      <c r="Q279">
        <v>1</v>
      </c>
      <c r="R279">
        <v>3</v>
      </c>
      <c r="S279">
        <v>1</v>
      </c>
      <c r="T279" s="3">
        <f t="shared" si="64"/>
        <v>0.53223721664870749</v>
      </c>
      <c r="U279" s="32">
        <f t="shared" si="65"/>
        <v>0.84420266961423651</v>
      </c>
      <c r="V279" s="32">
        <f t="shared" si="66"/>
        <v>1.0418053570413823</v>
      </c>
      <c r="W279" s="32">
        <f t="shared" si="67"/>
        <v>0.80698132232978881</v>
      </c>
      <c r="X279" s="32">
        <f t="shared" si="68"/>
        <v>-1.453693149260562</v>
      </c>
      <c r="Y279" s="32">
        <f t="shared" si="69"/>
        <v>0.86866731645372852</v>
      </c>
      <c r="Z279" s="32">
        <f t="shared" si="70"/>
        <v>0.81206041627470116</v>
      </c>
      <c r="AA279" s="32">
        <f t="shared" si="71"/>
        <v>0.80563658408767735</v>
      </c>
      <c r="AF279" s="40"/>
    </row>
    <row r="280" spans="1:32" customFormat="1" ht="14.25" hidden="1" customHeight="1" x14ac:dyDescent="0.35">
      <c r="A280" s="30">
        <f t="shared" si="63"/>
        <v>99</v>
      </c>
      <c r="B280">
        <v>825</v>
      </c>
      <c r="C280">
        <v>3</v>
      </c>
      <c r="D280">
        <v>2</v>
      </c>
      <c r="E280">
        <v>4</v>
      </c>
      <c r="F280">
        <v>4</v>
      </c>
      <c r="G280">
        <v>3</v>
      </c>
      <c r="H280">
        <v>3</v>
      </c>
      <c r="I280">
        <v>3</v>
      </c>
      <c r="J280">
        <v>1</v>
      </c>
      <c r="L280">
        <v>1</v>
      </c>
      <c r="M280">
        <v>1</v>
      </c>
      <c r="N280">
        <v>0</v>
      </c>
      <c r="O280">
        <v>6</v>
      </c>
      <c r="P280">
        <v>5</v>
      </c>
      <c r="Q280">
        <v>2</v>
      </c>
      <c r="R280">
        <v>3</v>
      </c>
      <c r="S280">
        <v>1</v>
      </c>
      <c r="T280" s="3">
        <f t="shared" si="64"/>
        <v>-0.73284670039983724</v>
      </c>
      <c r="U280" s="32">
        <f t="shared" si="65"/>
        <v>-0.95700561253682881</v>
      </c>
      <c r="V280" s="32">
        <f t="shared" si="66"/>
        <v>0.26360832519077404</v>
      </c>
      <c r="W280" s="32">
        <f t="shared" si="67"/>
        <v>-9.6984149849158471E-2</v>
      </c>
      <c r="X280" s="32">
        <f t="shared" si="68"/>
        <v>-1.453693149260562</v>
      </c>
      <c r="Y280" s="32">
        <f t="shared" si="69"/>
        <v>-0.82040802109518818</v>
      </c>
      <c r="Z280" s="32">
        <f t="shared" si="70"/>
        <v>-1.0625089558734409</v>
      </c>
      <c r="AA280" s="32">
        <f t="shared" si="71"/>
        <v>-1.002935339374456</v>
      </c>
      <c r="AF280" s="40"/>
    </row>
    <row r="281" spans="1:32" customFormat="1" ht="14.25" hidden="1" customHeight="1" x14ac:dyDescent="0.35">
      <c r="A281" s="30">
        <f t="shared" si="63"/>
        <v>99</v>
      </c>
      <c r="B281">
        <v>847</v>
      </c>
      <c r="C281">
        <v>5</v>
      </c>
      <c r="D281">
        <v>4</v>
      </c>
      <c r="E281">
        <v>4</v>
      </c>
      <c r="F281">
        <v>2</v>
      </c>
      <c r="G281">
        <v>2</v>
      </c>
      <c r="H281">
        <v>4</v>
      </c>
      <c r="I281">
        <v>4</v>
      </c>
      <c r="J281">
        <v>2</v>
      </c>
      <c r="L281">
        <v>1</v>
      </c>
      <c r="M281">
        <v>2</v>
      </c>
      <c r="N281">
        <v>1</v>
      </c>
      <c r="O281">
        <v>6</v>
      </c>
      <c r="P281">
        <v>6</v>
      </c>
      <c r="Q281">
        <v>1</v>
      </c>
      <c r="R281">
        <v>3</v>
      </c>
      <c r="S281">
        <v>2</v>
      </c>
      <c r="T281" s="3">
        <f t="shared" si="64"/>
        <v>-7.5635655825203846E-2</v>
      </c>
      <c r="U281" s="32">
        <f t="shared" si="65"/>
        <v>0.84420266961423651</v>
      </c>
      <c r="V281" s="32">
        <f t="shared" si="66"/>
        <v>-1.2927857385104427</v>
      </c>
      <c r="W281" s="32">
        <f t="shared" si="67"/>
        <v>-9.6984149849158471E-2</v>
      </c>
      <c r="X281" s="32">
        <f t="shared" si="68"/>
        <v>0.21586162773242673</v>
      </c>
      <c r="Y281" s="32">
        <f t="shared" si="69"/>
        <v>2.4129647679270151E-2</v>
      </c>
      <c r="Z281" s="32">
        <f t="shared" si="70"/>
        <v>-0.12522426979936985</v>
      </c>
      <c r="AA281" s="32">
        <f t="shared" si="71"/>
        <v>-9.8649377643389324E-2</v>
      </c>
      <c r="AF281" s="40"/>
    </row>
    <row r="282" spans="1:32" customFormat="1" ht="14.25" hidden="1" customHeight="1" x14ac:dyDescent="0.35">
      <c r="A282" s="30">
        <f t="shared" si="63"/>
        <v>99</v>
      </c>
      <c r="B282">
        <v>852</v>
      </c>
      <c r="C282">
        <v>4</v>
      </c>
      <c r="D282">
        <v>2</v>
      </c>
      <c r="E282">
        <v>2</v>
      </c>
      <c r="F282">
        <v>3</v>
      </c>
      <c r="G282">
        <v>2</v>
      </c>
      <c r="H282">
        <v>4</v>
      </c>
      <c r="I282">
        <v>4</v>
      </c>
      <c r="J282">
        <v>2</v>
      </c>
      <c r="O282">
        <v>5</v>
      </c>
      <c r="P282">
        <v>4</v>
      </c>
      <c r="Q282">
        <v>2</v>
      </c>
      <c r="R282">
        <v>3</v>
      </c>
      <c r="S282">
        <v>4</v>
      </c>
      <c r="T282" s="3">
        <f t="shared" si="64"/>
        <v>-0.35948114300073314</v>
      </c>
      <c r="U282" s="32">
        <f t="shared" si="65"/>
        <v>-5.6401471461296142E-2</v>
      </c>
      <c r="V282" s="32">
        <f t="shared" si="66"/>
        <v>0.26360832519077404</v>
      </c>
      <c r="W282" s="32">
        <f t="shared" si="67"/>
        <v>-1.904915094207053</v>
      </c>
      <c r="X282" s="32">
        <f t="shared" si="68"/>
        <v>-0.61891576076406762</v>
      </c>
      <c r="Y282" s="32">
        <f t="shared" si="69"/>
        <v>2.4129647679270151E-2</v>
      </c>
      <c r="Z282" s="32">
        <f t="shared" si="70"/>
        <v>-0.12522426979936985</v>
      </c>
      <c r="AA282" s="32">
        <f t="shared" si="71"/>
        <v>-9.8649377643389324E-2</v>
      </c>
      <c r="AF282" s="40"/>
    </row>
    <row r="283" spans="1:32" customFormat="1" ht="14.25" hidden="1" customHeight="1" x14ac:dyDescent="0.35">
      <c r="A283" s="30">
        <f t="shared" si="63"/>
        <v>99</v>
      </c>
      <c r="B283">
        <v>860</v>
      </c>
      <c r="C283">
        <v>5</v>
      </c>
      <c r="D283">
        <v>1</v>
      </c>
      <c r="E283">
        <v>5</v>
      </c>
      <c r="F283">
        <v>2</v>
      </c>
      <c r="G283">
        <v>3</v>
      </c>
      <c r="H283">
        <v>5</v>
      </c>
      <c r="I283">
        <v>5</v>
      </c>
      <c r="J283">
        <v>3</v>
      </c>
      <c r="L283">
        <v>2</v>
      </c>
      <c r="O283">
        <v>6</v>
      </c>
      <c r="P283">
        <v>4</v>
      </c>
      <c r="Q283">
        <v>3</v>
      </c>
      <c r="R283">
        <v>3</v>
      </c>
      <c r="S283">
        <v>3</v>
      </c>
      <c r="T283" s="3">
        <f t="shared" si="64"/>
        <v>0.52944856514071781</v>
      </c>
      <c r="U283" s="32">
        <f t="shared" si="65"/>
        <v>0.84420266961423651</v>
      </c>
      <c r="V283" s="32">
        <f t="shared" si="66"/>
        <v>1.0418053570413823</v>
      </c>
      <c r="W283" s="32">
        <f t="shared" si="67"/>
        <v>0.80698132232978881</v>
      </c>
      <c r="X283" s="32">
        <f t="shared" si="68"/>
        <v>0.21586162773242673</v>
      </c>
      <c r="Y283" s="32">
        <f t="shared" si="69"/>
        <v>-0.82040802109518818</v>
      </c>
      <c r="Z283" s="32">
        <f t="shared" si="70"/>
        <v>0.81206041627470116</v>
      </c>
      <c r="AA283" s="32">
        <f t="shared" si="71"/>
        <v>0.80563658408767735</v>
      </c>
      <c r="AF283" s="40"/>
    </row>
    <row r="284" spans="1:32" customFormat="1" ht="14.25" hidden="1" customHeight="1" x14ac:dyDescent="0.35">
      <c r="A284" s="30">
        <f t="shared" si="63"/>
        <v>99</v>
      </c>
      <c r="B284">
        <v>898</v>
      </c>
      <c r="C284">
        <v>4</v>
      </c>
      <c r="D284">
        <v>2</v>
      </c>
      <c r="E284">
        <v>4</v>
      </c>
      <c r="F284">
        <v>3</v>
      </c>
      <c r="G284">
        <v>2</v>
      </c>
      <c r="H284">
        <v>4</v>
      </c>
      <c r="I284">
        <v>4</v>
      </c>
      <c r="J284">
        <v>1</v>
      </c>
      <c r="L284">
        <v>1</v>
      </c>
      <c r="M284">
        <v>3</v>
      </c>
      <c r="N284">
        <v>0</v>
      </c>
      <c r="O284">
        <v>6</v>
      </c>
      <c r="P284">
        <v>5</v>
      </c>
      <c r="Q284">
        <v>2</v>
      </c>
      <c r="R284">
        <v>4</v>
      </c>
      <c r="S284">
        <v>3</v>
      </c>
      <c r="T284" s="3">
        <f t="shared" si="64"/>
        <v>-0.10120529380674817</v>
      </c>
      <c r="U284" s="32">
        <f t="shared" si="65"/>
        <v>-5.6401471461296142E-2</v>
      </c>
      <c r="V284" s="32">
        <f t="shared" si="66"/>
        <v>0.26360832519077404</v>
      </c>
      <c r="W284" s="32">
        <f t="shared" si="67"/>
        <v>-9.6984149849158471E-2</v>
      </c>
      <c r="X284" s="32">
        <f t="shared" si="68"/>
        <v>-0.61891576076406762</v>
      </c>
      <c r="Y284" s="32">
        <f t="shared" si="69"/>
        <v>2.4129647679270151E-2</v>
      </c>
      <c r="Z284" s="32">
        <f t="shared" si="70"/>
        <v>-0.12522426979936985</v>
      </c>
      <c r="AA284" s="32">
        <f t="shared" si="71"/>
        <v>-9.8649377643389324E-2</v>
      </c>
      <c r="AF284" s="40"/>
    </row>
    <row r="285" spans="1:32" customFormat="1" ht="14.25" hidden="1" customHeight="1" x14ac:dyDescent="0.35">
      <c r="A285" s="30">
        <f t="shared" si="63"/>
        <v>99</v>
      </c>
      <c r="B285">
        <v>906</v>
      </c>
      <c r="C285">
        <v>5</v>
      </c>
      <c r="D285">
        <v>3</v>
      </c>
      <c r="E285">
        <v>5</v>
      </c>
      <c r="F285">
        <v>3</v>
      </c>
      <c r="G285">
        <v>2</v>
      </c>
      <c r="H285">
        <v>2</v>
      </c>
      <c r="I285">
        <v>5</v>
      </c>
      <c r="J285">
        <v>3</v>
      </c>
      <c r="L285">
        <v>2</v>
      </c>
      <c r="M285">
        <v>5</v>
      </c>
      <c r="N285">
        <v>30</v>
      </c>
      <c r="O285">
        <v>4</v>
      </c>
      <c r="P285">
        <v>6</v>
      </c>
      <c r="Q285">
        <v>3</v>
      </c>
      <c r="R285">
        <v>1</v>
      </c>
      <c r="S285">
        <v>1</v>
      </c>
      <c r="T285" s="3">
        <f t="shared" si="64"/>
        <v>-9.319255509434865E-2</v>
      </c>
      <c r="U285" s="32">
        <f t="shared" si="65"/>
        <v>0.84420266961423651</v>
      </c>
      <c r="V285" s="32">
        <f t="shared" si="66"/>
        <v>-0.51458870665983425</v>
      </c>
      <c r="W285" s="32">
        <f t="shared" si="67"/>
        <v>0.80698132232978881</v>
      </c>
      <c r="X285" s="32">
        <f t="shared" si="68"/>
        <v>-0.61891576076406762</v>
      </c>
      <c r="Y285" s="32">
        <f t="shared" si="69"/>
        <v>2.4129647679270151E-2</v>
      </c>
      <c r="Z285" s="32">
        <f t="shared" si="70"/>
        <v>-1.9997936419475117</v>
      </c>
      <c r="AA285" s="32">
        <f t="shared" si="71"/>
        <v>0.80563658408767735</v>
      </c>
      <c r="AF285" s="40"/>
    </row>
    <row r="286" spans="1:32" customFormat="1" ht="14.25" hidden="1" customHeight="1" x14ac:dyDescent="0.35">
      <c r="A286" s="30">
        <f t="shared" si="63"/>
        <v>99</v>
      </c>
      <c r="B286">
        <v>919</v>
      </c>
      <c r="C286">
        <v>3</v>
      </c>
      <c r="D286">
        <v>3</v>
      </c>
      <c r="E286">
        <v>2</v>
      </c>
      <c r="F286">
        <v>5</v>
      </c>
      <c r="G286">
        <v>4</v>
      </c>
      <c r="H286">
        <v>1</v>
      </c>
      <c r="I286">
        <v>4</v>
      </c>
      <c r="J286">
        <v>1</v>
      </c>
      <c r="L286">
        <v>1</v>
      </c>
      <c r="M286">
        <v>1</v>
      </c>
      <c r="N286">
        <v>0</v>
      </c>
      <c r="O286">
        <v>4</v>
      </c>
      <c r="P286">
        <v>4</v>
      </c>
      <c r="Q286">
        <v>1</v>
      </c>
      <c r="R286">
        <v>3</v>
      </c>
      <c r="S286">
        <v>3</v>
      </c>
      <c r="T286" s="3">
        <f t="shared" si="64"/>
        <v>-1.4808076209564844</v>
      </c>
      <c r="U286" s="32">
        <f t="shared" si="65"/>
        <v>-0.95700561253682881</v>
      </c>
      <c r="V286" s="32">
        <f t="shared" si="66"/>
        <v>-0.51458870665983425</v>
      </c>
      <c r="W286" s="32">
        <f t="shared" si="67"/>
        <v>-1.904915094207053</v>
      </c>
      <c r="X286" s="32">
        <f t="shared" si="68"/>
        <v>-2.2884705377570564</v>
      </c>
      <c r="Y286" s="32">
        <f t="shared" si="69"/>
        <v>-1.6649456898696466</v>
      </c>
      <c r="Z286" s="32">
        <f t="shared" si="70"/>
        <v>-2.9370783280215829</v>
      </c>
      <c r="AA286" s="32">
        <f t="shared" si="71"/>
        <v>-9.8649377643389324E-2</v>
      </c>
      <c r="AF286" s="40"/>
    </row>
    <row r="287" spans="1:32" customFormat="1" ht="14.25" hidden="1" customHeight="1" x14ac:dyDescent="0.35">
      <c r="A287" s="30">
        <f t="shared" si="63"/>
        <v>99</v>
      </c>
      <c r="B287">
        <v>929</v>
      </c>
      <c r="C287">
        <v>5</v>
      </c>
      <c r="D287">
        <v>5</v>
      </c>
      <c r="E287">
        <v>5</v>
      </c>
      <c r="F287">
        <v>1</v>
      </c>
      <c r="G287">
        <v>1</v>
      </c>
      <c r="H287">
        <v>5</v>
      </c>
      <c r="I287">
        <v>5</v>
      </c>
      <c r="J287">
        <v>3</v>
      </c>
      <c r="K287">
        <v>2</v>
      </c>
      <c r="L287">
        <v>3</v>
      </c>
      <c r="O287">
        <v>6</v>
      </c>
      <c r="P287">
        <v>3</v>
      </c>
      <c r="Q287">
        <v>2</v>
      </c>
      <c r="R287">
        <v>4</v>
      </c>
      <c r="S287">
        <v>2</v>
      </c>
      <c r="T287" s="3">
        <f t="shared" si="64"/>
        <v>0.44531493637542902</v>
      </c>
      <c r="U287" s="32">
        <f t="shared" si="65"/>
        <v>0.84420266961423651</v>
      </c>
      <c r="V287" s="32">
        <f t="shared" si="66"/>
        <v>-2.0709827703610508</v>
      </c>
      <c r="W287" s="32">
        <f t="shared" si="67"/>
        <v>0.80698132232978881</v>
      </c>
      <c r="X287" s="32">
        <f t="shared" si="68"/>
        <v>1.0506390162289212</v>
      </c>
      <c r="Y287" s="32">
        <f t="shared" si="69"/>
        <v>0.86866731645372852</v>
      </c>
      <c r="Z287" s="32">
        <f t="shared" si="70"/>
        <v>0.81206041627470116</v>
      </c>
      <c r="AA287" s="32">
        <f t="shared" si="71"/>
        <v>0.80563658408767735</v>
      </c>
      <c r="AF287" s="40"/>
    </row>
    <row r="288" spans="1:32" customFormat="1" ht="14.25" hidden="1" customHeight="1" x14ac:dyDescent="0.35">
      <c r="A288" s="30">
        <f t="shared" si="63"/>
        <v>99</v>
      </c>
      <c r="B288">
        <v>941</v>
      </c>
      <c r="C288">
        <v>4</v>
      </c>
      <c r="D288">
        <v>3</v>
      </c>
      <c r="E288">
        <v>4</v>
      </c>
      <c r="F288">
        <v>4</v>
      </c>
      <c r="G288">
        <v>2</v>
      </c>
      <c r="H288">
        <v>3</v>
      </c>
      <c r="I288">
        <v>2</v>
      </c>
      <c r="J288">
        <v>2</v>
      </c>
      <c r="L288">
        <v>3</v>
      </c>
      <c r="O288">
        <v>5</v>
      </c>
      <c r="P288">
        <v>4</v>
      </c>
      <c r="Q288">
        <v>2</v>
      </c>
      <c r="R288">
        <v>2</v>
      </c>
      <c r="S288">
        <v>2</v>
      </c>
      <c r="T288" s="3">
        <f t="shared" si="64"/>
        <v>-0.7238954409329349</v>
      </c>
      <c r="U288" s="32">
        <f t="shared" si="65"/>
        <v>-5.6401471461296142E-2</v>
      </c>
      <c r="V288" s="32">
        <f t="shared" si="66"/>
        <v>-0.51458870665983425</v>
      </c>
      <c r="W288" s="32">
        <f t="shared" si="67"/>
        <v>-9.6984149849158471E-2</v>
      </c>
      <c r="X288" s="32">
        <f t="shared" si="68"/>
        <v>-1.453693149260562</v>
      </c>
      <c r="Y288" s="32">
        <f t="shared" si="69"/>
        <v>2.4129647679270151E-2</v>
      </c>
      <c r="Z288" s="32">
        <f t="shared" si="70"/>
        <v>-1.0625089558734409</v>
      </c>
      <c r="AA288" s="32">
        <f t="shared" si="71"/>
        <v>-1.9072213011055226</v>
      </c>
      <c r="AF288" s="40"/>
    </row>
    <row r="289" spans="1:32" customFormat="1" ht="14.25" hidden="1" customHeight="1" x14ac:dyDescent="0.35">
      <c r="A289" s="30">
        <f t="shared" si="63"/>
        <v>99</v>
      </c>
      <c r="B289">
        <v>942</v>
      </c>
      <c r="C289">
        <v>3</v>
      </c>
      <c r="D289">
        <v>3</v>
      </c>
      <c r="E289">
        <v>4</v>
      </c>
      <c r="F289">
        <v>3</v>
      </c>
      <c r="G289">
        <v>3</v>
      </c>
      <c r="H289">
        <v>4</v>
      </c>
      <c r="I289">
        <v>5</v>
      </c>
      <c r="J289">
        <v>2</v>
      </c>
      <c r="L289">
        <v>1</v>
      </c>
      <c r="O289">
        <v>6</v>
      </c>
      <c r="P289">
        <v>5</v>
      </c>
      <c r="Q289">
        <v>4</v>
      </c>
      <c r="S289">
        <v>5</v>
      </c>
      <c r="T289" s="3">
        <f t="shared" si="64"/>
        <v>-0.33249856237382425</v>
      </c>
      <c r="U289" s="32">
        <f t="shared" si="65"/>
        <v>-0.95700561253682881</v>
      </c>
      <c r="V289" s="32">
        <f t="shared" si="66"/>
        <v>-0.51458870665983425</v>
      </c>
      <c r="W289" s="32">
        <f t="shared" si="67"/>
        <v>-9.6984149849158471E-2</v>
      </c>
      <c r="X289" s="32">
        <f t="shared" si="68"/>
        <v>-0.61891576076406762</v>
      </c>
      <c r="Y289" s="32">
        <f t="shared" si="69"/>
        <v>-0.82040802109518818</v>
      </c>
      <c r="Z289" s="32">
        <f t="shared" si="70"/>
        <v>-0.12522426979936985</v>
      </c>
      <c r="AA289" s="32">
        <f t="shared" si="71"/>
        <v>0.80563658408767735</v>
      </c>
      <c r="AF289" s="40"/>
    </row>
    <row r="290" spans="1:32" customFormat="1" ht="14.25" hidden="1" customHeight="1" x14ac:dyDescent="0.35">
      <c r="A290" s="30">
        <f t="shared" si="63"/>
        <v>99</v>
      </c>
      <c r="B290">
        <v>947</v>
      </c>
      <c r="C290">
        <v>5</v>
      </c>
      <c r="D290">
        <v>1</v>
      </c>
      <c r="E290">
        <v>5</v>
      </c>
      <c r="F290">
        <v>1</v>
      </c>
      <c r="G290">
        <v>1</v>
      </c>
      <c r="H290">
        <v>5</v>
      </c>
      <c r="I290">
        <v>5</v>
      </c>
      <c r="J290">
        <v>2</v>
      </c>
      <c r="L290">
        <v>1</v>
      </c>
      <c r="M290">
        <v>2</v>
      </c>
      <c r="N290">
        <v>0</v>
      </c>
      <c r="O290">
        <v>6</v>
      </c>
      <c r="P290">
        <v>6</v>
      </c>
      <c r="Q290">
        <v>1</v>
      </c>
      <c r="R290">
        <v>5</v>
      </c>
      <c r="S290">
        <v>1</v>
      </c>
      <c r="T290" s="3">
        <f t="shared" si="64"/>
        <v>0.88999895457577671</v>
      </c>
      <c r="U290" s="32">
        <f t="shared" si="65"/>
        <v>0.84420266961423651</v>
      </c>
      <c r="V290" s="32">
        <f t="shared" si="66"/>
        <v>1.0418053570413823</v>
      </c>
      <c r="W290" s="32">
        <f t="shared" si="67"/>
        <v>0.80698132232978881</v>
      </c>
      <c r="X290" s="32">
        <f t="shared" si="68"/>
        <v>1.0506390162289212</v>
      </c>
      <c r="Y290" s="32">
        <f t="shared" si="69"/>
        <v>0.86866731645372852</v>
      </c>
      <c r="Z290" s="32">
        <f t="shared" si="70"/>
        <v>0.81206041627470116</v>
      </c>
      <c r="AA290" s="32">
        <f t="shared" si="71"/>
        <v>0.80563658408767735</v>
      </c>
      <c r="AF290" s="40"/>
    </row>
    <row r="291" spans="1:32" customFormat="1" ht="14.25" hidden="1" customHeight="1" x14ac:dyDescent="0.35">
      <c r="A291" s="30">
        <f t="shared" si="63"/>
        <v>99</v>
      </c>
      <c r="B291">
        <v>953</v>
      </c>
      <c r="C291">
        <v>5</v>
      </c>
      <c r="D291">
        <v>1</v>
      </c>
      <c r="E291">
        <v>5</v>
      </c>
      <c r="F291">
        <v>1</v>
      </c>
      <c r="G291">
        <v>1</v>
      </c>
      <c r="H291">
        <v>5</v>
      </c>
      <c r="I291">
        <v>5</v>
      </c>
      <c r="J291">
        <v>2</v>
      </c>
      <c r="L291">
        <v>1</v>
      </c>
      <c r="M291">
        <v>2</v>
      </c>
      <c r="N291">
        <v>0</v>
      </c>
      <c r="O291">
        <v>6</v>
      </c>
      <c r="P291">
        <v>6</v>
      </c>
      <c r="Q291">
        <v>1</v>
      </c>
      <c r="R291">
        <v>2</v>
      </c>
      <c r="S291">
        <v>1</v>
      </c>
      <c r="T291" s="3">
        <f t="shared" si="64"/>
        <v>0.88999895457577671</v>
      </c>
      <c r="U291" s="32">
        <f t="shared" si="65"/>
        <v>0.84420266961423651</v>
      </c>
      <c r="V291" s="32">
        <f t="shared" si="66"/>
        <v>1.0418053570413823</v>
      </c>
      <c r="W291" s="32">
        <f t="shared" si="67"/>
        <v>0.80698132232978881</v>
      </c>
      <c r="X291" s="32">
        <f t="shared" si="68"/>
        <v>1.0506390162289212</v>
      </c>
      <c r="Y291" s="32">
        <f t="shared" si="69"/>
        <v>0.86866731645372852</v>
      </c>
      <c r="Z291" s="32">
        <f t="shared" si="70"/>
        <v>0.81206041627470116</v>
      </c>
      <c r="AA291" s="32">
        <f t="shared" si="71"/>
        <v>0.80563658408767735</v>
      </c>
      <c r="AF291" s="40"/>
    </row>
    <row r="292" spans="1:32" customFormat="1" ht="14.25" hidden="1" customHeight="1" x14ac:dyDescent="0.35">
      <c r="A292" s="30">
        <f t="shared" si="63"/>
        <v>99</v>
      </c>
      <c r="B292">
        <v>962</v>
      </c>
      <c r="C292">
        <v>4</v>
      </c>
      <c r="D292">
        <v>2</v>
      </c>
      <c r="E292">
        <v>5</v>
      </c>
      <c r="F292">
        <v>2</v>
      </c>
      <c r="G292">
        <v>2</v>
      </c>
      <c r="H292">
        <v>4</v>
      </c>
      <c r="I292">
        <v>4</v>
      </c>
      <c r="J292">
        <v>2</v>
      </c>
      <c r="L292">
        <v>3</v>
      </c>
      <c r="M292">
        <v>3</v>
      </c>
      <c r="N292">
        <v>0</v>
      </c>
      <c r="O292">
        <v>6</v>
      </c>
      <c r="P292">
        <v>1</v>
      </c>
      <c r="Q292">
        <v>2</v>
      </c>
      <c r="R292">
        <v>2</v>
      </c>
      <c r="S292">
        <v>2</v>
      </c>
      <c r="T292" s="3">
        <f t="shared" si="64"/>
        <v>0.1471865434326006</v>
      </c>
      <c r="U292" s="32">
        <f t="shared" si="65"/>
        <v>-5.6401471461296142E-2</v>
      </c>
      <c r="V292" s="32">
        <f t="shared" si="66"/>
        <v>0.26360832519077404</v>
      </c>
      <c r="W292" s="32">
        <f t="shared" si="67"/>
        <v>0.80698132232978881</v>
      </c>
      <c r="X292" s="32">
        <f t="shared" si="68"/>
        <v>0.21586162773242673</v>
      </c>
      <c r="Y292" s="32">
        <f t="shared" si="69"/>
        <v>2.4129647679270151E-2</v>
      </c>
      <c r="Z292" s="32">
        <f t="shared" si="70"/>
        <v>-0.12522426979936985</v>
      </c>
      <c r="AA292" s="32">
        <f t="shared" si="71"/>
        <v>-9.8649377643389324E-2</v>
      </c>
      <c r="AF292" s="40"/>
    </row>
    <row r="293" spans="1:32" customFormat="1" ht="14.25" hidden="1" customHeight="1" x14ac:dyDescent="0.35">
      <c r="A293" s="30">
        <f t="shared" si="63"/>
        <v>99</v>
      </c>
      <c r="B293">
        <v>964</v>
      </c>
      <c r="C293">
        <v>4</v>
      </c>
      <c r="D293">
        <v>3</v>
      </c>
      <c r="E293">
        <v>4</v>
      </c>
      <c r="F293">
        <v>3</v>
      </c>
      <c r="G293">
        <v>4</v>
      </c>
      <c r="H293">
        <v>3</v>
      </c>
      <c r="I293">
        <v>4</v>
      </c>
      <c r="J293">
        <v>2</v>
      </c>
      <c r="K293">
        <v>2</v>
      </c>
      <c r="O293">
        <v>6</v>
      </c>
      <c r="P293">
        <v>5</v>
      </c>
      <c r="Q293">
        <v>2</v>
      </c>
      <c r="R293">
        <v>2</v>
      </c>
      <c r="S293">
        <v>3</v>
      </c>
      <c r="T293" s="3">
        <f t="shared" si="64"/>
        <v>-0.58757058744583335</v>
      </c>
      <c r="U293" s="32">
        <f t="shared" si="65"/>
        <v>-5.6401471461296142E-2</v>
      </c>
      <c r="V293" s="32">
        <f t="shared" si="66"/>
        <v>-0.51458870665983425</v>
      </c>
      <c r="W293" s="32">
        <f t="shared" si="67"/>
        <v>-9.6984149849158471E-2</v>
      </c>
      <c r="X293" s="32">
        <f t="shared" si="68"/>
        <v>-0.61891576076406762</v>
      </c>
      <c r="Y293" s="32">
        <f t="shared" si="69"/>
        <v>-1.6649456898696466</v>
      </c>
      <c r="Z293" s="32">
        <f t="shared" si="70"/>
        <v>-1.0625089558734409</v>
      </c>
      <c r="AA293" s="32">
        <f t="shared" si="71"/>
        <v>-9.8649377643389324E-2</v>
      </c>
      <c r="AF293" s="40"/>
    </row>
    <row r="294" spans="1:32" customFormat="1" ht="14.25" hidden="1" customHeight="1" x14ac:dyDescent="0.35">
      <c r="A294" s="30">
        <f t="shared" si="63"/>
        <v>99</v>
      </c>
      <c r="B294">
        <v>976</v>
      </c>
      <c r="C294">
        <v>4</v>
      </c>
      <c r="D294">
        <v>5</v>
      </c>
      <c r="E294">
        <v>3</v>
      </c>
      <c r="F294">
        <v>5</v>
      </c>
      <c r="G294">
        <v>3</v>
      </c>
      <c r="H294">
        <v>1</v>
      </c>
      <c r="I294">
        <v>1</v>
      </c>
      <c r="J294">
        <v>3</v>
      </c>
      <c r="L294">
        <v>3</v>
      </c>
      <c r="O294">
        <v>6</v>
      </c>
      <c r="P294">
        <v>5</v>
      </c>
      <c r="Q294">
        <v>3</v>
      </c>
      <c r="R294">
        <v>2</v>
      </c>
      <c r="S294">
        <v>4</v>
      </c>
      <c r="T294" s="3">
        <f t="shared" si="64"/>
        <v>-1.7122568590801241</v>
      </c>
      <c r="U294" s="32">
        <f t="shared" si="65"/>
        <v>-5.6401471461296142E-2</v>
      </c>
      <c r="V294" s="32">
        <f t="shared" si="66"/>
        <v>-2.0709827703610508</v>
      </c>
      <c r="W294" s="32">
        <f t="shared" si="67"/>
        <v>-1.0009496220281058</v>
      </c>
      <c r="X294" s="32">
        <f t="shared" si="68"/>
        <v>-2.2884705377570564</v>
      </c>
      <c r="Y294" s="32">
        <f t="shared" si="69"/>
        <v>-0.82040802109518818</v>
      </c>
      <c r="Z294" s="32">
        <f t="shared" si="70"/>
        <v>-2.9370783280215829</v>
      </c>
      <c r="AA294" s="32">
        <f t="shared" si="71"/>
        <v>-2.8115072628365891</v>
      </c>
      <c r="AF294" s="40"/>
    </row>
    <row r="295" spans="1:32" customFormat="1" ht="14.25" hidden="1" customHeight="1" x14ac:dyDescent="0.35">
      <c r="A295" s="30">
        <f t="shared" si="63"/>
        <v>99</v>
      </c>
      <c r="B295">
        <v>980</v>
      </c>
      <c r="C295">
        <v>4</v>
      </c>
      <c r="D295">
        <v>2</v>
      </c>
      <c r="E295">
        <v>4</v>
      </c>
      <c r="F295">
        <v>1</v>
      </c>
      <c r="G295">
        <v>1</v>
      </c>
      <c r="H295">
        <v>5</v>
      </c>
      <c r="I295">
        <v>4</v>
      </c>
      <c r="J295">
        <v>1</v>
      </c>
      <c r="K295">
        <v>1</v>
      </c>
      <c r="O295">
        <v>6</v>
      </c>
      <c r="P295">
        <v>4</v>
      </c>
      <c r="Q295">
        <v>2</v>
      </c>
      <c r="R295">
        <v>2</v>
      </c>
      <c r="S295">
        <v>2</v>
      </c>
      <c r="T295" s="3">
        <f t="shared" si="64"/>
        <v>0.39184858217061158</v>
      </c>
      <c r="U295" s="32">
        <f t="shared" si="65"/>
        <v>-5.6401471461296142E-2</v>
      </c>
      <c r="V295" s="32">
        <f t="shared" si="66"/>
        <v>0.26360832519077404</v>
      </c>
      <c r="W295" s="32">
        <f t="shared" si="67"/>
        <v>-9.6984149849158471E-2</v>
      </c>
      <c r="X295" s="32">
        <f t="shared" si="68"/>
        <v>1.0506390162289212</v>
      </c>
      <c r="Y295" s="32">
        <f t="shared" si="69"/>
        <v>0.86866731645372852</v>
      </c>
      <c r="Z295" s="32">
        <f t="shared" si="70"/>
        <v>0.81206041627470116</v>
      </c>
      <c r="AA295" s="32">
        <f t="shared" si="71"/>
        <v>-9.8649377643389324E-2</v>
      </c>
      <c r="AF295" s="40"/>
    </row>
    <row r="296" spans="1:32" customFormat="1" ht="14.25" hidden="1" customHeight="1" x14ac:dyDescent="0.35">
      <c r="A296" s="30">
        <f t="shared" si="63"/>
        <v>99</v>
      </c>
      <c r="B296">
        <v>989</v>
      </c>
      <c r="C296">
        <v>4</v>
      </c>
      <c r="D296">
        <v>1</v>
      </c>
      <c r="E296">
        <v>3</v>
      </c>
      <c r="F296">
        <v>2</v>
      </c>
      <c r="G296">
        <v>2</v>
      </c>
      <c r="H296">
        <v>5</v>
      </c>
      <c r="I296">
        <v>5</v>
      </c>
      <c r="J296">
        <v>2</v>
      </c>
      <c r="O296">
        <v>5</v>
      </c>
      <c r="P296">
        <v>5</v>
      </c>
      <c r="Q296">
        <v>2</v>
      </c>
      <c r="R296">
        <v>2</v>
      </c>
      <c r="S296">
        <v>2</v>
      </c>
      <c r="T296" s="3">
        <f t="shared" si="64"/>
        <v>0.26316321990372227</v>
      </c>
      <c r="U296" s="32">
        <f t="shared" si="65"/>
        <v>-5.6401471461296142E-2</v>
      </c>
      <c r="V296" s="32">
        <f t="shared" si="66"/>
        <v>1.0418053570413823</v>
      </c>
      <c r="W296" s="32">
        <f t="shared" si="67"/>
        <v>-1.0009496220281058</v>
      </c>
      <c r="X296" s="32">
        <f t="shared" si="68"/>
        <v>0.21586162773242673</v>
      </c>
      <c r="Y296" s="32">
        <f t="shared" si="69"/>
        <v>2.4129647679270151E-2</v>
      </c>
      <c r="Z296" s="32">
        <f t="shared" si="70"/>
        <v>0.81206041627470116</v>
      </c>
      <c r="AA296" s="32">
        <f t="shared" si="71"/>
        <v>0.80563658408767735</v>
      </c>
      <c r="AF296" s="40"/>
    </row>
    <row r="297" spans="1:32" customFormat="1" ht="14.25" hidden="1" customHeight="1" x14ac:dyDescent="0.35">
      <c r="A297" s="30">
        <f t="shared" si="63"/>
        <v>99</v>
      </c>
      <c r="B297">
        <v>996</v>
      </c>
      <c r="C297">
        <v>4</v>
      </c>
      <c r="D297">
        <v>1</v>
      </c>
      <c r="E297">
        <v>4</v>
      </c>
      <c r="F297">
        <v>2</v>
      </c>
      <c r="G297">
        <v>2</v>
      </c>
      <c r="H297">
        <v>5</v>
      </c>
      <c r="I297">
        <v>5</v>
      </c>
      <c r="J297">
        <v>2</v>
      </c>
      <c r="K297">
        <v>2</v>
      </c>
      <c r="O297">
        <v>6</v>
      </c>
      <c r="P297">
        <v>6</v>
      </c>
      <c r="Q297">
        <v>2</v>
      </c>
      <c r="R297">
        <v>3</v>
      </c>
      <c r="S297">
        <v>2</v>
      </c>
      <c r="T297" s="3">
        <f t="shared" si="64"/>
        <v>0.39230114450071468</v>
      </c>
      <c r="U297" s="32">
        <f t="shared" si="65"/>
        <v>-5.6401471461296142E-2</v>
      </c>
      <c r="V297" s="32">
        <f t="shared" si="66"/>
        <v>1.0418053570413823</v>
      </c>
      <c r="W297" s="32">
        <f t="shared" si="67"/>
        <v>-9.6984149849158471E-2</v>
      </c>
      <c r="X297" s="32">
        <f t="shared" si="68"/>
        <v>0.21586162773242673</v>
      </c>
      <c r="Y297" s="32">
        <f t="shared" si="69"/>
        <v>2.4129647679270151E-2</v>
      </c>
      <c r="Z297" s="32">
        <f t="shared" si="70"/>
        <v>0.81206041627470116</v>
      </c>
      <c r="AA297" s="32">
        <f t="shared" si="71"/>
        <v>0.80563658408767735</v>
      </c>
      <c r="AF297" s="40"/>
    </row>
    <row r="298" spans="1:32" customFormat="1" ht="14.25" hidden="1" customHeight="1" x14ac:dyDescent="0.35">
      <c r="A298" s="30">
        <f t="shared" si="63"/>
        <v>99</v>
      </c>
      <c r="B298">
        <v>1004</v>
      </c>
      <c r="C298">
        <v>5</v>
      </c>
      <c r="D298">
        <v>3</v>
      </c>
      <c r="E298">
        <v>5</v>
      </c>
      <c r="F298">
        <v>3</v>
      </c>
      <c r="G298">
        <v>3</v>
      </c>
      <c r="H298">
        <v>5</v>
      </c>
      <c r="I298">
        <v>3</v>
      </c>
      <c r="J298">
        <v>2</v>
      </c>
      <c r="L298">
        <v>1</v>
      </c>
      <c r="O298">
        <v>6</v>
      </c>
      <c r="P298">
        <v>6</v>
      </c>
      <c r="Q298">
        <v>2</v>
      </c>
      <c r="R298">
        <v>3</v>
      </c>
      <c r="S298">
        <v>2</v>
      </c>
      <c r="T298" s="3">
        <f t="shared" si="64"/>
        <v>-7.051477423925992E-2</v>
      </c>
      <c r="U298" s="32">
        <f t="shared" si="65"/>
        <v>0.84420266961423651</v>
      </c>
      <c r="V298" s="32">
        <f t="shared" si="66"/>
        <v>-0.51458870665983425</v>
      </c>
      <c r="W298" s="32">
        <f t="shared" si="67"/>
        <v>0.80698132232978881</v>
      </c>
      <c r="X298" s="32">
        <f t="shared" si="68"/>
        <v>-0.61891576076406762</v>
      </c>
      <c r="Y298" s="32">
        <f t="shared" si="69"/>
        <v>-0.82040802109518818</v>
      </c>
      <c r="Z298" s="32">
        <f t="shared" si="70"/>
        <v>0.81206041627470116</v>
      </c>
      <c r="AA298" s="32">
        <f t="shared" si="71"/>
        <v>-1.002935339374456</v>
      </c>
      <c r="AF298" s="40"/>
    </row>
    <row r="299" spans="1:32" customFormat="1" ht="14.25" hidden="1" customHeight="1" x14ac:dyDescent="0.35">
      <c r="A299" s="30">
        <f t="shared" si="63"/>
        <v>99</v>
      </c>
      <c r="B299">
        <v>1019</v>
      </c>
      <c r="C299">
        <v>5</v>
      </c>
      <c r="D299">
        <v>1</v>
      </c>
      <c r="E299">
        <v>5</v>
      </c>
      <c r="F299">
        <v>1</v>
      </c>
      <c r="G299">
        <v>1</v>
      </c>
      <c r="H299">
        <v>5</v>
      </c>
      <c r="I299">
        <v>5</v>
      </c>
      <c r="J299">
        <v>2</v>
      </c>
      <c r="K299">
        <v>2</v>
      </c>
      <c r="O299">
        <v>6</v>
      </c>
      <c r="P299">
        <v>4</v>
      </c>
      <c r="Q299">
        <v>1</v>
      </c>
      <c r="R299">
        <v>3</v>
      </c>
      <c r="S299">
        <v>2</v>
      </c>
      <c r="T299" s="3">
        <f t="shared" si="64"/>
        <v>0.88999895457577671</v>
      </c>
      <c r="U299" s="32">
        <f t="shared" si="65"/>
        <v>0.84420266961423651</v>
      </c>
      <c r="V299" s="32">
        <f t="shared" si="66"/>
        <v>1.0418053570413823</v>
      </c>
      <c r="W299" s="32">
        <f t="shared" si="67"/>
        <v>0.80698132232978881</v>
      </c>
      <c r="X299" s="32">
        <f t="shared" si="68"/>
        <v>1.0506390162289212</v>
      </c>
      <c r="Y299" s="32">
        <f t="shared" si="69"/>
        <v>0.86866731645372852</v>
      </c>
      <c r="Z299" s="32">
        <f t="shared" si="70"/>
        <v>0.81206041627470116</v>
      </c>
      <c r="AA299" s="32">
        <f t="shared" si="71"/>
        <v>0.80563658408767735</v>
      </c>
      <c r="AF299" s="40"/>
    </row>
    <row r="300" spans="1:32" customFormat="1" ht="14.25" hidden="1" customHeight="1" x14ac:dyDescent="0.35">
      <c r="A300" s="30">
        <f t="shared" si="63"/>
        <v>99</v>
      </c>
      <c r="B300">
        <v>1023</v>
      </c>
      <c r="C300">
        <v>5</v>
      </c>
      <c r="D300">
        <v>4</v>
      </c>
      <c r="E300">
        <v>4</v>
      </c>
      <c r="F300">
        <v>2</v>
      </c>
      <c r="G300">
        <v>1</v>
      </c>
      <c r="H300">
        <v>5</v>
      </c>
      <c r="I300">
        <v>3</v>
      </c>
      <c r="J300">
        <v>2</v>
      </c>
      <c r="L300">
        <v>2</v>
      </c>
      <c r="O300">
        <v>5</v>
      </c>
      <c r="P300">
        <v>5</v>
      </c>
      <c r="Q300">
        <v>1</v>
      </c>
      <c r="R300">
        <v>3</v>
      </c>
      <c r="S300">
        <v>2</v>
      </c>
      <c r="T300" s="3">
        <f t="shared" si="64"/>
        <v>4.9726686048719389E-2</v>
      </c>
      <c r="U300" s="32">
        <f t="shared" si="65"/>
        <v>0.84420266961423651</v>
      </c>
      <c r="V300" s="32">
        <f t="shared" si="66"/>
        <v>-1.2927857385104427</v>
      </c>
      <c r="W300" s="32">
        <f t="shared" si="67"/>
        <v>-9.6984149849158471E-2</v>
      </c>
      <c r="X300" s="32">
        <f t="shared" si="68"/>
        <v>0.21586162773242673</v>
      </c>
      <c r="Y300" s="32">
        <f t="shared" si="69"/>
        <v>0.86866731645372852</v>
      </c>
      <c r="Z300" s="32">
        <f t="shared" si="70"/>
        <v>0.81206041627470116</v>
      </c>
      <c r="AA300" s="32">
        <f t="shared" si="71"/>
        <v>-1.002935339374456</v>
      </c>
      <c r="AF300" s="40"/>
    </row>
    <row r="301" spans="1:32" customFormat="1" ht="14.25" hidden="1" customHeight="1" x14ac:dyDescent="0.35">
      <c r="A301" s="30">
        <f t="shared" si="63"/>
        <v>99</v>
      </c>
      <c r="B301">
        <v>1030</v>
      </c>
      <c r="C301">
        <v>4</v>
      </c>
      <c r="D301">
        <v>1</v>
      </c>
      <c r="E301">
        <v>5</v>
      </c>
      <c r="F301">
        <v>1</v>
      </c>
      <c r="G301">
        <v>3</v>
      </c>
      <c r="H301">
        <v>5</v>
      </c>
      <c r="I301">
        <v>5</v>
      </c>
      <c r="J301">
        <v>1</v>
      </c>
      <c r="L301">
        <v>1</v>
      </c>
      <c r="O301">
        <v>6</v>
      </c>
      <c r="P301">
        <v>6</v>
      </c>
      <c r="Q301">
        <v>3</v>
      </c>
      <c r="R301">
        <v>5</v>
      </c>
      <c r="S301">
        <v>3</v>
      </c>
      <c r="T301" s="3">
        <f t="shared" si="64"/>
        <v>0.52004474334371231</v>
      </c>
      <c r="U301" s="32">
        <f t="shared" si="65"/>
        <v>-5.6401471461296142E-2</v>
      </c>
      <c r="V301" s="32">
        <f t="shared" si="66"/>
        <v>1.0418053570413823</v>
      </c>
      <c r="W301" s="32">
        <f t="shared" si="67"/>
        <v>0.80698132232978881</v>
      </c>
      <c r="X301" s="32">
        <f t="shared" si="68"/>
        <v>1.0506390162289212</v>
      </c>
      <c r="Y301" s="32">
        <f t="shared" si="69"/>
        <v>-0.82040802109518818</v>
      </c>
      <c r="Z301" s="32">
        <f t="shared" si="70"/>
        <v>0.81206041627470116</v>
      </c>
      <c r="AA301" s="32">
        <f t="shared" si="71"/>
        <v>0.80563658408767735</v>
      </c>
      <c r="AF301" s="40"/>
    </row>
    <row r="302" spans="1:32" customFormat="1" ht="14.25" hidden="1" customHeight="1" x14ac:dyDescent="0.35">
      <c r="A302" s="30">
        <f t="shared" si="63"/>
        <v>99</v>
      </c>
      <c r="B302">
        <v>1038</v>
      </c>
      <c r="C302">
        <v>5</v>
      </c>
      <c r="D302">
        <v>1</v>
      </c>
      <c r="E302">
        <v>5</v>
      </c>
      <c r="F302">
        <v>1</v>
      </c>
      <c r="G302">
        <v>1</v>
      </c>
      <c r="H302">
        <v>5</v>
      </c>
      <c r="I302">
        <v>5</v>
      </c>
      <c r="J302">
        <v>2</v>
      </c>
      <c r="O302">
        <v>6</v>
      </c>
      <c r="P302">
        <v>6</v>
      </c>
      <c r="Q302">
        <v>2</v>
      </c>
      <c r="R302">
        <v>2</v>
      </c>
      <c r="S302">
        <v>2</v>
      </c>
      <c r="T302" s="3">
        <f t="shared" si="64"/>
        <v>0.88999895457577671</v>
      </c>
      <c r="U302" s="32">
        <f t="shared" si="65"/>
        <v>0.84420266961423651</v>
      </c>
      <c r="V302" s="32">
        <f t="shared" si="66"/>
        <v>1.0418053570413823</v>
      </c>
      <c r="W302" s="32">
        <f t="shared" si="67"/>
        <v>0.80698132232978881</v>
      </c>
      <c r="X302" s="32">
        <f t="shared" si="68"/>
        <v>1.0506390162289212</v>
      </c>
      <c r="Y302" s="32">
        <f t="shared" si="69"/>
        <v>0.86866731645372852</v>
      </c>
      <c r="Z302" s="32">
        <f t="shared" si="70"/>
        <v>0.81206041627470116</v>
      </c>
      <c r="AA302" s="32">
        <f t="shared" si="71"/>
        <v>0.80563658408767735</v>
      </c>
      <c r="AF302" s="40"/>
    </row>
    <row r="303" spans="1:32" customFormat="1" ht="14.25" hidden="1" customHeight="1" x14ac:dyDescent="0.35">
      <c r="A303" s="30">
        <f t="shared" si="63"/>
        <v>99</v>
      </c>
      <c r="B303">
        <v>1049</v>
      </c>
      <c r="C303">
        <v>4</v>
      </c>
      <c r="D303">
        <v>2</v>
      </c>
      <c r="E303">
        <v>4</v>
      </c>
      <c r="F303">
        <v>1</v>
      </c>
      <c r="G303">
        <v>1</v>
      </c>
      <c r="H303">
        <v>5</v>
      </c>
      <c r="I303">
        <v>5</v>
      </c>
      <c r="J303">
        <v>1</v>
      </c>
      <c r="K303">
        <v>1</v>
      </c>
      <c r="O303">
        <v>6</v>
      </c>
      <c r="P303">
        <v>2</v>
      </c>
      <c r="Q303">
        <v>1</v>
      </c>
      <c r="R303">
        <v>4</v>
      </c>
      <c r="S303">
        <v>1</v>
      </c>
      <c r="T303" s="3">
        <f t="shared" si="64"/>
        <v>0.52103229098933546</v>
      </c>
      <c r="U303" s="32">
        <f t="shared" si="65"/>
        <v>-5.6401471461296142E-2</v>
      </c>
      <c r="V303" s="32">
        <f t="shared" si="66"/>
        <v>0.26360832519077404</v>
      </c>
      <c r="W303" s="32">
        <f t="shared" si="67"/>
        <v>-9.6984149849158471E-2</v>
      </c>
      <c r="X303" s="32">
        <f t="shared" si="68"/>
        <v>1.0506390162289212</v>
      </c>
      <c r="Y303" s="32">
        <f t="shared" si="69"/>
        <v>0.86866731645372852</v>
      </c>
      <c r="Z303" s="32">
        <f t="shared" si="70"/>
        <v>0.81206041627470116</v>
      </c>
      <c r="AA303" s="32">
        <f t="shared" si="71"/>
        <v>0.80563658408767735</v>
      </c>
      <c r="AF303" s="40"/>
    </row>
    <row r="304" spans="1:32" customFormat="1" ht="14.25" hidden="1" customHeight="1" x14ac:dyDescent="0.35">
      <c r="A304" s="30">
        <f t="shared" si="63"/>
        <v>99</v>
      </c>
      <c r="B304">
        <v>1064</v>
      </c>
      <c r="C304">
        <v>2</v>
      </c>
      <c r="D304">
        <v>2</v>
      </c>
      <c r="E304">
        <v>3</v>
      </c>
      <c r="F304">
        <v>3</v>
      </c>
      <c r="G304">
        <v>3</v>
      </c>
      <c r="H304">
        <v>3</v>
      </c>
      <c r="I304">
        <v>3</v>
      </c>
      <c r="J304">
        <v>2</v>
      </c>
      <c r="L304">
        <v>2</v>
      </c>
      <c r="M304">
        <v>1</v>
      </c>
      <c r="N304">
        <v>0</v>
      </c>
      <c r="O304">
        <v>6</v>
      </c>
      <c r="P304">
        <v>6</v>
      </c>
      <c r="Q304">
        <v>2</v>
      </c>
      <c r="R304">
        <v>1</v>
      </c>
      <c r="S304">
        <v>2</v>
      </c>
      <c r="T304" s="3">
        <f t="shared" si="64"/>
        <v>-0.87138844679383509</v>
      </c>
      <c r="U304" s="32">
        <f t="shared" si="65"/>
        <v>-1.8576097536123615</v>
      </c>
      <c r="V304" s="32">
        <f t="shared" si="66"/>
        <v>0.26360832519077404</v>
      </c>
      <c r="W304" s="32">
        <f t="shared" si="67"/>
        <v>-1.0009496220281058</v>
      </c>
      <c r="X304" s="32">
        <f t="shared" si="68"/>
        <v>-0.61891576076406762</v>
      </c>
      <c r="Y304" s="32">
        <f t="shared" si="69"/>
        <v>-0.82040802109518818</v>
      </c>
      <c r="Z304" s="32">
        <f t="shared" si="70"/>
        <v>-1.0625089558734409</v>
      </c>
      <c r="AA304" s="32">
        <f t="shared" si="71"/>
        <v>-1.002935339374456</v>
      </c>
      <c r="AF304" s="40"/>
    </row>
    <row r="305" spans="1:32" customFormat="1" ht="14.25" hidden="1" customHeight="1" x14ac:dyDescent="0.35">
      <c r="A305" s="30">
        <f t="shared" si="63"/>
        <v>99</v>
      </c>
      <c r="B305">
        <v>1065</v>
      </c>
      <c r="C305">
        <v>4</v>
      </c>
      <c r="D305">
        <v>1</v>
      </c>
      <c r="E305">
        <v>4</v>
      </c>
      <c r="F305">
        <v>1</v>
      </c>
      <c r="G305">
        <v>1</v>
      </c>
      <c r="H305">
        <v>5</v>
      </c>
      <c r="I305">
        <v>5</v>
      </c>
      <c r="J305">
        <v>1</v>
      </c>
      <c r="L305">
        <v>3</v>
      </c>
      <c r="M305">
        <v>1</v>
      </c>
      <c r="N305">
        <v>0</v>
      </c>
      <c r="O305">
        <v>5</v>
      </c>
      <c r="P305">
        <v>5</v>
      </c>
      <c r="Q305">
        <v>2</v>
      </c>
      <c r="R305">
        <v>2</v>
      </c>
      <c r="S305">
        <v>3</v>
      </c>
      <c r="T305" s="3">
        <f t="shared" si="64"/>
        <v>0.63220329553942223</v>
      </c>
      <c r="U305" s="32">
        <f t="shared" si="65"/>
        <v>-5.6401471461296142E-2</v>
      </c>
      <c r="V305" s="32">
        <f t="shared" si="66"/>
        <v>1.0418053570413823</v>
      </c>
      <c r="W305" s="32">
        <f t="shared" si="67"/>
        <v>-9.6984149849158471E-2</v>
      </c>
      <c r="X305" s="32">
        <f t="shared" si="68"/>
        <v>1.0506390162289212</v>
      </c>
      <c r="Y305" s="32">
        <f t="shared" si="69"/>
        <v>0.86866731645372852</v>
      </c>
      <c r="Z305" s="32">
        <f t="shared" si="70"/>
        <v>0.81206041627470116</v>
      </c>
      <c r="AA305" s="32">
        <f t="shared" si="71"/>
        <v>0.80563658408767735</v>
      </c>
      <c r="AF305" s="40"/>
    </row>
    <row r="306" spans="1:32" customFormat="1" ht="14.25" hidden="1" customHeight="1" x14ac:dyDescent="0.35">
      <c r="A306" s="30">
        <f t="shared" si="63"/>
        <v>99</v>
      </c>
      <c r="B306">
        <v>1070</v>
      </c>
      <c r="C306">
        <v>5</v>
      </c>
      <c r="D306">
        <v>1</v>
      </c>
      <c r="E306">
        <v>5</v>
      </c>
      <c r="F306">
        <v>1</v>
      </c>
      <c r="G306">
        <v>1</v>
      </c>
      <c r="H306">
        <v>5</v>
      </c>
      <c r="I306">
        <v>5</v>
      </c>
      <c r="J306">
        <v>1</v>
      </c>
      <c r="L306">
        <v>2</v>
      </c>
      <c r="M306">
        <v>2</v>
      </c>
      <c r="N306">
        <v>0</v>
      </c>
      <c r="O306">
        <v>6</v>
      </c>
      <c r="P306">
        <v>4</v>
      </c>
      <c r="Q306">
        <v>2</v>
      </c>
      <c r="R306">
        <v>2</v>
      </c>
      <c r="S306">
        <v>2</v>
      </c>
      <c r="T306" s="3">
        <f t="shared" si="64"/>
        <v>0.88999895457577671</v>
      </c>
      <c r="U306" s="32">
        <f t="shared" si="65"/>
        <v>0.84420266961423651</v>
      </c>
      <c r="V306" s="32">
        <f t="shared" si="66"/>
        <v>1.0418053570413823</v>
      </c>
      <c r="W306" s="32">
        <f t="shared" si="67"/>
        <v>0.80698132232978881</v>
      </c>
      <c r="X306" s="32">
        <f t="shared" si="68"/>
        <v>1.0506390162289212</v>
      </c>
      <c r="Y306" s="32">
        <f t="shared" si="69"/>
        <v>0.86866731645372852</v>
      </c>
      <c r="Z306" s="32">
        <f t="shared" si="70"/>
        <v>0.81206041627470116</v>
      </c>
      <c r="AA306" s="32">
        <f t="shared" si="71"/>
        <v>0.80563658408767735</v>
      </c>
      <c r="AF306" s="40"/>
    </row>
    <row r="307" spans="1:32" customFormat="1" ht="14.25" hidden="1" customHeight="1" x14ac:dyDescent="0.35">
      <c r="A307" s="30">
        <f t="shared" si="63"/>
        <v>99</v>
      </c>
      <c r="B307">
        <v>1075</v>
      </c>
      <c r="C307">
        <v>5</v>
      </c>
      <c r="D307">
        <v>1</v>
      </c>
      <c r="E307">
        <v>5</v>
      </c>
      <c r="F307">
        <v>1</v>
      </c>
      <c r="G307">
        <v>1</v>
      </c>
      <c r="H307">
        <v>3</v>
      </c>
      <c r="I307">
        <v>5</v>
      </c>
      <c r="J307">
        <v>1</v>
      </c>
      <c r="K307">
        <v>1</v>
      </c>
      <c r="L307">
        <v>1</v>
      </c>
      <c r="O307">
        <v>6</v>
      </c>
      <c r="P307">
        <v>3</v>
      </c>
      <c r="Q307">
        <v>1</v>
      </c>
      <c r="R307">
        <v>5</v>
      </c>
      <c r="S307">
        <v>1</v>
      </c>
      <c r="T307" s="3">
        <f t="shared" si="64"/>
        <v>0.62220332998318484</v>
      </c>
      <c r="U307" s="32">
        <f t="shared" si="65"/>
        <v>0.84420266961423651</v>
      </c>
      <c r="V307" s="32">
        <f t="shared" si="66"/>
        <v>1.0418053570413823</v>
      </c>
      <c r="W307" s="32">
        <f t="shared" si="67"/>
        <v>0.80698132232978881</v>
      </c>
      <c r="X307" s="32">
        <f t="shared" si="68"/>
        <v>1.0506390162289212</v>
      </c>
      <c r="Y307" s="32">
        <f t="shared" si="69"/>
        <v>0.86866731645372852</v>
      </c>
      <c r="Z307" s="32">
        <f t="shared" si="70"/>
        <v>-1.0625089558734409</v>
      </c>
      <c r="AA307" s="32">
        <f t="shared" si="71"/>
        <v>0.80563658408767735</v>
      </c>
      <c r="AF307" s="40"/>
    </row>
    <row r="308" spans="1:32" customFormat="1" ht="14.25" hidden="1" customHeight="1" x14ac:dyDescent="0.35">
      <c r="A308" s="30">
        <f t="shared" si="63"/>
        <v>99</v>
      </c>
      <c r="B308">
        <v>1078</v>
      </c>
      <c r="C308">
        <v>5</v>
      </c>
      <c r="D308">
        <v>2</v>
      </c>
      <c r="E308">
        <v>5</v>
      </c>
      <c r="F308">
        <v>2</v>
      </c>
      <c r="G308">
        <v>2</v>
      </c>
      <c r="H308">
        <v>5</v>
      </c>
      <c r="I308">
        <v>5</v>
      </c>
      <c r="J308">
        <v>2</v>
      </c>
      <c r="O308">
        <v>6</v>
      </c>
      <c r="P308">
        <v>4</v>
      </c>
      <c r="Q308">
        <v>2</v>
      </c>
      <c r="R308">
        <v>2</v>
      </c>
      <c r="S308">
        <v>2</v>
      </c>
      <c r="T308" s="3">
        <f t="shared" si="64"/>
        <v>0.53892579898698212</v>
      </c>
      <c r="U308" s="32">
        <f t="shared" si="65"/>
        <v>0.84420266961423651</v>
      </c>
      <c r="V308" s="32">
        <f t="shared" si="66"/>
        <v>0.26360832519077404</v>
      </c>
      <c r="W308" s="32">
        <f t="shared" si="67"/>
        <v>0.80698132232978881</v>
      </c>
      <c r="X308" s="32">
        <f t="shared" si="68"/>
        <v>0.21586162773242673</v>
      </c>
      <c r="Y308" s="32">
        <f t="shared" si="69"/>
        <v>2.4129647679270151E-2</v>
      </c>
      <c r="Z308" s="32">
        <f t="shared" si="70"/>
        <v>0.81206041627470116</v>
      </c>
      <c r="AA308" s="32">
        <f t="shared" si="71"/>
        <v>0.80563658408767735</v>
      </c>
      <c r="AF308" s="40"/>
    </row>
    <row r="309" spans="1:32" customFormat="1" ht="14.25" hidden="1" customHeight="1" x14ac:dyDescent="0.35">
      <c r="A309" s="30">
        <f t="shared" si="63"/>
        <v>99</v>
      </c>
      <c r="B309">
        <v>1083</v>
      </c>
      <c r="C309">
        <v>5</v>
      </c>
      <c r="D309">
        <v>4</v>
      </c>
      <c r="E309">
        <v>4</v>
      </c>
      <c r="F309">
        <v>4</v>
      </c>
      <c r="G309">
        <v>5</v>
      </c>
      <c r="H309">
        <v>4</v>
      </c>
      <c r="I309">
        <v>4</v>
      </c>
      <c r="J309">
        <v>1</v>
      </c>
      <c r="O309">
        <v>6</v>
      </c>
      <c r="P309">
        <v>6</v>
      </c>
      <c r="Q309">
        <v>1</v>
      </c>
      <c r="R309">
        <v>1</v>
      </c>
      <c r="S309">
        <v>2</v>
      </c>
      <c r="T309" s="3">
        <f t="shared" si="64"/>
        <v>-0.6760881962989701</v>
      </c>
      <c r="U309" s="32">
        <f t="shared" si="65"/>
        <v>0.84420266961423651</v>
      </c>
      <c r="V309" s="32">
        <f t="shared" si="66"/>
        <v>-1.2927857385104427</v>
      </c>
      <c r="W309" s="32">
        <f t="shared" si="67"/>
        <v>-9.6984149849158471E-2</v>
      </c>
      <c r="X309" s="32">
        <f t="shared" si="68"/>
        <v>-1.453693149260562</v>
      </c>
      <c r="Y309" s="32">
        <f t="shared" si="69"/>
        <v>-2.509483358644105</v>
      </c>
      <c r="Z309" s="32">
        <f t="shared" si="70"/>
        <v>-0.12522426979936985</v>
      </c>
      <c r="AA309" s="32">
        <f t="shared" si="71"/>
        <v>-9.8649377643389324E-2</v>
      </c>
      <c r="AF309" s="40"/>
    </row>
    <row r="310" spans="1:32" customFormat="1" ht="14.25" hidden="1" customHeight="1" x14ac:dyDescent="0.35">
      <c r="A310" s="30">
        <f t="shared" si="63"/>
        <v>99</v>
      </c>
      <c r="B310">
        <v>1088</v>
      </c>
      <c r="C310">
        <v>3</v>
      </c>
      <c r="D310">
        <v>4</v>
      </c>
      <c r="E310">
        <v>4</v>
      </c>
      <c r="F310">
        <v>3</v>
      </c>
      <c r="G310">
        <v>1</v>
      </c>
      <c r="H310">
        <v>4</v>
      </c>
      <c r="I310">
        <v>4</v>
      </c>
      <c r="J310">
        <v>2</v>
      </c>
      <c r="K310">
        <v>2</v>
      </c>
      <c r="O310">
        <v>6</v>
      </c>
      <c r="P310">
        <v>4</v>
      </c>
      <c r="Q310">
        <v>3</v>
      </c>
      <c r="R310">
        <v>2</v>
      </c>
      <c r="S310">
        <v>3</v>
      </c>
      <c r="T310" s="3">
        <f t="shared" si="64"/>
        <v>-0.33155679894993256</v>
      </c>
      <c r="U310" s="32">
        <f t="shared" si="65"/>
        <v>-0.95700561253682881</v>
      </c>
      <c r="V310" s="32">
        <f t="shared" si="66"/>
        <v>-1.2927857385104427</v>
      </c>
      <c r="W310" s="32">
        <f t="shared" si="67"/>
        <v>-9.6984149849158471E-2</v>
      </c>
      <c r="X310" s="32">
        <f t="shared" si="68"/>
        <v>-0.61891576076406762</v>
      </c>
      <c r="Y310" s="32">
        <f t="shared" si="69"/>
        <v>0.86866731645372852</v>
      </c>
      <c r="Z310" s="32">
        <f t="shared" si="70"/>
        <v>-0.12522426979936985</v>
      </c>
      <c r="AA310" s="32">
        <f t="shared" si="71"/>
        <v>-9.8649377643389324E-2</v>
      </c>
      <c r="AF310" s="40"/>
    </row>
    <row r="311" spans="1:32" customFormat="1" ht="14.25" hidden="1" customHeight="1" x14ac:dyDescent="0.35">
      <c r="A311" s="30">
        <f t="shared" si="63"/>
        <v>99</v>
      </c>
      <c r="B311">
        <v>1102</v>
      </c>
      <c r="C311">
        <v>5</v>
      </c>
      <c r="D311">
        <v>1</v>
      </c>
      <c r="E311">
        <v>3</v>
      </c>
      <c r="F311">
        <v>5</v>
      </c>
      <c r="G311">
        <v>5</v>
      </c>
      <c r="H311">
        <v>5</v>
      </c>
      <c r="I311">
        <v>5</v>
      </c>
      <c r="J311">
        <v>2</v>
      </c>
      <c r="O311">
        <v>6</v>
      </c>
      <c r="P311">
        <v>6</v>
      </c>
      <c r="Q311">
        <v>1</v>
      </c>
      <c r="R311">
        <v>3</v>
      </c>
      <c r="S311">
        <v>2</v>
      </c>
      <c r="T311" s="3">
        <f t="shared" si="64"/>
        <v>-0.32788549877303858</v>
      </c>
      <c r="U311" s="32">
        <f t="shared" si="65"/>
        <v>0.84420266961423651</v>
      </c>
      <c r="V311" s="32">
        <f t="shared" si="66"/>
        <v>1.0418053570413823</v>
      </c>
      <c r="W311" s="32">
        <f t="shared" si="67"/>
        <v>-1.0009496220281058</v>
      </c>
      <c r="X311" s="32">
        <f t="shared" si="68"/>
        <v>-2.2884705377570564</v>
      </c>
      <c r="Y311" s="32">
        <f t="shared" si="69"/>
        <v>-2.509483358644105</v>
      </c>
      <c r="Z311" s="32">
        <f t="shared" si="70"/>
        <v>0.81206041627470116</v>
      </c>
      <c r="AA311" s="32">
        <f t="shared" si="71"/>
        <v>0.80563658408767735</v>
      </c>
      <c r="AF311" s="40"/>
    </row>
    <row r="312" spans="1:32" customFormat="1" ht="14.25" hidden="1" customHeight="1" x14ac:dyDescent="0.35">
      <c r="A312" s="30">
        <f t="shared" si="63"/>
        <v>99</v>
      </c>
      <c r="B312">
        <v>1111</v>
      </c>
      <c r="C312">
        <v>5</v>
      </c>
      <c r="D312">
        <v>1</v>
      </c>
      <c r="E312">
        <v>5</v>
      </c>
      <c r="F312">
        <v>1</v>
      </c>
      <c r="G312">
        <v>1</v>
      </c>
      <c r="H312">
        <v>4</v>
      </c>
      <c r="I312">
        <v>4</v>
      </c>
      <c r="J312">
        <v>2</v>
      </c>
      <c r="L312">
        <v>2</v>
      </c>
      <c r="M312">
        <v>4</v>
      </c>
      <c r="N312">
        <v>0</v>
      </c>
      <c r="O312">
        <v>6</v>
      </c>
      <c r="P312">
        <v>3</v>
      </c>
      <c r="Q312">
        <v>1</v>
      </c>
      <c r="R312">
        <v>5</v>
      </c>
      <c r="S312">
        <v>2</v>
      </c>
      <c r="T312" s="3">
        <f t="shared" si="64"/>
        <v>0.6269174334607569</v>
      </c>
      <c r="U312" s="32">
        <f t="shared" si="65"/>
        <v>0.84420266961423651</v>
      </c>
      <c r="V312" s="32">
        <f t="shared" si="66"/>
        <v>1.0418053570413823</v>
      </c>
      <c r="W312" s="32">
        <f t="shared" si="67"/>
        <v>0.80698132232978881</v>
      </c>
      <c r="X312" s="32">
        <f t="shared" si="68"/>
        <v>1.0506390162289212</v>
      </c>
      <c r="Y312" s="32">
        <f t="shared" si="69"/>
        <v>0.86866731645372852</v>
      </c>
      <c r="Z312" s="32">
        <f t="shared" si="70"/>
        <v>-0.12522426979936985</v>
      </c>
      <c r="AA312" s="32">
        <f t="shared" si="71"/>
        <v>-9.8649377643389324E-2</v>
      </c>
      <c r="AF312" s="40"/>
    </row>
    <row r="313" spans="1:32" customFormat="1" ht="14.25" hidden="1" customHeight="1" x14ac:dyDescent="0.35">
      <c r="A313" s="30">
        <f t="shared" si="63"/>
        <v>99</v>
      </c>
      <c r="B313">
        <v>1115</v>
      </c>
      <c r="C313">
        <v>5</v>
      </c>
      <c r="D313">
        <v>5</v>
      </c>
      <c r="E313">
        <v>5</v>
      </c>
      <c r="F313">
        <v>2</v>
      </c>
      <c r="G313">
        <v>1</v>
      </c>
      <c r="H313">
        <v>5</v>
      </c>
      <c r="I313">
        <v>5</v>
      </c>
      <c r="J313">
        <v>3</v>
      </c>
      <c r="O313">
        <v>6</v>
      </c>
      <c r="P313">
        <v>4</v>
      </c>
      <c r="Q313">
        <v>2</v>
      </c>
      <c r="R313">
        <v>1</v>
      </c>
      <c r="S313">
        <v>2</v>
      </c>
      <c r="T313" s="3">
        <f t="shared" si="64"/>
        <v>0.32606102373307261</v>
      </c>
      <c r="U313" s="32">
        <f t="shared" si="65"/>
        <v>0.84420266961423651</v>
      </c>
      <c r="V313" s="32">
        <f t="shared" si="66"/>
        <v>-2.0709827703610508</v>
      </c>
      <c r="W313" s="32">
        <f t="shared" si="67"/>
        <v>0.80698132232978881</v>
      </c>
      <c r="X313" s="32">
        <f t="shared" si="68"/>
        <v>0.21586162773242673</v>
      </c>
      <c r="Y313" s="32">
        <f t="shared" si="69"/>
        <v>0.86866731645372852</v>
      </c>
      <c r="Z313" s="32">
        <f t="shared" si="70"/>
        <v>0.81206041627470116</v>
      </c>
      <c r="AA313" s="32">
        <f t="shared" si="71"/>
        <v>0.80563658408767735</v>
      </c>
      <c r="AF313" s="40"/>
    </row>
    <row r="314" spans="1:32" customFormat="1" ht="14.25" hidden="1" customHeight="1" x14ac:dyDescent="0.35">
      <c r="A314" s="30">
        <f t="shared" si="63"/>
        <v>99</v>
      </c>
      <c r="B314">
        <v>1116</v>
      </c>
      <c r="C314">
        <v>5</v>
      </c>
      <c r="D314">
        <v>4</v>
      </c>
      <c r="E314">
        <v>5</v>
      </c>
      <c r="F314">
        <v>1</v>
      </c>
      <c r="G314">
        <v>2</v>
      </c>
      <c r="H314">
        <v>5</v>
      </c>
      <c r="I314">
        <v>5</v>
      </c>
      <c r="J314">
        <v>2</v>
      </c>
      <c r="L314">
        <v>4</v>
      </c>
      <c r="O314">
        <v>6</v>
      </c>
      <c r="P314">
        <v>4</v>
      </c>
      <c r="Q314">
        <v>1</v>
      </c>
      <c r="R314">
        <v>1</v>
      </c>
      <c r="S314">
        <v>1</v>
      </c>
      <c r="T314" s="3">
        <f t="shared" si="64"/>
        <v>0.43583770252916459</v>
      </c>
      <c r="U314" s="32">
        <f t="shared" si="65"/>
        <v>0.84420266961423651</v>
      </c>
      <c r="V314" s="32">
        <f t="shared" si="66"/>
        <v>-1.2927857385104427</v>
      </c>
      <c r="W314" s="32">
        <f t="shared" si="67"/>
        <v>0.80698132232978881</v>
      </c>
      <c r="X314" s="32">
        <f t="shared" si="68"/>
        <v>1.0506390162289212</v>
      </c>
      <c r="Y314" s="32">
        <f t="shared" si="69"/>
        <v>2.4129647679270151E-2</v>
      </c>
      <c r="Z314" s="32">
        <f t="shared" si="70"/>
        <v>0.81206041627470116</v>
      </c>
      <c r="AA314" s="32">
        <f t="shared" si="71"/>
        <v>0.80563658408767735</v>
      </c>
      <c r="AF314" s="40"/>
    </row>
    <row r="315" spans="1:32" customFormat="1" ht="14.25" hidden="1" customHeight="1" x14ac:dyDescent="0.35">
      <c r="A315" s="30">
        <f t="shared" si="63"/>
        <v>99</v>
      </c>
      <c r="B315">
        <v>1120</v>
      </c>
      <c r="C315">
        <v>5</v>
      </c>
      <c r="D315">
        <v>1</v>
      </c>
      <c r="E315">
        <v>5</v>
      </c>
      <c r="F315">
        <v>1</v>
      </c>
      <c r="G315">
        <v>1</v>
      </c>
      <c r="H315">
        <v>5</v>
      </c>
      <c r="I315">
        <v>5</v>
      </c>
      <c r="J315">
        <v>1</v>
      </c>
      <c r="L315">
        <v>1</v>
      </c>
      <c r="M315">
        <v>1</v>
      </c>
      <c r="N315">
        <v>0</v>
      </c>
      <c r="O315">
        <v>6</v>
      </c>
      <c r="P315">
        <v>1</v>
      </c>
      <c r="Q315">
        <v>1</v>
      </c>
      <c r="R315">
        <v>5</v>
      </c>
      <c r="S315">
        <v>1</v>
      </c>
      <c r="T315" s="3">
        <f t="shared" si="64"/>
        <v>0.88999895457577671</v>
      </c>
      <c r="U315" s="32">
        <f t="shared" si="65"/>
        <v>0.84420266961423651</v>
      </c>
      <c r="V315" s="32">
        <f t="shared" si="66"/>
        <v>1.0418053570413823</v>
      </c>
      <c r="W315" s="32">
        <f t="shared" si="67"/>
        <v>0.80698132232978881</v>
      </c>
      <c r="X315" s="32">
        <f t="shared" si="68"/>
        <v>1.0506390162289212</v>
      </c>
      <c r="Y315" s="32">
        <f t="shared" si="69"/>
        <v>0.86866731645372852</v>
      </c>
      <c r="Z315" s="32">
        <f t="shared" si="70"/>
        <v>0.81206041627470116</v>
      </c>
      <c r="AA315" s="32">
        <f t="shared" si="71"/>
        <v>0.80563658408767735</v>
      </c>
      <c r="AF315" s="40"/>
    </row>
    <row r="316" spans="1:32" customFormat="1" ht="14.25" hidden="1" customHeight="1" x14ac:dyDescent="0.35">
      <c r="A316" s="30">
        <f t="shared" si="63"/>
        <v>99</v>
      </c>
      <c r="B316">
        <v>1126</v>
      </c>
      <c r="C316">
        <v>4</v>
      </c>
      <c r="D316">
        <v>1</v>
      </c>
      <c r="E316">
        <v>1</v>
      </c>
      <c r="F316">
        <v>3</v>
      </c>
      <c r="G316">
        <v>1</v>
      </c>
      <c r="H316">
        <v>5</v>
      </c>
      <c r="I316">
        <v>1</v>
      </c>
      <c r="J316">
        <v>2</v>
      </c>
      <c r="L316">
        <v>1</v>
      </c>
      <c r="M316">
        <v>1</v>
      </c>
      <c r="N316">
        <v>0</v>
      </c>
      <c r="O316">
        <v>6</v>
      </c>
      <c r="P316">
        <v>4</v>
      </c>
      <c r="Q316">
        <v>2</v>
      </c>
      <c r="R316">
        <v>1</v>
      </c>
      <c r="S316">
        <v>3</v>
      </c>
      <c r="T316" s="3">
        <f t="shared" si="64"/>
        <v>-0.51045313881116294</v>
      </c>
      <c r="U316" s="32">
        <f t="shared" si="65"/>
        <v>-5.6401471461296142E-2</v>
      </c>
      <c r="V316" s="32">
        <f t="shared" si="66"/>
        <v>1.0418053570413823</v>
      </c>
      <c r="W316" s="32">
        <f t="shared" si="67"/>
        <v>-2.8088805663860001</v>
      </c>
      <c r="X316" s="32">
        <f t="shared" si="68"/>
        <v>-0.61891576076406762</v>
      </c>
      <c r="Y316" s="32">
        <f t="shared" si="69"/>
        <v>0.86866731645372852</v>
      </c>
      <c r="Z316" s="32">
        <f t="shared" si="70"/>
        <v>0.81206041627470116</v>
      </c>
      <c r="AA316" s="32">
        <f t="shared" si="71"/>
        <v>-2.8115072628365891</v>
      </c>
      <c r="AF316" s="40"/>
    </row>
    <row r="317" spans="1:32" customFormat="1" ht="14.25" hidden="1" customHeight="1" x14ac:dyDescent="0.35">
      <c r="A317" s="30">
        <f t="shared" si="63"/>
        <v>99</v>
      </c>
      <c r="B317">
        <v>1129</v>
      </c>
      <c r="C317">
        <v>4</v>
      </c>
      <c r="D317">
        <v>3</v>
      </c>
      <c r="E317">
        <v>5</v>
      </c>
      <c r="F317">
        <v>1</v>
      </c>
      <c r="G317">
        <v>2</v>
      </c>
      <c r="H317">
        <v>3</v>
      </c>
      <c r="I317">
        <v>4</v>
      </c>
      <c r="J317">
        <v>1</v>
      </c>
      <c r="O317">
        <v>6</v>
      </c>
      <c r="P317">
        <v>6</v>
      </c>
      <c r="Q317">
        <v>1</v>
      </c>
      <c r="R317">
        <v>4</v>
      </c>
      <c r="S317">
        <v>2</v>
      </c>
      <c r="T317" s="3">
        <f t="shared" si="64"/>
        <v>2.1371639228574213E-2</v>
      </c>
      <c r="U317" s="32">
        <f t="shared" si="65"/>
        <v>-5.6401471461296142E-2</v>
      </c>
      <c r="V317" s="32">
        <f t="shared" si="66"/>
        <v>-0.51458870665983425</v>
      </c>
      <c r="W317" s="32">
        <f t="shared" si="67"/>
        <v>0.80698132232978881</v>
      </c>
      <c r="X317" s="32">
        <f t="shared" si="68"/>
        <v>1.0506390162289212</v>
      </c>
      <c r="Y317" s="32">
        <f t="shared" si="69"/>
        <v>2.4129647679270151E-2</v>
      </c>
      <c r="Z317" s="32">
        <f t="shared" si="70"/>
        <v>-1.0625089558734409</v>
      </c>
      <c r="AA317" s="32">
        <f t="shared" si="71"/>
        <v>-9.8649377643389324E-2</v>
      </c>
      <c r="AF317" s="40"/>
    </row>
    <row r="318" spans="1:32" customFormat="1" ht="14.25" hidden="1" customHeight="1" x14ac:dyDescent="0.35">
      <c r="A318" s="30">
        <f t="shared" si="63"/>
        <v>99</v>
      </c>
      <c r="B318">
        <v>1136</v>
      </c>
      <c r="C318">
        <v>3</v>
      </c>
      <c r="D318">
        <v>3</v>
      </c>
      <c r="E318">
        <v>1</v>
      </c>
      <c r="F318">
        <v>1</v>
      </c>
      <c r="G318">
        <v>3</v>
      </c>
      <c r="H318">
        <v>1</v>
      </c>
      <c r="I318">
        <v>2</v>
      </c>
      <c r="J318">
        <v>2</v>
      </c>
      <c r="K318">
        <v>2</v>
      </c>
      <c r="O318">
        <v>6</v>
      </c>
      <c r="P318">
        <v>6</v>
      </c>
      <c r="Q318">
        <v>1</v>
      </c>
      <c r="R318">
        <v>1</v>
      </c>
      <c r="S318">
        <v>4</v>
      </c>
      <c r="T318" s="3">
        <f t="shared" si="64"/>
        <v>-1.2706490742251479</v>
      </c>
      <c r="U318" s="32">
        <f t="shared" si="65"/>
        <v>-0.95700561253682881</v>
      </c>
      <c r="V318" s="32">
        <f t="shared" si="66"/>
        <v>-0.51458870665983425</v>
      </c>
      <c r="W318" s="32">
        <f t="shared" si="67"/>
        <v>-2.8088805663860001</v>
      </c>
      <c r="X318" s="32">
        <f t="shared" si="68"/>
        <v>1.0506390162289212</v>
      </c>
      <c r="Y318" s="32">
        <f t="shared" si="69"/>
        <v>-0.82040802109518818</v>
      </c>
      <c r="Z318" s="32">
        <f t="shared" si="70"/>
        <v>-2.9370783280215829</v>
      </c>
      <c r="AA318" s="32">
        <f t="shared" si="71"/>
        <v>-1.9072213011055226</v>
      </c>
      <c r="AF318" s="40"/>
    </row>
    <row r="319" spans="1:32" customFormat="1" ht="14.25" hidden="1" customHeight="1" x14ac:dyDescent="0.35">
      <c r="A319" s="30">
        <f t="shared" si="63"/>
        <v>99</v>
      </c>
      <c r="B319">
        <v>1141</v>
      </c>
      <c r="C319">
        <v>1</v>
      </c>
      <c r="D319">
        <v>4</v>
      </c>
      <c r="E319">
        <v>2</v>
      </c>
      <c r="F319">
        <v>4</v>
      </c>
      <c r="G319">
        <v>4</v>
      </c>
      <c r="H319">
        <v>4</v>
      </c>
      <c r="I319">
        <v>2</v>
      </c>
      <c r="J319">
        <v>2</v>
      </c>
      <c r="L319">
        <v>1</v>
      </c>
      <c r="M319">
        <v>3</v>
      </c>
      <c r="N319">
        <v>0</v>
      </c>
      <c r="O319">
        <v>6</v>
      </c>
      <c r="P319">
        <v>6</v>
      </c>
      <c r="Q319">
        <v>3</v>
      </c>
      <c r="R319">
        <v>1</v>
      </c>
      <c r="S319">
        <v>5</v>
      </c>
      <c r="T319" s="3">
        <f t="shared" si="64"/>
        <v>-1.5867141624914987</v>
      </c>
      <c r="U319" s="32">
        <f t="shared" si="65"/>
        <v>-2.758213894687894</v>
      </c>
      <c r="V319" s="32">
        <f t="shared" si="66"/>
        <v>-1.2927857385104427</v>
      </c>
      <c r="W319" s="32">
        <f t="shared" si="67"/>
        <v>-1.904915094207053</v>
      </c>
      <c r="X319" s="32">
        <f t="shared" si="68"/>
        <v>-1.453693149260562</v>
      </c>
      <c r="Y319" s="32">
        <f t="shared" si="69"/>
        <v>-1.6649456898696466</v>
      </c>
      <c r="Z319" s="32">
        <f t="shared" si="70"/>
        <v>-0.12522426979936985</v>
      </c>
      <c r="AA319" s="32">
        <f t="shared" si="71"/>
        <v>-1.9072213011055226</v>
      </c>
      <c r="AF319" s="40"/>
    </row>
    <row r="320" spans="1:32" customFormat="1" ht="14.25" hidden="1" customHeight="1" x14ac:dyDescent="0.35">
      <c r="A320" s="30">
        <f t="shared" si="63"/>
        <v>99</v>
      </c>
      <c r="B320">
        <v>1148</v>
      </c>
      <c r="C320">
        <v>5</v>
      </c>
      <c r="D320">
        <v>5</v>
      </c>
      <c r="E320">
        <v>4</v>
      </c>
      <c r="F320">
        <v>1</v>
      </c>
      <c r="G320">
        <v>2</v>
      </c>
      <c r="H320">
        <v>3</v>
      </c>
      <c r="I320">
        <v>3</v>
      </c>
      <c r="J320">
        <v>1</v>
      </c>
      <c r="L320">
        <v>2</v>
      </c>
      <c r="M320">
        <v>2</v>
      </c>
      <c r="N320">
        <v>0</v>
      </c>
      <c r="O320">
        <v>5</v>
      </c>
      <c r="P320">
        <v>4</v>
      </c>
      <c r="Q320">
        <v>1</v>
      </c>
      <c r="R320">
        <v>2</v>
      </c>
      <c r="S320">
        <v>2</v>
      </c>
      <c r="T320" s="3">
        <f t="shared" si="64"/>
        <v>-0.33063426884795405</v>
      </c>
      <c r="U320" s="32">
        <f t="shared" si="65"/>
        <v>0.84420266961423651</v>
      </c>
      <c r="V320" s="32">
        <f t="shared" si="66"/>
        <v>-2.0709827703610508</v>
      </c>
      <c r="W320" s="32">
        <f t="shared" si="67"/>
        <v>-9.6984149849158471E-2</v>
      </c>
      <c r="X320" s="32">
        <f t="shared" si="68"/>
        <v>1.0506390162289212</v>
      </c>
      <c r="Y320" s="32">
        <f t="shared" si="69"/>
        <v>2.4129647679270151E-2</v>
      </c>
      <c r="Z320" s="32">
        <f t="shared" si="70"/>
        <v>-1.0625089558734409</v>
      </c>
      <c r="AA320" s="32">
        <f t="shared" si="71"/>
        <v>-1.002935339374456</v>
      </c>
      <c r="AF320" s="40"/>
    </row>
    <row r="321" spans="1:32" customFormat="1" ht="14.25" hidden="1" customHeight="1" x14ac:dyDescent="0.35">
      <c r="A321" s="30">
        <f t="shared" si="63"/>
        <v>99</v>
      </c>
      <c r="B321">
        <v>1151</v>
      </c>
      <c r="C321">
        <v>4</v>
      </c>
      <c r="D321">
        <v>3</v>
      </c>
      <c r="E321">
        <v>4</v>
      </c>
      <c r="F321">
        <v>4</v>
      </c>
      <c r="G321">
        <v>4</v>
      </c>
      <c r="H321">
        <v>4</v>
      </c>
      <c r="I321">
        <v>4</v>
      </c>
      <c r="J321">
        <v>2</v>
      </c>
      <c r="L321">
        <v>1</v>
      </c>
      <c r="M321">
        <v>1</v>
      </c>
      <c r="N321">
        <v>0</v>
      </c>
      <c r="O321">
        <v>6</v>
      </c>
      <c r="P321">
        <v>6</v>
      </c>
      <c r="Q321">
        <v>3</v>
      </c>
      <c r="R321">
        <v>3</v>
      </c>
      <c r="S321">
        <v>3</v>
      </c>
      <c r="T321" s="3">
        <f t="shared" si="64"/>
        <v>-0.57292668779189371</v>
      </c>
      <c r="U321" s="32">
        <f t="shared" si="65"/>
        <v>-5.6401471461296142E-2</v>
      </c>
      <c r="V321" s="32">
        <f t="shared" si="66"/>
        <v>-0.51458870665983425</v>
      </c>
      <c r="W321" s="32">
        <f t="shared" si="67"/>
        <v>-9.6984149849158471E-2</v>
      </c>
      <c r="X321" s="32">
        <f t="shared" si="68"/>
        <v>-1.453693149260562</v>
      </c>
      <c r="Y321" s="32">
        <f t="shared" si="69"/>
        <v>-1.6649456898696466</v>
      </c>
      <c r="Z321" s="32">
        <f t="shared" si="70"/>
        <v>-0.12522426979936985</v>
      </c>
      <c r="AA321" s="32">
        <f t="shared" si="71"/>
        <v>-9.8649377643389324E-2</v>
      </c>
      <c r="AF321" s="40"/>
    </row>
    <row r="322" spans="1:32" customFormat="1" ht="14.25" hidden="1" customHeight="1" x14ac:dyDescent="0.35">
      <c r="A322" s="30">
        <f t="shared" si="63"/>
        <v>99</v>
      </c>
      <c r="B322">
        <v>1154</v>
      </c>
      <c r="C322">
        <v>4</v>
      </c>
      <c r="D322">
        <v>4</v>
      </c>
      <c r="E322">
        <v>4</v>
      </c>
      <c r="F322">
        <v>3</v>
      </c>
      <c r="G322">
        <v>4</v>
      </c>
      <c r="H322">
        <v>3</v>
      </c>
      <c r="I322">
        <v>4</v>
      </c>
      <c r="J322">
        <v>1</v>
      </c>
      <c r="K322">
        <v>1</v>
      </c>
      <c r="L322">
        <v>1</v>
      </c>
      <c r="O322">
        <v>6</v>
      </c>
      <c r="P322">
        <v>6</v>
      </c>
      <c r="Q322">
        <v>2</v>
      </c>
      <c r="R322">
        <v>2</v>
      </c>
      <c r="S322">
        <v>3</v>
      </c>
      <c r="T322" s="3">
        <f t="shared" si="64"/>
        <v>-0.69874159199592023</v>
      </c>
      <c r="U322" s="32">
        <f t="shared" si="65"/>
        <v>-5.6401471461296142E-2</v>
      </c>
      <c r="V322" s="32">
        <f t="shared" si="66"/>
        <v>-1.2927857385104427</v>
      </c>
      <c r="W322" s="32">
        <f t="shared" si="67"/>
        <v>-9.6984149849158471E-2</v>
      </c>
      <c r="X322" s="32">
        <f t="shared" si="68"/>
        <v>-0.61891576076406762</v>
      </c>
      <c r="Y322" s="32">
        <f t="shared" si="69"/>
        <v>-1.6649456898696466</v>
      </c>
      <c r="Z322" s="32">
        <f t="shared" si="70"/>
        <v>-1.0625089558734409</v>
      </c>
      <c r="AA322" s="32">
        <f t="shared" si="71"/>
        <v>-9.8649377643389324E-2</v>
      </c>
      <c r="AF322" s="40"/>
    </row>
    <row r="323" spans="1:32" customFormat="1" ht="14.25" hidden="1" customHeight="1" x14ac:dyDescent="0.35">
      <c r="A323" s="30">
        <f t="shared" si="63"/>
        <v>99</v>
      </c>
      <c r="B323">
        <v>1161</v>
      </c>
      <c r="C323">
        <v>4</v>
      </c>
      <c r="D323">
        <v>3</v>
      </c>
      <c r="E323">
        <v>4</v>
      </c>
      <c r="F323">
        <v>2</v>
      </c>
      <c r="G323">
        <v>2</v>
      </c>
      <c r="H323">
        <v>3</v>
      </c>
      <c r="I323">
        <v>4</v>
      </c>
      <c r="J323">
        <v>2</v>
      </c>
      <c r="O323">
        <v>6</v>
      </c>
      <c r="P323">
        <v>3</v>
      </c>
      <c r="Q323">
        <v>2</v>
      </c>
      <c r="R323">
        <v>3</v>
      </c>
      <c r="S323">
        <v>3</v>
      </c>
      <c r="T323" s="3">
        <f t="shared" si="64"/>
        <v>-0.22702019801077458</v>
      </c>
      <c r="U323" s="32">
        <f t="shared" si="65"/>
        <v>-5.6401471461296142E-2</v>
      </c>
      <c r="V323" s="32">
        <f t="shared" si="66"/>
        <v>-0.51458870665983425</v>
      </c>
      <c r="W323" s="32">
        <f t="shared" si="67"/>
        <v>-9.6984149849158471E-2</v>
      </c>
      <c r="X323" s="32">
        <f t="shared" si="68"/>
        <v>0.21586162773242673</v>
      </c>
      <c r="Y323" s="32">
        <f t="shared" si="69"/>
        <v>2.4129647679270151E-2</v>
      </c>
      <c r="Z323" s="32">
        <f t="shared" si="70"/>
        <v>-1.0625089558734409</v>
      </c>
      <c r="AA323" s="32">
        <f t="shared" si="71"/>
        <v>-9.8649377643389324E-2</v>
      </c>
      <c r="AF323" s="40"/>
    </row>
    <row r="324" spans="1:32" customFormat="1" ht="14.25" hidden="1" customHeight="1" x14ac:dyDescent="0.35">
      <c r="A324" s="30">
        <f t="shared" si="63"/>
        <v>99</v>
      </c>
      <c r="B324">
        <v>1166</v>
      </c>
      <c r="C324">
        <v>5</v>
      </c>
      <c r="D324">
        <v>3</v>
      </c>
      <c r="E324">
        <v>5</v>
      </c>
      <c r="F324">
        <v>1</v>
      </c>
      <c r="G324">
        <v>1</v>
      </c>
      <c r="H324">
        <v>5</v>
      </c>
      <c r="I324">
        <v>5</v>
      </c>
      <c r="J324">
        <v>2</v>
      </c>
      <c r="L324">
        <v>2</v>
      </c>
      <c r="M324">
        <v>4</v>
      </c>
      <c r="N324">
        <v>3</v>
      </c>
      <c r="O324">
        <v>6</v>
      </c>
      <c r="P324">
        <v>6</v>
      </c>
      <c r="Q324">
        <v>1</v>
      </c>
      <c r="R324">
        <v>2</v>
      </c>
      <c r="S324">
        <v>2</v>
      </c>
      <c r="T324" s="3">
        <f t="shared" si="64"/>
        <v>0.66765694547560273</v>
      </c>
      <c r="U324" s="32">
        <f t="shared" si="65"/>
        <v>0.84420266961423651</v>
      </c>
      <c r="V324" s="32">
        <f t="shared" si="66"/>
        <v>-0.51458870665983425</v>
      </c>
      <c r="W324" s="32">
        <f t="shared" si="67"/>
        <v>0.80698132232978881</v>
      </c>
      <c r="X324" s="32">
        <f t="shared" si="68"/>
        <v>1.0506390162289212</v>
      </c>
      <c r="Y324" s="32">
        <f t="shared" si="69"/>
        <v>0.86866731645372852</v>
      </c>
      <c r="Z324" s="32">
        <f t="shared" si="70"/>
        <v>0.81206041627470116</v>
      </c>
      <c r="AA324" s="32">
        <f t="shared" si="71"/>
        <v>0.80563658408767735</v>
      </c>
      <c r="AF324" s="40"/>
    </row>
    <row r="325" spans="1:32" customFormat="1" ht="14.25" hidden="1" customHeight="1" x14ac:dyDescent="0.35">
      <c r="A325" s="30">
        <f t="shared" si="63"/>
        <v>99</v>
      </c>
      <c r="B325">
        <v>1183</v>
      </c>
      <c r="C325">
        <v>5</v>
      </c>
      <c r="D325">
        <v>1</v>
      </c>
      <c r="E325">
        <v>4</v>
      </c>
      <c r="F325">
        <v>2</v>
      </c>
      <c r="G325">
        <v>2</v>
      </c>
      <c r="H325">
        <v>5</v>
      </c>
      <c r="I325">
        <v>5</v>
      </c>
      <c r="J325">
        <v>3</v>
      </c>
      <c r="L325">
        <v>1</v>
      </c>
      <c r="M325">
        <v>4</v>
      </c>
      <c r="N325">
        <v>2</v>
      </c>
      <c r="O325">
        <v>6</v>
      </c>
      <c r="P325">
        <v>6</v>
      </c>
      <c r="Q325">
        <v>1</v>
      </c>
      <c r="R325">
        <v>2</v>
      </c>
      <c r="S325">
        <v>1</v>
      </c>
      <c r="T325" s="3">
        <f t="shared" si="64"/>
        <v>0.52095887894007653</v>
      </c>
      <c r="U325" s="32">
        <f t="shared" si="65"/>
        <v>0.84420266961423651</v>
      </c>
      <c r="V325" s="32">
        <f t="shared" si="66"/>
        <v>1.0418053570413823</v>
      </c>
      <c r="W325" s="32">
        <f t="shared" si="67"/>
        <v>-9.6984149849158471E-2</v>
      </c>
      <c r="X325" s="32">
        <f t="shared" si="68"/>
        <v>0.21586162773242673</v>
      </c>
      <c r="Y325" s="32">
        <f t="shared" si="69"/>
        <v>2.4129647679270151E-2</v>
      </c>
      <c r="Z325" s="32">
        <f t="shared" si="70"/>
        <v>0.81206041627470116</v>
      </c>
      <c r="AA325" s="32">
        <f t="shared" si="71"/>
        <v>0.80563658408767735</v>
      </c>
      <c r="AF325" s="40"/>
    </row>
    <row r="326" spans="1:32" customFormat="1" ht="14.25" hidden="1" customHeight="1" x14ac:dyDescent="0.35">
      <c r="A326" s="30">
        <f t="shared" si="63"/>
        <v>99</v>
      </c>
      <c r="B326">
        <v>1187</v>
      </c>
      <c r="C326">
        <v>3</v>
      </c>
      <c r="D326">
        <v>4</v>
      </c>
      <c r="E326">
        <v>5</v>
      </c>
      <c r="F326">
        <v>1</v>
      </c>
      <c r="G326">
        <v>1</v>
      </c>
      <c r="H326">
        <v>5</v>
      </c>
      <c r="I326">
        <v>4</v>
      </c>
      <c r="J326">
        <v>1</v>
      </c>
      <c r="L326">
        <v>1</v>
      </c>
      <c r="M326">
        <v>1</v>
      </c>
      <c r="N326">
        <v>0</v>
      </c>
      <c r="O326">
        <v>6</v>
      </c>
      <c r="P326">
        <v>6</v>
      </c>
      <c r="Q326">
        <v>1</v>
      </c>
      <c r="R326">
        <v>5</v>
      </c>
      <c r="S326">
        <v>1</v>
      </c>
      <c r="T326" s="3">
        <f t="shared" si="64"/>
        <v>0.16998676322806844</v>
      </c>
      <c r="U326" s="32">
        <f t="shared" si="65"/>
        <v>-0.95700561253682881</v>
      </c>
      <c r="V326" s="32">
        <f t="shared" si="66"/>
        <v>-1.2927857385104427</v>
      </c>
      <c r="W326" s="32">
        <f t="shared" si="67"/>
        <v>0.80698132232978881</v>
      </c>
      <c r="X326" s="32">
        <f t="shared" si="68"/>
        <v>1.0506390162289212</v>
      </c>
      <c r="Y326" s="32">
        <f t="shared" si="69"/>
        <v>0.86866731645372852</v>
      </c>
      <c r="Z326" s="32">
        <f t="shared" si="70"/>
        <v>0.81206041627470116</v>
      </c>
      <c r="AA326" s="32">
        <f t="shared" si="71"/>
        <v>-9.8649377643389324E-2</v>
      </c>
      <c r="AF326" s="40"/>
    </row>
    <row r="327" spans="1:32" customFormat="1" ht="14.25" hidden="1" customHeight="1" x14ac:dyDescent="0.35">
      <c r="A327" s="30">
        <f t="shared" si="63"/>
        <v>99</v>
      </c>
      <c r="B327">
        <v>1190</v>
      </c>
      <c r="C327">
        <v>5</v>
      </c>
      <c r="D327">
        <v>1</v>
      </c>
      <c r="E327">
        <v>3</v>
      </c>
      <c r="F327">
        <v>3</v>
      </c>
      <c r="G327">
        <v>1</v>
      </c>
      <c r="H327">
        <v>3</v>
      </c>
      <c r="I327">
        <v>4</v>
      </c>
      <c r="J327">
        <v>1</v>
      </c>
      <c r="L327">
        <v>1</v>
      </c>
      <c r="M327">
        <v>1</v>
      </c>
      <c r="N327">
        <v>0</v>
      </c>
      <c r="O327">
        <v>6</v>
      </c>
      <c r="P327">
        <v>6</v>
      </c>
      <c r="Q327">
        <v>2</v>
      </c>
      <c r="R327">
        <v>2</v>
      </c>
      <c r="S327">
        <v>3</v>
      </c>
      <c r="T327" s="3">
        <f t="shared" si="64"/>
        <v>-3.7640533142366023E-3</v>
      </c>
      <c r="U327" s="32">
        <f t="shared" si="65"/>
        <v>0.84420266961423651</v>
      </c>
      <c r="V327" s="32">
        <f t="shared" si="66"/>
        <v>1.0418053570413823</v>
      </c>
      <c r="W327" s="32">
        <f t="shared" si="67"/>
        <v>-1.0009496220281058</v>
      </c>
      <c r="X327" s="32">
        <f t="shared" si="68"/>
        <v>-0.61891576076406762</v>
      </c>
      <c r="Y327" s="32">
        <f t="shared" si="69"/>
        <v>0.86866731645372852</v>
      </c>
      <c r="Z327" s="32">
        <f t="shared" si="70"/>
        <v>-1.0625089558734409</v>
      </c>
      <c r="AA327" s="32">
        <f t="shared" si="71"/>
        <v>-9.8649377643389324E-2</v>
      </c>
      <c r="AF327" s="40"/>
    </row>
    <row r="328" spans="1:32" customFormat="1" ht="14.25" hidden="1" customHeight="1" x14ac:dyDescent="0.35">
      <c r="A328" s="30">
        <f t="shared" si="63"/>
        <v>99</v>
      </c>
      <c r="B328">
        <v>1197</v>
      </c>
      <c r="C328">
        <v>5</v>
      </c>
      <c r="D328">
        <v>4</v>
      </c>
      <c r="E328">
        <v>2</v>
      </c>
      <c r="F328">
        <v>2</v>
      </c>
      <c r="G328">
        <v>3</v>
      </c>
      <c r="H328">
        <v>2</v>
      </c>
      <c r="I328">
        <v>3</v>
      </c>
      <c r="J328">
        <v>1</v>
      </c>
      <c r="L328">
        <v>2</v>
      </c>
      <c r="M328">
        <v>3</v>
      </c>
      <c r="N328">
        <v>0</v>
      </c>
      <c r="O328">
        <v>6</v>
      </c>
      <c r="P328">
        <v>4</v>
      </c>
      <c r="Q328">
        <v>2</v>
      </c>
      <c r="R328">
        <v>2</v>
      </c>
      <c r="S328">
        <v>1</v>
      </c>
      <c r="T328" s="3">
        <f t="shared" si="64"/>
        <v>-0.85153907682685548</v>
      </c>
      <c r="U328" s="32">
        <f t="shared" si="65"/>
        <v>0.84420266961423651</v>
      </c>
      <c r="V328" s="32">
        <f t="shared" si="66"/>
        <v>-1.2927857385104427</v>
      </c>
      <c r="W328" s="32">
        <f t="shared" si="67"/>
        <v>-1.904915094207053</v>
      </c>
      <c r="X328" s="32">
        <f t="shared" si="68"/>
        <v>0.21586162773242673</v>
      </c>
      <c r="Y328" s="32">
        <f t="shared" si="69"/>
        <v>-0.82040802109518818</v>
      </c>
      <c r="Z328" s="32">
        <f t="shared" si="70"/>
        <v>-1.9997936419475117</v>
      </c>
      <c r="AA328" s="32">
        <f t="shared" si="71"/>
        <v>-1.002935339374456</v>
      </c>
      <c r="AF328" s="40"/>
    </row>
    <row r="329" spans="1:32" customFormat="1" ht="14.25" hidden="1" customHeight="1" x14ac:dyDescent="0.35">
      <c r="A329" s="30">
        <f t="shared" si="63"/>
        <v>99</v>
      </c>
      <c r="B329">
        <v>1202</v>
      </c>
      <c r="C329">
        <v>3</v>
      </c>
      <c r="D329">
        <v>2</v>
      </c>
      <c r="E329">
        <v>4</v>
      </c>
      <c r="F329">
        <v>1</v>
      </c>
      <c r="G329">
        <v>3</v>
      </c>
      <c r="H329">
        <v>5</v>
      </c>
      <c r="I329">
        <v>5</v>
      </c>
      <c r="J329">
        <v>1</v>
      </c>
      <c r="L329">
        <v>1</v>
      </c>
      <c r="M329">
        <v>4</v>
      </c>
      <c r="N329">
        <v>0</v>
      </c>
      <c r="O329">
        <v>4</v>
      </c>
      <c r="P329">
        <v>5</v>
      </c>
      <c r="Q329">
        <v>2</v>
      </c>
      <c r="R329">
        <v>2</v>
      </c>
      <c r="S329">
        <v>2</v>
      </c>
      <c r="T329" s="3">
        <f t="shared" si="64"/>
        <v>0.15107807975727119</v>
      </c>
      <c r="U329" s="32">
        <f t="shared" si="65"/>
        <v>-0.95700561253682881</v>
      </c>
      <c r="V329" s="32">
        <f t="shared" si="66"/>
        <v>0.26360832519077404</v>
      </c>
      <c r="W329" s="32">
        <f t="shared" si="67"/>
        <v>-9.6984149849158471E-2</v>
      </c>
      <c r="X329" s="32">
        <f t="shared" si="68"/>
        <v>1.0506390162289212</v>
      </c>
      <c r="Y329" s="32">
        <f t="shared" si="69"/>
        <v>-0.82040802109518818</v>
      </c>
      <c r="Z329" s="32">
        <f t="shared" si="70"/>
        <v>0.81206041627470116</v>
      </c>
      <c r="AA329" s="32">
        <f t="shared" si="71"/>
        <v>0.80563658408767735</v>
      </c>
      <c r="AF329" s="40"/>
    </row>
    <row r="330" spans="1:32" customFormat="1" ht="14.25" hidden="1" customHeight="1" x14ac:dyDescent="0.35">
      <c r="A330" s="30">
        <f t="shared" si="63"/>
        <v>99</v>
      </c>
      <c r="B330">
        <v>1206</v>
      </c>
      <c r="C330">
        <v>5</v>
      </c>
      <c r="D330">
        <v>1</v>
      </c>
      <c r="E330">
        <v>5</v>
      </c>
      <c r="F330">
        <v>3</v>
      </c>
      <c r="G330">
        <v>4</v>
      </c>
      <c r="H330">
        <v>5</v>
      </c>
      <c r="I330">
        <v>5</v>
      </c>
      <c r="J330">
        <v>1</v>
      </c>
      <c r="L330">
        <v>1</v>
      </c>
      <c r="O330">
        <v>6</v>
      </c>
      <c r="P330">
        <v>5</v>
      </c>
      <c r="Q330">
        <v>2</v>
      </c>
      <c r="R330">
        <v>2</v>
      </c>
      <c r="S330">
        <v>2</v>
      </c>
      <c r="T330" s="3">
        <f t="shared" si="64"/>
        <v>0.28954641410201021</v>
      </c>
      <c r="U330" s="32">
        <f t="shared" si="65"/>
        <v>0.84420266961423651</v>
      </c>
      <c r="V330" s="32">
        <f t="shared" si="66"/>
        <v>1.0418053570413823</v>
      </c>
      <c r="W330" s="32">
        <f t="shared" si="67"/>
        <v>0.80698132232978881</v>
      </c>
      <c r="X330" s="32">
        <f t="shared" si="68"/>
        <v>-0.61891576076406762</v>
      </c>
      <c r="Y330" s="32">
        <f t="shared" si="69"/>
        <v>-1.6649456898696466</v>
      </c>
      <c r="Z330" s="32">
        <f t="shared" si="70"/>
        <v>0.81206041627470116</v>
      </c>
      <c r="AA330" s="32">
        <f t="shared" si="71"/>
        <v>0.80563658408767735</v>
      </c>
      <c r="AF330" s="40"/>
    </row>
    <row r="331" spans="1:32" customFormat="1" ht="14.25" hidden="1" customHeight="1" x14ac:dyDescent="0.35">
      <c r="A331" s="30">
        <f t="shared" si="63"/>
        <v>99</v>
      </c>
      <c r="B331">
        <v>1216</v>
      </c>
      <c r="C331">
        <v>5</v>
      </c>
      <c r="D331">
        <v>4</v>
      </c>
      <c r="E331">
        <v>4</v>
      </c>
      <c r="F331">
        <v>3</v>
      </c>
      <c r="G331">
        <v>1</v>
      </c>
      <c r="H331">
        <v>4</v>
      </c>
      <c r="I331">
        <v>5</v>
      </c>
      <c r="J331">
        <v>1</v>
      </c>
      <c r="O331">
        <v>6</v>
      </c>
      <c r="P331">
        <v>4</v>
      </c>
      <c r="Q331">
        <v>1</v>
      </c>
      <c r="R331">
        <v>3</v>
      </c>
      <c r="S331">
        <v>1</v>
      </c>
      <c r="T331" s="3">
        <f t="shared" si="64"/>
        <v>5.4942378747514828E-2</v>
      </c>
      <c r="U331" s="32">
        <f t="shared" si="65"/>
        <v>0.84420266961423651</v>
      </c>
      <c r="V331" s="32">
        <f t="shared" si="66"/>
        <v>-1.2927857385104427</v>
      </c>
      <c r="W331" s="32">
        <f t="shared" si="67"/>
        <v>-9.6984149849158471E-2</v>
      </c>
      <c r="X331" s="32">
        <f t="shared" si="68"/>
        <v>-0.61891576076406762</v>
      </c>
      <c r="Y331" s="32">
        <f t="shared" si="69"/>
        <v>0.86866731645372852</v>
      </c>
      <c r="Z331" s="32">
        <f t="shared" si="70"/>
        <v>-0.12522426979936985</v>
      </c>
      <c r="AA331" s="32">
        <f t="shared" si="71"/>
        <v>0.80563658408767735</v>
      </c>
      <c r="AF331" s="40"/>
    </row>
    <row r="332" spans="1:32" customFormat="1" ht="14.25" hidden="1" customHeight="1" x14ac:dyDescent="0.35">
      <c r="A332" s="30">
        <f t="shared" si="63"/>
        <v>99</v>
      </c>
      <c r="B332">
        <v>1220</v>
      </c>
      <c r="C332">
        <v>4</v>
      </c>
      <c r="D332">
        <v>2</v>
      </c>
      <c r="E332">
        <v>4</v>
      </c>
      <c r="F332">
        <v>3</v>
      </c>
      <c r="G332">
        <v>4</v>
      </c>
      <c r="H332">
        <v>4</v>
      </c>
      <c r="I332">
        <v>4</v>
      </c>
      <c r="J332">
        <v>2</v>
      </c>
      <c r="K332">
        <v>2</v>
      </c>
      <c r="L332">
        <v>1</v>
      </c>
      <c r="M332">
        <v>3</v>
      </c>
      <c r="O332">
        <v>6</v>
      </c>
      <c r="P332">
        <v>4</v>
      </c>
      <c r="Q332">
        <v>2</v>
      </c>
      <c r="R332">
        <v>2</v>
      </c>
      <c r="S332">
        <v>4</v>
      </c>
      <c r="T332" s="3">
        <f t="shared" si="64"/>
        <v>-0.34250177059945053</v>
      </c>
      <c r="U332" s="32">
        <f t="shared" si="65"/>
        <v>-5.6401471461296142E-2</v>
      </c>
      <c r="V332" s="32">
        <f t="shared" si="66"/>
        <v>0.26360832519077404</v>
      </c>
      <c r="W332" s="32">
        <f t="shared" si="67"/>
        <v>-9.6984149849158471E-2</v>
      </c>
      <c r="X332" s="32">
        <f t="shared" si="68"/>
        <v>-0.61891576076406762</v>
      </c>
      <c r="Y332" s="32">
        <f t="shared" si="69"/>
        <v>-1.6649456898696466</v>
      </c>
      <c r="Z332" s="32">
        <f t="shared" si="70"/>
        <v>-0.12522426979936985</v>
      </c>
      <c r="AA332" s="32">
        <f t="shared" si="71"/>
        <v>-9.8649377643389324E-2</v>
      </c>
      <c r="AF332" s="40"/>
    </row>
    <row r="333" spans="1:32" customFormat="1" ht="14.25" hidden="1" customHeight="1" x14ac:dyDescent="0.35">
      <c r="A333" s="30">
        <f t="shared" si="63"/>
        <v>99</v>
      </c>
      <c r="B333">
        <v>1222</v>
      </c>
      <c r="C333">
        <v>5</v>
      </c>
      <c r="D333">
        <v>5</v>
      </c>
      <c r="E333">
        <v>5</v>
      </c>
      <c r="F333">
        <v>2</v>
      </c>
      <c r="G333">
        <v>1</v>
      </c>
      <c r="H333">
        <v>5</v>
      </c>
      <c r="I333">
        <v>5</v>
      </c>
      <c r="J333">
        <v>1</v>
      </c>
      <c r="L333">
        <v>2</v>
      </c>
      <c r="M333">
        <v>3</v>
      </c>
      <c r="N333">
        <v>1</v>
      </c>
      <c r="O333">
        <v>6</v>
      </c>
      <c r="P333">
        <v>6</v>
      </c>
      <c r="Q333">
        <v>1</v>
      </c>
      <c r="R333">
        <v>4</v>
      </c>
      <c r="S333">
        <v>2</v>
      </c>
      <c r="T333" s="3">
        <f t="shared" si="64"/>
        <v>0.32606102373307261</v>
      </c>
      <c r="U333" s="32">
        <f t="shared" si="65"/>
        <v>0.84420266961423651</v>
      </c>
      <c r="V333" s="32">
        <f t="shared" si="66"/>
        <v>-2.0709827703610508</v>
      </c>
      <c r="W333" s="32">
        <f t="shared" si="67"/>
        <v>0.80698132232978881</v>
      </c>
      <c r="X333" s="32">
        <f t="shared" si="68"/>
        <v>0.21586162773242673</v>
      </c>
      <c r="Y333" s="32">
        <f t="shared" si="69"/>
        <v>0.86866731645372852</v>
      </c>
      <c r="Z333" s="32">
        <f t="shared" si="70"/>
        <v>0.81206041627470116</v>
      </c>
      <c r="AA333" s="32">
        <f t="shared" si="71"/>
        <v>0.80563658408767735</v>
      </c>
      <c r="AF333" s="40"/>
    </row>
    <row r="334" spans="1:32" customFormat="1" ht="14.25" hidden="1" customHeight="1" x14ac:dyDescent="0.35">
      <c r="A334" s="30">
        <f t="shared" si="63"/>
        <v>99</v>
      </c>
      <c r="B334">
        <v>1229</v>
      </c>
      <c r="C334">
        <v>5</v>
      </c>
      <c r="D334">
        <v>3</v>
      </c>
      <c r="E334">
        <v>5</v>
      </c>
      <c r="F334">
        <v>2</v>
      </c>
      <c r="G334">
        <v>3</v>
      </c>
      <c r="H334">
        <v>5</v>
      </c>
      <c r="I334">
        <v>5</v>
      </c>
      <c r="J334">
        <v>3</v>
      </c>
      <c r="O334">
        <v>6</v>
      </c>
      <c r="P334">
        <v>2</v>
      </c>
      <c r="Q334">
        <v>1</v>
      </c>
      <c r="R334">
        <v>2</v>
      </c>
      <c r="S334">
        <v>1</v>
      </c>
      <c r="T334" s="3">
        <f t="shared" si="64"/>
        <v>0.30710655604054399</v>
      </c>
      <c r="U334" s="32">
        <f t="shared" si="65"/>
        <v>0.84420266961423651</v>
      </c>
      <c r="V334" s="32">
        <f t="shared" si="66"/>
        <v>-0.51458870665983425</v>
      </c>
      <c r="W334" s="32">
        <f t="shared" si="67"/>
        <v>0.80698132232978881</v>
      </c>
      <c r="X334" s="32">
        <f t="shared" si="68"/>
        <v>0.21586162773242673</v>
      </c>
      <c r="Y334" s="32">
        <f t="shared" si="69"/>
        <v>-0.82040802109518818</v>
      </c>
      <c r="Z334" s="32">
        <f t="shared" si="70"/>
        <v>0.81206041627470116</v>
      </c>
      <c r="AA334" s="32">
        <f t="shared" si="71"/>
        <v>0.80563658408767735</v>
      </c>
      <c r="AF334" s="40"/>
    </row>
    <row r="335" spans="1:32" customFormat="1" ht="14.25" hidden="1" customHeight="1" x14ac:dyDescent="0.35">
      <c r="A335" s="30">
        <f t="shared" si="63"/>
        <v>99</v>
      </c>
      <c r="B335">
        <v>1240</v>
      </c>
      <c r="C335">
        <v>4</v>
      </c>
      <c r="D335">
        <v>3</v>
      </c>
      <c r="E335">
        <v>4</v>
      </c>
      <c r="F335">
        <v>3</v>
      </c>
      <c r="H335">
        <v>4</v>
      </c>
      <c r="I335">
        <v>3</v>
      </c>
      <c r="J335">
        <v>2</v>
      </c>
      <c r="L335">
        <v>2</v>
      </c>
      <c r="M335">
        <v>3</v>
      </c>
      <c r="N335">
        <v>0</v>
      </c>
      <c r="O335">
        <v>5</v>
      </c>
      <c r="P335">
        <v>5</v>
      </c>
      <c r="Q335">
        <v>2</v>
      </c>
      <c r="R335">
        <v>2</v>
      </c>
      <c r="S335">
        <v>2</v>
      </c>
      <c r="T335" s="3">
        <f t="shared" si="64"/>
        <v>-0.1002635303828565</v>
      </c>
      <c r="U335" s="32">
        <f t="shared" si="65"/>
        <v>-5.6401471461296142E-2</v>
      </c>
      <c r="V335" s="32">
        <f t="shared" si="66"/>
        <v>-0.51458870665983425</v>
      </c>
      <c r="W335" s="32">
        <f t="shared" si="67"/>
        <v>-9.6984149849158471E-2</v>
      </c>
      <c r="X335" s="32">
        <f t="shared" si="68"/>
        <v>-0.61891576076406762</v>
      </c>
      <c r="Y335" s="32">
        <f t="shared" si="69"/>
        <v>1.7132049852281868</v>
      </c>
      <c r="Z335" s="32">
        <f t="shared" si="70"/>
        <v>-0.12522426979936985</v>
      </c>
      <c r="AA335" s="32">
        <f t="shared" si="71"/>
        <v>-1.002935339374456</v>
      </c>
      <c r="AF335" s="40"/>
    </row>
    <row r="336" spans="1:32" customFormat="1" ht="14.25" hidden="1" customHeight="1" x14ac:dyDescent="0.35">
      <c r="A336" s="30">
        <f t="shared" si="63"/>
        <v>99</v>
      </c>
      <c r="B336">
        <v>1260</v>
      </c>
      <c r="C336">
        <v>5</v>
      </c>
      <c r="D336">
        <v>5</v>
      </c>
      <c r="E336">
        <v>5</v>
      </c>
      <c r="F336">
        <v>1</v>
      </c>
      <c r="G336">
        <v>5</v>
      </c>
      <c r="H336">
        <v>5</v>
      </c>
      <c r="I336">
        <v>5</v>
      </c>
      <c r="J336">
        <v>2</v>
      </c>
      <c r="L336">
        <v>2</v>
      </c>
      <c r="O336">
        <v>6</v>
      </c>
      <c r="P336">
        <v>5</v>
      </c>
      <c r="Q336">
        <v>2</v>
      </c>
      <c r="R336">
        <v>4</v>
      </c>
      <c r="S336">
        <v>2</v>
      </c>
      <c r="T336" s="3">
        <f t="shared" si="64"/>
        <v>-3.7278017209975811E-2</v>
      </c>
      <c r="U336" s="32">
        <f t="shared" si="65"/>
        <v>0.84420266961423651</v>
      </c>
      <c r="V336" s="32">
        <f t="shared" si="66"/>
        <v>-2.0709827703610508</v>
      </c>
      <c r="W336" s="32">
        <f t="shared" si="67"/>
        <v>0.80698132232978881</v>
      </c>
      <c r="X336" s="32">
        <f t="shared" si="68"/>
        <v>1.0506390162289212</v>
      </c>
      <c r="Y336" s="32">
        <f t="shared" si="69"/>
        <v>-2.509483358644105</v>
      </c>
      <c r="Z336" s="32">
        <f t="shared" si="70"/>
        <v>0.81206041627470116</v>
      </c>
      <c r="AA336" s="32">
        <f t="shared" si="71"/>
        <v>0.80563658408767735</v>
      </c>
      <c r="AF336" s="40"/>
    </row>
    <row r="337" spans="1:32" customFormat="1" ht="14.25" hidden="1" customHeight="1" x14ac:dyDescent="0.35">
      <c r="A337" s="30">
        <f t="shared" si="63"/>
        <v>99</v>
      </c>
      <c r="B337">
        <v>1266</v>
      </c>
      <c r="C337">
        <v>5</v>
      </c>
      <c r="D337">
        <v>1</v>
      </c>
      <c r="E337">
        <v>5</v>
      </c>
      <c r="F337">
        <v>4</v>
      </c>
      <c r="G337">
        <v>1</v>
      </c>
      <c r="H337">
        <v>5</v>
      </c>
      <c r="I337">
        <v>5</v>
      </c>
      <c r="J337">
        <v>2</v>
      </c>
      <c r="O337">
        <v>6</v>
      </c>
      <c r="P337">
        <v>5</v>
      </c>
      <c r="Q337">
        <v>2</v>
      </c>
      <c r="R337">
        <v>1</v>
      </c>
      <c r="S337">
        <v>2</v>
      </c>
      <c r="T337" s="3">
        <f t="shared" si="64"/>
        <v>0.53223721664870749</v>
      </c>
      <c r="U337" s="32">
        <f t="shared" si="65"/>
        <v>0.84420266961423651</v>
      </c>
      <c r="V337" s="32">
        <f t="shared" si="66"/>
        <v>1.0418053570413823</v>
      </c>
      <c r="W337" s="32">
        <f t="shared" si="67"/>
        <v>0.80698132232978881</v>
      </c>
      <c r="X337" s="32">
        <f t="shared" si="68"/>
        <v>-1.453693149260562</v>
      </c>
      <c r="Y337" s="32">
        <f t="shared" si="69"/>
        <v>0.86866731645372852</v>
      </c>
      <c r="Z337" s="32">
        <f t="shared" si="70"/>
        <v>0.81206041627470116</v>
      </c>
      <c r="AA337" s="32">
        <f t="shared" si="71"/>
        <v>0.80563658408767735</v>
      </c>
      <c r="AF337" s="40"/>
    </row>
    <row r="338" spans="1:32" customFormat="1" ht="14.25" hidden="1" customHeight="1" x14ac:dyDescent="0.35">
      <c r="A338" s="30">
        <f t="shared" ref="A338:A401" si="72">IF(COUNTBLANK(J338:T338)&gt;0,99,1)</f>
        <v>99</v>
      </c>
      <c r="B338">
        <v>1271</v>
      </c>
      <c r="C338">
        <v>1</v>
      </c>
      <c r="D338">
        <v>1</v>
      </c>
      <c r="E338">
        <v>5</v>
      </c>
      <c r="F338">
        <v>1</v>
      </c>
      <c r="G338">
        <v>4</v>
      </c>
      <c r="H338">
        <v>5</v>
      </c>
      <c r="I338">
        <v>4</v>
      </c>
      <c r="J338">
        <v>2</v>
      </c>
      <c r="L338">
        <v>1</v>
      </c>
      <c r="O338">
        <v>6</v>
      </c>
      <c r="P338">
        <v>6</v>
      </c>
      <c r="Q338">
        <v>2</v>
      </c>
      <c r="R338">
        <v>1</v>
      </c>
      <c r="S338">
        <v>3</v>
      </c>
      <c r="T338" s="3">
        <f t="shared" ref="T338:T401" si="73">AVERAGE(U338:AA338)</f>
        <v>-0.11576040718944806</v>
      </c>
      <c r="U338" s="32">
        <f t="shared" ref="U338:U401" si="74">IF(ISTEXT(C338),"",STANDARDIZE(C338,AVERAGE(C$2:C$497),STDEV(C$2:C$497)))</f>
        <v>-2.758213894687894</v>
      </c>
      <c r="V338" s="32">
        <f t="shared" ref="V338:V401" si="75">IF(ISTEXT(D338),"",-1*STANDARDIZE(D338,AVERAGE(D$2:D$497),STDEV(D$2:D$497)))</f>
        <v>1.0418053570413823</v>
      </c>
      <c r="W338" s="32">
        <f t="shared" ref="W338:W401" si="76">IF(ISTEXT(E338),"",STANDARDIZE(E338,AVERAGE(E$2:E$497),STDEV(E$2:E$497)))</f>
        <v>0.80698132232978881</v>
      </c>
      <c r="X338" s="32">
        <f t="shared" ref="X338:X401" si="77">IF(ISTEXT(F338),"",-1*STANDARDIZE(F338,AVERAGE(F$2:F$497),STDEV(F$2:F$497)))</f>
        <v>1.0506390162289212</v>
      </c>
      <c r="Y338" s="32">
        <f t="shared" ref="Y338:Y401" si="78">IF(ISTEXT(G338),"",-1*STANDARDIZE(G338,AVERAGE(G$2:G$497),STDEV(G$2:G$497)))</f>
        <v>-1.6649456898696466</v>
      </c>
      <c r="Z338" s="32">
        <f t="shared" ref="Z338:Z401" si="79">IF(ISTEXT(H338),"",STANDARDIZE(H338,AVERAGE(H$2:H$497),STDEV(H$2:H$497)))</f>
        <v>0.81206041627470116</v>
      </c>
      <c r="AA338" s="32">
        <f t="shared" ref="AA338:AA401" si="80">IF(ISTEXT(I338),"",STANDARDIZE(I338,AVERAGE(I$2:I$497),STDEV(I$2:I$497)))</f>
        <v>-9.8649377643389324E-2</v>
      </c>
      <c r="AF338" s="40"/>
    </row>
    <row r="339" spans="1:32" customFormat="1" ht="14.25" hidden="1" customHeight="1" x14ac:dyDescent="0.35">
      <c r="A339" s="30">
        <f t="shared" si="72"/>
        <v>99</v>
      </c>
      <c r="B339">
        <v>1276</v>
      </c>
      <c r="C339">
        <v>5</v>
      </c>
      <c r="D339">
        <v>1</v>
      </c>
      <c r="E339">
        <v>4</v>
      </c>
      <c r="F339">
        <v>2</v>
      </c>
      <c r="G339">
        <v>1</v>
      </c>
      <c r="H339">
        <v>5</v>
      </c>
      <c r="I339">
        <v>5</v>
      </c>
      <c r="J339">
        <v>2</v>
      </c>
      <c r="L339">
        <v>2</v>
      </c>
      <c r="M339">
        <v>4</v>
      </c>
      <c r="N339">
        <v>15</v>
      </c>
      <c r="O339">
        <v>6</v>
      </c>
      <c r="P339">
        <v>4</v>
      </c>
      <c r="Q339">
        <v>1</v>
      </c>
      <c r="R339">
        <v>2</v>
      </c>
      <c r="S339">
        <v>2</v>
      </c>
      <c r="T339" s="3">
        <f t="shared" si="73"/>
        <v>0.64160711733642783</v>
      </c>
      <c r="U339" s="32">
        <f t="shared" si="74"/>
        <v>0.84420266961423651</v>
      </c>
      <c r="V339" s="32">
        <f t="shared" si="75"/>
        <v>1.0418053570413823</v>
      </c>
      <c r="W339" s="32">
        <f t="shared" si="76"/>
        <v>-9.6984149849158471E-2</v>
      </c>
      <c r="X339" s="32">
        <f t="shared" si="77"/>
        <v>0.21586162773242673</v>
      </c>
      <c r="Y339" s="32">
        <f t="shared" si="78"/>
        <v>0.86866731645372852</v>
      </c>
      <c r="Z339" s="32">
        <f t="shared" si="79"/>
        <v>0.81206041627470116</v>
      </c>
      <c r="AA339" s="32">
        <f t="shared" si="80"/>
        <v>0.80563658408767735</v>
      </c>
      <c r="AF339" s="40"/>
    </row>
    <row r="340" spans="1:32" customFormat="1" ht="14.25" hidden="1" customHeight="1" x14ac:dyDescent="0.35">
      <c r="A340" s="30">
        <f t="shared" si="72"/>
        <v>99</v>
      </c>
      <c r="B340">
        <v>1280</v>
      </c>
      <c r="C340">
        <v>3</v>
      </c>
      <c r="D340">
        <v>1</v>
      </c>
      <c r="E340">
        <v>5</v>
      </c>
      <c r="F340">
        <v>1</v>
      </c>
      <c r="G340">
        <v>1</v>
      </c>
      <c r="H340">
        <v>5</v>
      </c>
      <c r="I340">
        <v>5</v>
      </c>
      <c r="J340">
        <v>2</v>
      </c>
      <c r="L340">
        <v>1</v>
      </c>
      <c r="M340">
        <v>3</v>
      </c>
      <c r="N340">
        <v>0</v>
      </c>
      <c r="O340">
        <v>6</v>
      </c>
      <c r="P340">
        <v>6</v>
      </c>
      <c r="Q340">
        <v>1</v>
      </c>
      <c r="R340">
        <v>3</v>
      </c>
      <c r="S340">
        <v>2</v>
      </c>
      <c r="T340" s="3">
        <f t="shared" si="73"/>
        <v>0.63268348569705302</v>
      </c>
      <c r="U340" s="32">
        <f t="shared" si="74"/>
        <v>-0.95700561253682881</v>
      </c>
      <c r="V340" s="32">
        <f t="shared" si="75"/>
        <v>1.0418053570413823</v>
      </c>
      <c r="W340" s="32">
        <f t="shared" si="76"/>
        <v>0.80698132232978881</v>
      </c>
      <c r="X340" s="32">
        <f t="shared" si="77"/>
        <v>1.0506390162289212</v>
      </c>
      <c r="Y340" s="32">
        <f t="shared" si="78"/>
        <v>0.86866731645372852</v>
      </c>
      <c r="Z340" s="32">
        <f t="shared" si="79"/>
        <v>0.81206041627470116</v>
      </c>
      <c r="AA340" s="32">
        <f t="shared" si="80"/>
        <v>0.80563658408767735</v>
      </c>
      <c r="AF340" s="40"/>
    </row>
    <row r="341" spans="1:32" customFormat="1" ht="14.25" hidden="1" customHeight="1" x14ac:dyDescent="0.35">
      <c r="A341" s="30">
        <f t="shared" si="72"/>
        <v>99</v>
      </c>
      <c r="B341">
        <v>1283</v>
      </c>
      <c r="C341">
        <v>3</v>
      </c>
      <c r="D341">
        <v>4</v>
      </c>
      <c r="E341">
        <v>4</v>
      </c>
      <c r="F341">
        <v>2</v>
      </c>
      <c r="G341">
        <v>1</v>
      </c>
      <c r="H341">
        <v>5</v>
      </c>
      <c r="I341">
        <v>4</v>
      </c>
      <c r="J341">
        <v>2</v>
      </c>
      <c r="L341">
        <v>4</v>
      </c>
      <c r="M341">
        <v>3</v>
      </c>
      <c r="N341">
        <v>0</v>
      </c>
      <c r="O341">
        <v>5</v>
      </c>
      <c r="P341">
        <v>5</v>
      </c>
      <c r="Q341">
        <v>4</v>
      </c>
      <c r="R341">
        <v>3</v>
      </c>
      <c r="S341">
        <v>2</v>
      </c>
      <c r="T341" s="3">
        <f t="shared" si="73"/>
        <v>-7.8405074011280385E-2</v>
      </c>
      <c r="U341" s="32">
        <f t="shared" si="74"/>
        <v>-0.95700561253682881</v>
      </c>
      <c r="V341" s="32">
        <f t="shared" si="75"/>
        <v>-1.2927857385104427</v>
      </c>
      <c r="W341" s="32">
        <f t="shared" si="76"/>
        <v>-9.6984149849158471E-2</v>
      </c>
      <c r="X341" s="32">
        <f t="shared" si="77"/>
        <v>0.21586162773242673</v>
      </c>
      <c r="Y341" s="32">
        <f t="shared" si="78"/>
        <v>0.86866731645372852</v>
      </c>
      <c r="Z341" s="32">
        <f t="shared" si="79"/>
        <v>0.81206041627470116</v>
      </c>
      <c r="AA341" s="32">
        <f t="shared" si="80"/>
        <v>-9.8649377643389324E-2</v>
      </c>
      <c r="AF341" s="40"/>
    </row>
    <row r="342" spans="1:32" customFormat="1" ht="14.25" hidden="1" customHeight="1" x14ac:dyDescent="0.35">
      <c r="A342" s="30">
        <f t="shared" si="72"/>
        <v>99</v>
      </c>
      <c r="B342">
        <v>1284</v>
      </c>
      <c r="C342">
        <v>5</v>
      </c>
      <c r="D342">
        <v>3</v>
      </c>
      <c r="E342">
        <v>5</v>
      </c>
      <c r="F342">
        <v>2</v>
      </c>
      <c r="G342">
        <v>1</v>
      </c>
      <c r="H342">
        <v>5</v>
      </c>
      <c r="I342">
        <v>3</v>
      </c>
      <c r="J342">
        <v>2</v>
      </c>
      <c r="L342">
        <v>1</v>
      </c>
      <c r="O342">
        <v>6</v>
      </c>
      <c r="P342">
        <v>4</v>
      </c>
      <c r="Q342">
        <v>1</v>
      </c>
      <c r="R342">
        <v>1</v>
      </c>
      <c r="S342">
        <v>1</v>
      </c>
      <c r="T342" s="3">
        <f t="shared" si="73"/>
        <v>0.29003561519579879</v>
      </c>
      <c r="U342" s="32">
        <f t="shared" si="74"/>
        <v>0.84420266961423651</v>
      </c>
      <c r="V342" s="32">
        <f t="shared" si="75"/>
        <v>-0.51458870665983425</v>
      </c>
      <c r="W342" s="32">
        <f t="shared" si="76"/>
        <v>0.80698132232978881</v>
      </c>
      <c r="X342" s="32">
        <f t="shared" si="77"/>
        <v>0.21586162773242673</v>
      </c>
      <c r="Y342" s="32">
        <f t="shared" si="78"/>
        <v>0.86866731645372852</v>
      </c>
      <c r="Z342" s="32">
        <f t="shared" si="79"/>
        <v>0.81206041627470116</v>
      </c>
      <c r="AA342" s="32">
        <f t="shared" si="80"/>
        <v>-1.002935339374456</v>
      </c>
      <c r="AF342" s="40"/>
    </row>
    <row r="343" spans="1:32" customFormat="1" ht="14.25" hidden="1" customHeight="1" x14ac:dyDescent="0.35">
      <c r="A343" s="30">
        <f t="shared" si="72"/>
        <v>99</v>
      </c>
      <c r="B343">
        <v>1293</v>
      </c>
      <c r="C343">
        <v>5</v>
      </c>
      <c r="D343">
        <v>5</v>
      </c>
      <c r="E343">
        <v>5</v>
      </c>
      <c r="F343">
        <v>1</v>
      </c>
      <c r="G343">
        <v>1</v>
      </c>
      <c r="H343">
        <v>5</v>
      </c>
      <c r="I343">
        <v>5</v>
      </c>
      <c r="J343">
        <v>2</v>
      </c>
      <c r="L343">
        <v>1</v>
      </c>
      <c r="M343">
        <v>1</v>
      </c>
      <c r="N343">
        <v>0</v>
      </c>
      <c r="O343">
        <v>5</v>
      </c>
      <c r="P343">
        <v>5</v>
      </c>
      <c r="Q343">
        <v>1</v>
      </c>
      <c r="R343">
        <v>1</v>
      </c>
      <c r="S343">
        <v>2</v>
      </c>
      <c r="T343" s="3">
        <f t="shared" si="73"/>
        <v>0.44531493637542902</v>
      </c>
      <c r="U343" s="32">
        <f t="shared" si="74"/>
        <v>0.84420266961423651</v>
      </c>
      <c r="V343" s="32">
        <f t="shared" si="75"/>
        <v>-2.0709827703610508</v>
      </c>
      <c r="W343" s="32">
        <f t="shared" si="76"/>
        <v>0.80698132232978881</v>
      </c>
      <c r="X343" s="32">
        <f t="shared" si="77"/>
        <v>1.0506390162289212</v>
      </c>
      <c r="Y343" s="32">
        <f t="shared" si="78"/>
        <v>0.86866731645372852</v>
      </c>
      <c r="Z343" s="32">
        <f t="shared" si="79"/>
        <v>0.81206041627470116</v>
      </c>
      <c r="AA343" s="32">
        <f t="shared" si="80"/>
        <v>0.80563658408767735</v>
      </c>
      <c r="AF343" s="40"/>
    </row>
    <row r="344" spans="1:32" customFormat="1" ht="14.25" hidden="1" customHeight="1" x14ac:dyDescent="0.35">
      <c r="A344" s="30">
        <f t="shared" si="72"/>
        <v>99</v>
      </c>
      <c r="B344">
        <v>1297</v>
      </c>
      <c r="C344">
        <v>5</v>
      </c>
      <c r="D344">
        <v>2</v>
      </c>
      <c r="E344">
        <v>4</v>
      </c>
      <c r="F344">
        <v>1</v>
      </c>
      <c r="G344">
        <v>1</v>
      </c>
      <c r="H344">
        <v>5</v>
      </c>
      <c r="I344">
        <v>5</v>
      </c>
      <c r="J344">
        <v>2</v>
      </c>
      <c r="L344">
        <v>2</v>
      </c>
      <c r="M344">
        <v>1</v>
      </c>
      <c r="N344">
        <v>7</v>
      </c>
      <c r="O344">
        <v>6</v>
      </c>
      <c r="P344">
        <v>5</v>
      </c>
      <c r="Q344">
        <v>1</v>
      </c>
      <c r="R344">
        <v>2</v>
      </c>
      <c r="S344">
        <v>3</v>
      </c>
      <c r="T344" s="3">
        <f t="shared" si="73"/>
        <v>0.64969002542869714</v>
      </c>
      <c r="U344" s="32">
        <f t="shared" si="74"/>
        <v>0.84420266961423651</v>
      </c>
      <c r="V344" s="32">
        <f t="shared" si="75"/>
        <v>0.26360832519077404</v>
      </c>
      <c r="W344" s="32">
        <f t="shared" si="76"/>
        <v>-9.6984149849158471E-2</v>
      </c>
      <c r="X344" s="32">
        <f t="shared" si="77"/>
        <v>1.0506390162289212</v>
      </c>
      <c r="Y344" s="32">
        <f t="shared" si="78"/>
        <v>0.86866731645372852</v>
      </c>
      <c r="Z344" s="32">
        <f t="shared" si="79"/>
        <v>0.81206041627470116</v>
      </c>
      <c r="AA344" s="32">
        <f t="shared" si="80"/>
        <v>0.80563658408767735</v>
      </c>
      <c r="AF344" s="40"/>
    </row>
    <row r="345" spans="1:32" customFormat="1" ht="14.25" hidden="1" customHeight="1" x14ac:dyDescent="0.35">
      <c r="A345" s="30">
        <f t="shared" si="72"/>
        <v>99</v>
      </c>
      <c r="B345">
        <v>1310</v>
      </c>
      <c r="C345">
        <v>4</v>
      </c>
      <c r="D345">
        <v>1</v>
      </c>
      <c r="E345">
        <v>5</v>
      </c>
      <c r="F345">
        <v>1</v>
      </c>
      <c r="G345">
        <v>1</v>
      </c>
      <c r="H345">
        <v>5</v>
      </c>
      <c r="I345">
        <v>5</v>
      </c>
      <c r="J345">
        <v>3</v>
      </c>
      <c r="L345">
        <v>1</v>
      </c>
      <c r="O345">
        <v>6</v>
      </c>
      <c r="P345">
        <v>4</v>
      </c>
      <c r="Q345">
        <v>1</v>
      </c>
      <c r="R345">
        <v>4</v>
      </c>
      <c r="S345">
        <v>1</v>
      </c>
      <c r="T345" s="3">
        <f t="shared" si="73"/>
        <v>0.76134122013641481</v>
      </c>
      <c r="U345" s="32">
        <f t="shared" si="74"/>
        <v>-5.6401471461296142E-2</v>
      </c>
      <c r="V345" s="32">
        <f t="shared" si="75"/>
        <v>1.0418053570413823</v>
      </c>
      <c r="W345" s="32">
        <f t="shared" si="76"/>
        <v>0.80698132232978881</v>
      </c>
      <c r="X345" s="32">
        <f t="shared" si="77"/>
        <v>1.0506390162289212</v>
      </c>
      <c r="Y345" s="32">
        <f t="shared" si="78"/>
        <v>0.86866731645372852</v>
      </c>
      <c r="Z345" s="32">
        <f t="shared" si="79"/>
        <v>0.81206041627470116</v>
      </c>
      <c r="AA345" s="32">
        <f t="shared" si="80"/>
        <v>0.80563658408767735</v>
      </c>
      <c r="AF345" s="40"/>
    </row>
    <row r="346" spans="1:32" customFormat="1" ht="14.25" hidden="1" customHeight="1" x14ac:dyDescent="0.35">
      <c r="A346" s="30">
        <f t="shared" si="72"/>
        <v>99</v>
      </c>
      <c r="B346">
        <v>1318</v>
      </c>
      <c r="C346">
        <v>1</v>
      </c>
      <c r="D346">
        <v>1</v>
      </c>
      <c r="E346">
        <v>5</v>
      </c>
      <c r="F346">
        <v>1</v>
      </c>
      <c r="G346">
        <v>1</v>
      </c>
      <c r="H346">
        <v>5</v>
      </c>
      <c r="I346">
        <v>5</v>
      </c>
      <c r="J346">
        <v>2</v>
      </c>
      <c r="O346">
        <v>6</v>
      </c>
      <c r="P346">
        <v>4</v>
      </c>
      <c r="Q346">
        <v>2</v>
      </c>
      <c r="R346">
        <v>3</v>
      </c>
      <c r="S346">
        <v>3</v>
      </c>
      <c r="T346" s="3">
        <f t="shared" si="73"/>
        <v>0.37536801681832938</v>
      </c>
      <c r="U346" s="32">
        <f t="shared" si="74"/>
        <v>-2.758213894687894</v>
      </c>
      <c r="V346" s="32">
        <f t="shared" si="75"/>
        <v>1.0418053570413823</v>
      </c>
      <c r="W346" s="32">
        <f t="shared" si="76"/>
        <v>0.80698132232978881</v>
      </c>
      <c r="X346" s="32">
        <f t="shared" si="77"/>
        <v>1.0506390162289212</v>
      </c>
      <c r="Y346" s="32">
        <f t="shared" si="78"/>
        <v>0.86866731645372852</v>
      </c>
      <c r="Z346" s="32">
        <f t="shared" si="79"/>
        <v>0.81206041627470116</v>
      </c>
      <c r="AA346" s="32">
        <f t="shared" si="80"/>
        <v>0.80563658408767735</v>
      </c>
      <c r="AF346" s="40"/>
    </row>
    <row r="347" spans="1:32" customFormat="1" ht="14.25" hidden="1" customHeight="1" x14ac:dyDescent="0.35">
      <c r="A347" s="30">
        <f t="shared" si="72"/>
        <v>99</v>
      </c>
      <c r="B347">
        <v>1325</v>
      </c>
      <c r="C347">
        <v>4</v>
      </c>
      <c r="D347">
        <v>3</v>
      </c>
      <c r="E347">
        <v>3</v>
      </c>
      <c r="F347">
        <v>2</v>
      </c>
      <c r="G347">
        <v>2</v>
      </c>
      <c r="H347">
        <v>3</v>
      </c>
      <c r="I347">
        <v>3</v>
      </c>
      <c r="J347">
        <v>3</v>
      </c>
      <c r="L347">
        <v>2</v>
      </c>
      <c r="M347">
        <v>3</v>
      </c>
      <c r="N347">
        <v>1</v>
      </c>
      <c r="O347">
        <v>6</v>
      </c>
      <c r="P347">
        <v>5</v>
      </c>
      <c r="Q347">
        <v>2</v>
      </c>
      <c r="R347">
        <v>3</v>
      </c>
      <c r="S347">
        <v>3</v>
      </c>
      <c r="T347" s="3">
        <f t="shared" si="73"/>
        <v>-0.4853418314264909</v>
      </c>
      <c r="U347" s="32">
        <f t="shared" si="74"/>
        <v>-5.6401471461296142E-2</v>
      </c>
      <c r="V347" s="32">
        <f t="shared" si="75"/>
        <v>-0.51458870665983425</v>
      </c>
      <c r="W347" s="32">
        <f t="shared" si="76"/>
        <v>-1.0009496220281058</v>
      </c>
      <c r="X347" s="32">
        <f t="shared" si="77"/>
        <v>0.21586162773242673</v>
      </c>
      <c r="Y347" s="32">
        <f t="shared" si="78"/>
        <v>2.4129647679270151E-2</v>
      </c>
      <c r="Z347" s="32">
        <f t="shared" si="79"/>
        <v>-1.0625089558734409</v>
      </c>
      <c r="AA347" s="32">
        <f t="shared" si="80"/>
        <v>-1.002935339374456</v>
      </c>
      <c r="AF347" s="40"/>
    </row>
    <row r="348" spans="1:32" customFormat="1" ht="14.25" hidden="1" customHeight="1" x14ac:dyDescent="0.35">
      <c r="A348" s="30">
        <f t="shared" si="72"/>
        <v>99</v>
      </c>
      <c r="B348">
        <v>1332</v>
      </c>
      <c r="C348">
        <v>3</v>
      </c>
      <c r="D348">
        <v>4</v>
      </c>
      <c r="E348">
        <v>3</v>
      </c>
      <c r="F348">
        <v>3</v>
      </c>
      <c r="I348">
        <v>5</v>
      </c>
      <c r="J348">
        <v>2</v>
      </c>
      <c r="L348">
        <v>3</v>
      </c>
      <c r="O348">
        <v>6</v>
      </c>
      <c r="P348">
        <v>6</v>
      </c>
      <c r="Q348">
        <v>3</v>
      </c>
      <c r="R348">
        <v>3</v>
      </c>
      <c r="S348">
        <v>4</v>
      </c>
      <c r="T348" s="3">
        <f t="shared" si="73"/>
        <v>-0.74645402551703355</v>
      </c>
      <c r="U348" s="32">
        <f t="shared" si="74"/>
        <v>-0.95700561253682881</v>
      </c>
      <c r="V348" s="32">
        <f t="shared" si="75"/>
        <v>-1.2927857385104427</v>
      </c>
      <c r="W348" s="32">
        <f t="shared" si="76"/>
        <v>-1.0009496220281058</v>
      </c>
      <c r="X348" s="32">
        <f t="shared" si="77"/>
        <v>-0.61891576076406762</v>
      </c>
      <c r="Y348" s="32">
        <f t="shared" si="78"/>
        <v>1.7132049852281868</v>
      </c>
      <c r="Z348" s="32">
        <f t="shared" si="79"/>
        <v>-3.8743630140956538</v>
      </c>
      <c r="AA348" s="32">
        <f t="shared" si="80"/>
        <v>0.80563658408767735</v>
      </c>
      <c r="AF348" s="40"/>
    </row>
    <row r="349" spans="1:32" customFormat="1" ht="14.25" hidden="1" customHeight="1" x14ac:dyDescent="0.35">
      <c r="A349" s="30">
        <f t="shared" si="72"/>
        <v>99</v>
      </c>
      <c r="B349">
        <v>1337</v>
      </c>
      <c r="C349">
        <v>4</v>
      </c>
      <c r="D349">
        <v>3</v>
      </c>
      <c r="E349">
        <v>4</v>
      </c>
      <c r="F349">
        <v>3</v>
      </c>
      <c r="G349">
        <v>3</v>
      </c>
      <c r="H349">
        <v>4</v>
      </c>
      <c r="I349">
        <v>3</v>
      </c>
      <c r="J349">
        <v>2</v>
      </c>
      <c r="K349">
        <v>1</v>
      </c>
      <c r="O349">
        <v>6</v>
      </c>
      <c r="P349">
        <v>4</v>
      </c>
      <c r="Q349">
        <v>1</v>
      </c>
      <c r="R349">
        <v>4</v>
      </c>
      <c r="S349">
        <v>2</v>
      </c>
      <c r="T349" s="3">
        <f t="shared" si="73"/>
        <v>-0.46220824557191004</v>
      </c>
      <c r="U349" s="32">
        <f t="shared" si="74"/>
        <v>-5.6401471461296142E-2</v>
      </c>
      <c r="V349" s="32">
        <f t="shared" si="75"/>
        <v>-0.51458870665983425</v>
      </c>
      <c r="W349" s="32">
        <f t="shared" si="76"/>
        <v>-9.6984149849158471E-2</v>
      </c>
      <c r="X349" s="32">
        <f t="shared" si="77"/>
        <v>-0.61891576076406762</v>
      </c>
      <c r="Y349" s="32">
        <f t="shared" si="78"/>
        <v>-0.82040802109518818</v>
      </c>
      <c r="Z349" s="32">
        <f t="shared" si="79"/>
        <v>-0.12522426979936985</v>
      </c>
      <c r="AA349" s="32">
        <f t="shared" si="80"/>
        <v>-1.002935339374456</v>
      </c>
      <c r="AF349" s="40"/>
    </row>
    <row r="350" spans="1:32" customFormat="1" ht="14.25" hidden="1" customHeight="1" x14ac:dyDescent="0.35">
      <c r="A350" s="30">
        <f t="shared" si="72"/>
        <v>99</v>
      </c>
      <c r="B350">
        <v>1344</v>
      </c>
      <c r="C350">
        <v>5</v>
      </c>
      <c r="D350">
        <v>1</v>
      </c>
      <c r="E350">
        <v>5</v>
      </c>
      <c r="F350">
        <v>1</v>
      </c>
      <c r="G350">
        <v>1</v>
      </c>
      <c r="H350">
        <v>5</v>
      </c>
      <c r="I350">
        <v>5</v>
      </c>
      <c r="J350">
        <v>1</v>
      </c>
      <c r="L350">
        <v>2</v>
      </c>
      <c r="M350">
        <v>2</v>
      </c>
      <c r="N350">
        <v>0</v>
      </c>
      <c r="O350">
        <v>6</v>
      </c>
      <c r="P350">
        <v>4</v>
      </c>
      <c r="Q350">
        <v>1</v>
      </c>
      <c r="R350">
        <v>4</v>
      </c>
      <c r="S350">
        <v>1</v>
      </c>
      <c r="T350" s="3">
        <f t="shared" si="73"/>
        <v>0.88999895457577671</v>
      </c>
      <c r="U350" s="32">
        <f t="shared" si="74"/>
        <v>0.84420266961423651</v>
      </c>
      <c r="V350" s="32">
        <f t="shared" si="75"/>
        <v>1.0418053570413823</v>
      </c>
      <c r="W350" s="32">
        <f t="shared" si="76"/>
        <v>0.80698132232978881</v>
      </c>
      <c r="X350" s="32">
        <f t="shared" si="77"/>
        <v>1.0506390162289212</v>
      </c>
      <c r="Y350" s="32">
        <f t="shared" si="78"/>
        <v>0.86866731645372852</v>
      </c>
      <c r="Z350" s="32">
        <f t="shared" si="79"/>
        <v>0.81206041627470116</v>
      </c>
      <c r="AA350" s="32">
        <f t="shared" si="80"/>
        <v>0.80563658408767735</v>
      </c>
      <c r="AF350" s="40"/>
    </row>
    <row r="351" spans="1:32" customFormat="1" ht="14.25" hidden="1" customHeight="1" x14ac:dyDescent="0.35">
      <c r="A351" s="30">
        <f t="shared" si="72"/>
        <v>99</v>
      </c>
      <c r="B351">
        <v>1350</v>
      </c>
      <c r="C351">
        <v>4</v>
      </c>
      <c r="D351">
        <v>2</v>
      </c>
      <c r="E351">
        <v>3</v>
      </c>
      <c r="F351">
        <v>4</v>
      </c>
      <c r="G351">
        <v>2</v>
      </c>
      <c r="H351">
        <v>3</v>
      </c>
      <c r="I351">
        <v>5</v>
      </c>
      <c r="J351">
        <v>2</v>
      </c>
      <c r="L351">
        <v>3</v>
      </c>
      <c r="M351">
        <v>2</v>
      </c>
      <c r="N351">
        <v>7</v>
      </c>
      <c r="O351">
        <v>6</v>
      </c>
      <c r="P351">
        <v>2</v>
      </c>
      <c r="Q351">
        <v>1</v>
      </c>
      <c r="R351">
        <v>2</v>
      </c>
      <c r="S351">
        <v>3</v>
      </c>
      <c r="T351" s="3">
        <f t="shared" si="73"/>
        <v>-0.35431123452366897</v>
      </c>
      <c r="U351" s="32">
        <f t="shared" si="74"/>
        <v>-5.6401471461296142E-2</v>
      </c>
      <c r="V351" s="32">
        <f t="shared" si="75"/>
        <v>0.26360832519077404</v>
      </c>
      <c r="W351" s="32">
        <f t="shared" si="76"/>
        <v>-1.0009496220281058</v>
      </c>
      <c r="X351" s="32">
        <f t="shared" si="77"/>
        <v>-1.453693149260562</v>
      </c>
      <c r="Y351" s="32">
        <f t="shared" si="78"/>
        <v>2.4129647679270151E-2</v>
      </c>
      <c r="Z351" s="32">
        <f t="shared" si="79"/>
        <v>-1.0625089558734409</v>
      </c>
      <c r="AA351" s="32">
        <f t="shared" si="80"/>
        <v>0.80563658408767735</v>
      </c>
      <c r="AF351" s="40"/>
    </row>
    <row r="352" spans="1:32" customFormat="1" ht="14.25" hidden="1" customHeight="1" x14ac:dyDescent="0.35">
      <c r="A352" s="30">
        <f t="shared" si="72"/>
        <v>99</v>
      </c>
      <c r="B352">
        <v>1374</v>
      </c>
      <c r="C352">
        <v>3</v>
      </c>
      <c r="D352">
        <v>3</v>
      </c>
      <c r="E352">
        <v>1</v>
      </c>
      <c r="F352">
        <v>4</v>
      </c>
      <c r="G352">
        <v>4</v>
      </c>
      <c r="H352">
        <v>5</v>
      </c>
      <c r="I352">
        <v>5</v>
      </c>
      <c r="J352">
        <v>2</v>
      </c>
      <c r="L352">
        <v>1</v>
      </c>
      <c r="M352">
        <v>2</v>
      </c>
      <c r="N352">
        <v>0</v>
      </c>
      <c r="O352">
        <v>6</v>
      </c>
      <c r="P352">
        <v>4</v>
      </c>
      <c r="Q352">
        <v>2</v>
      </c>
      <c r="R352">
        <v>4</v>
      </c>
      <c r="S352">
        <v>2</v>
      </c>
      <c r="T352" s="3">
        <f t="shared" si="73"/>
        <v>-0.82591667490721343</v>
      </c>
      <c r="U352" s="32">
        <f t="shared" si="74"/>
        <v>-0.95700561253682881</v>
      </c>
      <c r="V352" s="32">
        <f t="shared" si="75"/>
        <v>-0.51458870665983425</v>
      </c>
      <c r="W352" s="32">
        <f t="shared" si="76"/>
        <v>-2.8088805663860001</v>
      </c>
      <c r="X352" s="32">
        <f t="shared" si="77"/>
        <v>-1.453693149260562</v>
      </c>
      <c r="Y352" s="32">
        <f t="shared" si="78"/>
        <v>-1.6649456898696466</v>
      </c>
      <c r="Z352" s="32">
        <f t="shared" si="79"/>
        <v>0.81206041627470116</v>
      </c>
      <c r="AA352" s="32">
        <f t="shared" si="80"/>
        <v>0.80563658408767735</v>
      </c>
      <c r="AF352" s="40"/>
    </row>
    <row r="353" spans="1:32" customFormat="1" ht="14.25" hidden="1" customHeight="1" x14ac:dyDescent="0.35">
      <c r="A353" s="30">
        <f t="shared" si="72"/>
        <v>99</v>
      </c>
      <c r="B353">
        <v>1393</v>
      </c>
      <c r="C353">
        <v>5</v>
      </c>
      <c r="D353">
        <v>1</v>
      </c>
      <c r="E353">
        <v>5</v>
      </c>
      <c r="F353">
        <v>1</v>
      </c>
      <c r="G353">
        <v>1</v>
      </c>
      <c r="H353">
        <v>5</v>
      </c>
      <c r="I353">
        <v>5</v>
      </c>
      <c r="J353">
        <v>3</v>
      </c>
      <c r="O353">
        <v>5</v>
      </c>
      <c r="P353">
        <v>3</v>
      </c>
      <c r="Q353">
        <v>2</v>
      </c>
      <c r="R353">
        <v>2</v>
      </c>
      <c r="S353">
        <v>2</v>
      </c>
      <c r="T353" s="3">
        <f t="shared" si="73"/>
        <v>0.88999895457577671</v>
      </c>
      <c r="U353" s="32">
        <f t="shared" si="74"/>
        <v>0.84420266961423651</v>
      </c>
      <c r="V353" s="32">
        <f t="shared" si="75"/>
        <v>1.0418053570413823</v>
      </c>
      <c r="W353" s="32">
        <f t="shared" si="76"/>
        <v>0.80698132232978881</v>
      </c>
      <c r="X353" s="32">
        <f t="shared" si="77"/>
        <v>1.0506390162289212</v>
      </c>
      <c r="Y353" s="32">
        <f t="shared" si="78"/>
        <v>0.86866731645372852</v>
      </c>
      <c r="Z353" s="32">
        <f t="shared" si="79"/>
        <v>0.81206041627470116</v>
      </c>
      <c r="AA353" s="32">
        <f t="shared" si="80"/>
        <v>0.80563658408767735</v>
      </c>
      <c r="AF353" s="40"/>
    </row>
    <row r="354" spans="1:32" customFormat="1" ht="14.25" hidden="1" customHeight="1" x14ac:dyDescent="0.35">
      <c r="A354" s="30">
        <f t="shared" si="72"/>
        <v>99</v>
      </c>
      <c r="B354">
        <v>1410</v>
      </c>
      <c r="C354">
        <v>4</v>
      </c>
      <c r="D354">
        <v>1</v>
      </c>
      <c r="E354">
        <v>4</v>
      </c>
      <c r="F354">
        <v>3</v>
      </c>
      <c r="G354">
        <v>2</v>
      </c>
      <c r="H354">
        <v>5</v>
      </c>
      <c r="I354">
        <v>5</v>
      </c>
      <c r="J354">
        <v>2</v>
      </c>
      <c r="L354">
        <v>1</v>
      </c>
      <c r="M354">
        <v>2</v>
      </c>
      <c r="N354">
        <v>0</v>
      </c>
      <c r="O354">
        <v>6</v>
      </c>
      <c r="P354">
        <v>6</v>
      </c>
      <c r="Q354">
        <v>1</v>
      </c>
      <c r="R354">
        <v>2</v>
      </c>
      <c r="S354">
        <v>1</v>
      </c>
      <c r="T354" s="3">
        <f t="shared" si="73"/>
        <v>0.27304723185835839</v>
      </c>
      <c r="U354" s="32">
        <f t="shared" si="74"/>
        <v>-5.6401471461296142E-2</v>
      </c>
      <c r="V354" s="32">
        <f t="shared" si="75"/>
        <v>1.0418053570413823</v>
      </c>
      <c r="W354" s="32">
        <f t="shared" si="76"/>
        <v>-9.6984149849158471E-2</v>
      </c>
      <c r="X354" s="32">
        <f t="shared" si="77"/>
        <v>-0.61891576076406762</v>
      </c>
      <c r="Y354" s="32">
        <f t="shared" si="78"/>
        <v>2.4129647679270151E-2</v>
      </c>
      <c r="Z354" s="32">
        <f t="shared" si="79"/>
        <v>0.81206041627470116</v>
      </c>
      <c r="AA354" s="32">
        <f t="shared" si="80"/>
        <v>0.80563658408767735</v>
      </c>
      <c r="AF354" s="40"/>
    </row>
    <row r="355" spans="1:32" customFormat="1" ht="14.25" hidden="1" customHeight="1" x14ac:dyDescent="0.35">
      <c r="A355" s="30">
        <f t="shared" si="72"/>
        <v>99</v>
      </c>
      <c r="B355">
        <v>1422</v>
      </c>
      <c r="C355">
        <v>5</v>
      </c>
      <c r="D355">
        <v>1</v>
      </c>
      <c r="E355">
        <v>4</v>
      </c>
      <c r="F355">
        <v>2</v>
      </c>
      <c r="G355">
        <v>2</v>
      </c>
      <c r="H355">
        <v>5</v>
      </c>
      <c r="I355">
        <v>5</v>
      </c>
      <c r="J355">
        <v>2</v>
      </c>
      <c r="L355">
        <v>2</v>
      </c>
      <c r="M355">
        <v>1</v>
      </c>
      <c r="N355">
        <v>2</v>
      </c>
      <c r="O355">
        <v>6</v>
      </c>
      <c r="P355">
        <v>4</v>
      </c>
      <c r="Q355">
        <v>1</v>
      </c>
      <c r="R355">
        <v>2</v>
      </c>
      <c r="S355">
        <v>2</v>
      </c>
      <c r="T355" s="3">
        <f t="shared" si="73"/>
        <v>0.52095887894007653</v>
      </c>
      <c r="U355" s="32">
        <f t="shared" si="74"/>
        <v>0.84420266961423651</v>
      </c>
      <c r="V355" s="32">
        <f t="shared" si="75"/>
        <v>1.0418053570413823</v>
      </c>
      <c r="W355" s="32">
        <f t="shared" si="76"/>
        <v>-9.6984149849158471E-2</v>
      </c>
      <c r="X355" s="32">
        <f t="shared" si="77"/>
        <v>0.21586162773242673</v>
      </c>
      <c r="Y355" s="32">
        <f t="shared" si="78"/>
        <v>2.4129647679270151E-2</v>
      </c>
      <c r="Z355" s="32">
        <f t="shared" si="79"/>
        <v>0.81206041627470116</v>
      </c>
      <c r="AA355" s="32">
        <f t="shared" si="80"/>
        <v>0.80563658408767735</v>
      </c>
      <c r="AF355" s="40"/>
    </row>
    <row r="356" spans="1:32" customFormat="1" ht="14.25" hidden="1" customHeight="1" x14ac:dyDescent="0.35">
      <c r="A356" s="30">
        <f t="shared" si="72"/>
        <v>99</v>
      </c>
      <c r="B356">
        <v>1431</v>
      </c>
      <c r="C356">
        <v>5</v>
      </c>
      <c r="D356">
        <v>1</v>
      </c>
      <c r="E356">
        <v>3</v>
      </c>
      <c r="F356">
        <v>1</v>
      </c>
      <c r="G356">
        <v>1</v>
      </c>
      <c r="H356">
        <v>5</v>
      </c>
      <c r="I356">
        <v>5</v>
      </c>
      <c r="J356">
        <v>3</v>
      </c>
      <c r="L356">
        <v>3</v>
      </c>
      <c r="M356">
        <v>3</v>
      </c>
      <c r="N356">
        <v>0</v>
      </c>
      <c r="O356">
        <v>6</v>
      </c>
      <c r="P356">
        <v>5</v>
      </c>
      <c r="Q356">
        <v>2</v>
      </c>
      <c r="R356">
        <v>4</v>
      </c>
      <c r="S356">
        <v>2</v>
      </c>
      <c r="T356" s="3">
        <f t="shared" si="73"/>
        <v>0.63172310538179155</v>
      </c>
      <c r="U356" s="32">
        <f t="shared" si="74"/>
        <v>0.84420266961423651</v>
      </c>
      <c r="V356" s="32">
        <f t="shared" si="75"/>
        <v>1.0418053570413823</v>
      </c>
      <c r="W356" s="32">
        <f t="shared" si="76"/>
        <v>-1.0009496220281058</v>
      </c>
      <c r="X356" s="32">
        <f t="shared" si="77"/>
        <v>1.0506390162289212</v>
      </c>
      <c r="Y356" s="32">
        <f t="shared" si="78"/>
        <v>0.86866731645372852</v>
      </c>
      <c r="Z356" s="32">
        <f t="shared" si="79"/>
        <v>0.81206041627470116</v>
      </c>
      <c r="AA356" s="32">
        <f t="shared" si="80"/>
        <v>0.80563658408767735</v>
      </c>
      <c r="AF356" s="40"/>
    </row>
    <row r="357" spans="1:32" customFormat="1" ht="14.25" hidden="1" customHeight="1" x14ac:dyDescent="0.35">
      <c r="A357" s="30">
        <f t="shared" si="72"/>
        <v>99</v>
      </c>
      <c r="B357">
        <v>1446</v>
      </c>
      <c r="C357">
        <v>2</v>
      </c>
      <c r="D357">
        <v>3</v>
      </c>
      <c r="E357">
        <v>2</v>
      </c>
      <c r="F357">
        <v>2</v>
      </c>
      <c r="G357">
        <v>4</v>
      </c>
      <c r="H357">
        <v>3</v>
      </c>
      <c r="I357">
        <v>2</v>
      </c>
      <c r="J357">
        <v>2</v>
      </c>
      <c r="O357">
        <v>6</v>
      </c>
      <c r="P357">
        <v>5</v>
      </c>
      <c r="Q357">
        <v>3</v>
      </c>
      <c r="R357">
        <v>2</v>
      </c>
      <c r="S357">
        <v>3</v>
      </c>
      <c r="T357" s="3">
        <f t="shared" si="73"/>
        <v>-1.2422754105136333</v>
      </c>
      <c r="U357" s="32">
        <f t="shared" si="74"/>
        <v>-1.8576097536123615</v>
      </c>
      <c r="V357" s="32">
        <f t="shared" si="75"/>
        <v>-0.51458870665983425</v>
      </c>
      <c r="W357" s="32">
        <f t="shared" si="76"/>
        <v>-1.904915094207053</v>
      </c>
      <c r="X357" s="32">
        <f t="shared" si="77"/>
        <v>0.21586162773242673</v>
      </c>
      <c r="Y357" s="32">
        <f t="shared" si="78"/>
        <v>-1.6649456898696466</v>
      </c>
      <c r="Z357" s="32">
        <f t="shared" si="79"/>
        <v>-1.0625089558734409</v>
      </c>
      <c r="AA357" s="32">
        <f t="shared" si="80"/>
        <v>-1.9072213011055226</v>
      </c>
      <c r="AF357" s="40"/>
    </row>
    <row r="358" spans="1:32" customFormat="1" ht="14.25" hidden="1" customHeight="1" x14ac:dyDescent="0.35">
      <c r="A358" s="30">
        <f t="shared" si="72"/>
        <v>99</v>
      </c>
      <c r="B358">
        <v>1455</v>
      </c>
      <c r="C358">
        <v>5</v>
      </c>
      <c r="D358">
        <v>1</v>
      </c>
      <c r="E358">
        <v>5</v>
      </c>
      <c r="F358">
        <v>4</v>
      </c>
      <c r="G358">
        <v>1</v>
      </c>
      <c r="H358">
        <v>5</v>
      </c>
      <c r="I358">
        <v>5</v>
      </c>
      <c r="J358">
        <v>2</v>
      </c>
      <c r="L358">
        <v>2</v>
      </c>
      <c r="M358">
        <v>1</v>
      </c>
      <c r="N358">
        <v>1</v>
      </c>
      <c r="O358">
        <v>5</v>
      </c>
      <c r="P358">
        <v>4</v>
      </c>
      <c r="Q358">
        <v>1</v>
      </c>
      <c r="R358">
        <v>5</v>
      </c>
      <c r="S358">
        <v>1</v>
      </c>
      <c r="T358" s="3">
        <f t="shared" si="73"/>
        <v>0.53223721664870749</v>
      </c>
      <c r="U358" s="32">
        <f t="shared" si="74"/>
        <v>0.84420266961423651</v>
      </c>
      <c r="V358" s="32">
        <f t="shared" si="75"/>
        <v>1.0418053570413823</v>
      </c>
      <c r="W358" s="32">
        <f t="shared" si="76"/>
        <v>0.80698132232978881</v>
      </c>
      <c r="X358" s="32">
        <f t="shared" si="77"/>
        <v>-1.453693149260562</v>
      </c>
      <c r="Y358" s="32">
        <f t="shared" si="78"/>
        <v>0.86866731645372852</v>
      </c>
      <c r="Z358" s="32">
        <f t="shared" si="79"/>
        <v>0.81206041627470116</v>
      </c>
      <c r="AA358" s="32">
        <f t="shared" si="80"/>
        <v>0.80563658408767735</v>
      </c>
      <c r="AF358" s="40"/>
    </row>
    <row r="359" spans="1:32" customFormat="1" ht="14.25" hidden="1" customHeight="1" x14ac:dyDescent="0.35">
      <c r="A359" s="30">
        <f t="shared" si="72"/>
        <v>99</v>
      </c>
      <c r="B359">
        <v>1459</v>
      </c>
      <c r="C359">
        <v>3</v>
      </c>
      <c r="D359">
        <v>4</v>
      </c>
      <c r="E359">
        <v>5</v>
      </c>
      <c r="F359">
        <v>3</v>
      </c>
      <c r="G359">
        <v>1</v>
      </c>
      <c r="H359">
        <v>5</v>
      </c>
      <c r="I359">
        <v>5</v>
      </c>
      <c r="J359">
        <v>2</v>
      </c>
      <c r="L359">
        <v>2</v>
      </c>
      <c r="M359">
        <v>1</v>
      </c>
      <c r="N359">
        <v>5</v>
      </c>
      <c r="O359">
        <v>6</v>
      </c>
      <c r="P359">
        <v>6</v>
      </c>
      <c r="Q359">
        <v>1</v>
      </c>
      <c r="R359">
        <v>2</v>
      </c>
      <c r="S359">
        <v>2</v>
      </c>
      <c r="T359" s="3">
        <f t="shared" si="73"/>
        <v>6.0662646762079504E-2</v>
      </c>
      <c r="U359" s="32">
        <f t="shared" si="74"/>
        <v>-0.95700561253682881</v>
      </c>
      <c r="V359" s="32">
        <f t="shared" si="75"/>
        <v>-1.2927857385104427</v>
      </c>
      <c r="W359" s="32">
        <f t="shared" si="76"/>
        <v>0.80698132232978881</v>
      </c>
      <c r="X359" s="32">
        <f t="shared" si="77"/>
        <v>-0.61891576076406762</v>
      </c>
      <c r="Y359" s="32">
        <f t="shared" si="78"/>
        <v>0.86866731645372852</v>
      </c>
      <c r="Z359" s="32">
        <f t="shared" si="79"/>
        <v>0.81206041627470116</v>
      </c>
      <c r="AA359" s="32">
        <f t="shared" si="80"/>
        <v>0.80563658408767735</v>
      </c>
      <c r="AF359" s="40"/>
    </row>
    <row r="360" spans="1:32" customFormat="1" ht="14.25" hidden="1" customHeight="1" x14ac:dyDescent="0.35">
      <c r="A360" s="30">
        <f t="shared" si="72"/>
        <v>99</v>
      </c>
      <c r="B360">
        <v>1464</v>
      </c>
      <c r="C360">
        <v>5</v>
      </c>
      <c r="D360">
        <v>1</v>
      </c>
      <c r="E360">
        <v>4</v>
      </c>
      <c r="F360">
        <v>3</v>
      </c>
      <c r="G360">
        <v>1</v>
      </c>
      <c r="H360">
        <v>5</v>
      </c>
      <c r="I360">
        <v>1</v>
      </c>
      <c r="J360">
        <v>1</v>
      </c>
      <c r="O360">
        <v>6</v>
      </c>
      <c r="P360">
        <v>6</v>
      </c>
      <c r="Q360">
        <v>2</v>
      </c>
      <c r="R360">
        <v>2</v>
      </c>
      <c r="S360">
        <v>3</v>
      </c>
      <c r="T360" s="3">
        <f t="shared" si="73"/>
        <v>5.6183694191761979E-3</v>
      </c>
      <c r="U360" s="32">
        <f t="shared" si="74"/>
        <v>0.84420266961423651</v>
      </c>
      <c r="V360" s="32">
        <f t="shared" si="75"/>
        <v>1.0418053570413823</v>
      </c>
      <c r="W360" s="32">
        <f t="shared" si="76"/>
        <v>-9.6984149849158471E-2</v>
      </c>
      <c r="X360" s="32">
        <f t="shared" si="77"/>
        <v>-0.61891576076406762</v>
      </c>
      <c r="Y360" s="32">
        <f t="shared" si="78"/>
        <v>0.86866731645372852</v>
      </c>
      <c r="Z360" s="32">
        <f t="shared" si="79"/>
        <v>0.81206041627470116</v>
      </c>
      <c r="AA360" s="32">
        <f t="shared" si="80"/>
        <v>-2.8115072628365891</v>
      </c>
      <c r="AF360" s="40"/>
    </row>
    <row r="361" spans="1:32" customFormat="1" ht="14.25" hidden="1" customHeight="1" x14ac:dyDescent="0.35">
      <c r="A361" s="30">
        <f t="shared" si="72"/>
        <v>99</v>
      </c>
      <c r="B361">
        <v>1471</v>
      </c>
      <c r="C361">
        <v>5</v>
      </c>
      <c r="D361">
        <v>5</v>
      </c>
      <c r="E361">
        <v>5</v>
      </c>
      <c r="F361">
        <v>3</v>
      </c>
      <c r="G361">
        <v>4</v>
      </c>
      <c r="H361">
        <v>5</v>
      </c>
      <c r="I361">
        <v>5</v>
      </c>
      <c r="J361">
        <v>1</v>
      </c>
      <c r="K361">
        <v>2</v>
      </c>
      <c r="L361">
        <v>2</v>
      </c>
      <c r="O361">
        <v>6</v>
      </c>
      <c r="P361">
        <v>2</v>
      </c>
      <c r="Q361">
        <v>1</v>
      </c>
      <c r="R361">
        <v>2</v>
      </c>
      <c r="S361">
        <v>2</v>
      </c>
      <c r="T361" s="3">
        <f t="shared" si="73"/>
        <v>-0.15513760409833727</v>
      </c>
      <c r="U361" s="32">
        <f t="shared" si="74"/>
        <v>0.84420266961423651</v>
      </c>
      <c r="V361" s="32">
        <f t="shared" si="75"/>
        <v>-2.0709827703610508</v>
      </c>
      <c r="W361" s="32">
        <f t="shared" si="76"/>
        <v>0.80698132232978881</v>
      </c>
      <c r="X361" s="32">
        <f t="shared" si="77"/>
        <v>-0.61891576076406762</v>
      </c>
      <c r="Y361" s="32">
        <f t="shared" si="78"/>
        <v>-1.6649456898696466</v>
      </c>
      <c r="Z361" s="32">
        <f t="shared" si="79"/>
        <v>0.81206041627470116</v>
      </c>
      <c r="AA361" s="32">
        <f t="shared" si="80"/>
        <v>0.80563658408767735</v>
      </c>
      <c r="AF361" s="40"/>
    </row>
    <row r="362" spans="1:32" customFormat="1" ht="14.25" hidden="1" customHeight="1" x14ac:dyDescent="0.35">
      <c r="A362" s="30">
        <f t="shared" si="72"/>
        <v>99</v>
      </c>
      <c r="B362">
        <v>1477</v>
      </c>
      <c r="C362">
        <v>3</v>
      </c>
      <c r="D362">
        <v>3</v>
      </c>
      <c r="E362">
        <v>3</v>
      </c>
      <c r="F362">
        <v>3</v>
      </c>
      <c r="G362">
        <v>3</v>
      </c>
      <c r="H362">
        <v>2</v>
      </c>
      <c r="I362">
        <v>3</v>
      </c>
      <c r="J362">
        <v>2</v>
      </c>
      <c r="O362">
        <v>6</v>
      </c>
      <c r="P362">
        <v>6</v>
      </c>
      <c r="Q362">
        <v>3</v>
      </c>
      <c r="R362">
        <v>3</v>
      </c>
      <c r="S362">
        <v>3</v>
      </c>
      <c r="T362" s="3">
        <f t="shared" si="73"/>
        <v>-0.98779952920085612</v>
      </c>
      <c r="U362" s="32">
        <f t="shared" si="74"/>
        <v>-0.95700561253682881</v>
      </c>
      <c r="V362" s="32">
        <f t="shared" si="75"/>
        <v>-0.51458870665983425</v>
      </c>
      <c r="W362" s="32">
        <f t="shared" si="76"/>
        <v>-1.0009496220281058</v>
      </c>
      <c r="X362" s="32">
        <f t="shared" si="77"/>
        <v>-0.61891576076406762</v>
      </c>
      <c r="Y362" s="32">
        <f t="shared" si="78"/>
        <v>-0.82040802109518818</v>
      </c>
      <c r="Z362" s="32">
        <f t="shared" si="79"/>
        <v>-1.9997936419475117</v>
      </c>
      <c r="AA362" s="32">
        <f t="shared" si="80"/>
        <v>-1.002935339374456</v>
      </c>
      <c r="AF362" s="40"/>
    </row>
    <row r="363" spans="1:32" customFormat="1" ht="14.25" hidden="1" customHeight="1" x14ac:dyDescent="0.35">
      <c r="A363" s="30">
        <f t="shared" si="72"/>
        <v>99</v>
      </c>
      <c r="B363">
        <v>1486</v>
      </c>
      <c r="C363">
        <v>5</v>
      </c>
      <c r="D363">
        <v>1</v>
      </c>
      <c r="E363">
        <v>5</v>
      </c>
      <c r="F363">
        <v>1</v>
      </c>
      <c r="G363">
        <v>1</v>
      </c>
      <c r="H363">
        <v>5</v>
      </c>
      <c r="I363">
        <v>2</v>
      </c>
      <c r="J363">
        <v>3</v>
      </c>
      <c r="L363">
        <v>2</v>
      </c>
      <c r="M363">
        <v>2</v>
      </c>
      <c r="N363">
        <v>30</v>
      </c>
      <c r="O363">
        <v>6</v>
      </c>
      <c r="P363">
        <v>6</v>
      </c>
      <c r="Q363">
        <v>1</v>
      </c>
      <c r="R363">
        <v>4</v>
      </c>
      <c r="S363">
        <v>1</v>
      </c>
      <c r="T363" s="3">
        <f t="shared" si="73"/>
        <v>0.5024478281196052</v>
      </c>
      <c r="U363" s="32">
        <f t="shared" si="74"/>
        <v>0.84420266961423651</v>
      </c>
      <c r="V363" s="32">
        <f t="shared" si="75"/>
        <v>1.0418053570413823</v>
      </c>
      <c r="W363" s="32">
        <f t="shared" si="76"/>
        <v>0.80698132232978881</v>
      </c>
      <c r="X363" s="32">
        <f t="shared" si="77"/>
        <v>1.0506390162289212</v>
      </c>
      <c r="Y363" s="32">
        <f t="shared" si="78"/>
        <v>0.86866731645372852</v>
      </c>
      <c r="Z363" s="32">
        <f t="shared" si="79"/>
        <v>0.81206041627470116</v>
      </c>
      <c r="AA363" s="32">
        <f t="shared" si="80"/>
        <v>-1.9072213011055226</v>
      </c>
      <c r="AF363" s="40"/>
    </row>
    <row r="364" spans="1:32" customFormat="1" ht="14.25" hidden="1" customHeight="1" x14ac:dyDescent="0.35">
      <c r="A364" s="30">
        <f t="shared" si="72"/>
        <v>99</v>
      </c>
      <c r="B364">
        <v>1496</v>
      </c>
      <c r="C364">
        <v>3</v>
      </c>
      <c r="D364">
        <v>3</v>
      </c>
      <c r="E364">
        <v>5</v>
      </c>
      <c r="F364">
        <v>1</v>
      </c>
      <c r="G364">
        <v>5</v>
      </c>
      <c r="H364">
        <v>3</v>
      </c>
      <c r="I364">
        <v>3</v>
      </c>
      <c r="J364">
        <v>2</v>
      </c>
      <c r="L364">
        <v>1</v>
      </c>
      <c r="M364">
        <v>3</v>
      </c>
      <c r="N364">
        <v>0</v>
      </c>
      <c r="O364">
        <v>5</v>
      </c>
      <c r="P364">
        <v>4</v>
      </c>
      <c r="Q364">
        <v>2</v>
      </c>
      <c r="R364">
        <v>3</v>
      </c>
      <c r="S364">
        <v>3</v>
      </c>
      <c r="T364" s="3">
        <f t="shared" si="73"/>
        <v>-0.59841451921856503</v>
      </c>
      <c r="U364" s="32">
        <f t="shared" si="74"/>
        <v>-0.95700561253682881</v>
      </c>
      <c r="V364" s="32">
        <f t="shared" si="75"/>
        <v>-0.51458870665983425</v>
      </c>
      <c r="W364" s="32">
        <f t="shared" si="76"/>
        <v>0.80698132232978881</v>
      </c>
      <c r="X364" s="32">
        <f t="shared" si="77"/>
        <v>1.0506390162289212</v>
      </c>
      <c r="Y364" s="32">
        <f t="shared" si="78"/>
        <v>-2.509483358644105</v>
      </c>
      <c r="Z364" s="32">
        <f t="shared" si="79"/>
        <v>-1.0625089558734409</v>
      </c>
      <c r="AA364" s="32">
        <f t="shared" si="80"/>
        <v>-1.002935339374456</v>
      </c>
      <c r="AF364" s="40"/>
    </row>
    <row r="365" spans="1:32" customFormat="1" ht="14.25" hidden="1" customHeight="1" x14ac:dyDescent="0.35">
      <c r="A365" s="30">
        <f t="shared" si="72"/>
        <v>99</v>
      </c>
      <c r="B365">
        <v>1513</v>
      </c>
      <c r="C365">
        <v>4</v>
      </c>
      <c r="D365">
        <v>2</v>
      </c>
      <c r="E365">
        <v>5</v>
      </c>
      <c r="F365">
        <v>1</v>
      </c>
      <c r="G365">
        <v>1</v>
      </c>
      <c r="H365">
        <v>5</v>
      </c>
      <c r="I365">
        <v>5</v>
      </c>
      <c r="J365">
        <v>3</v>
      </c>
      <c r="L365">
        <v>1</v>
      </c>
      <c r="M365">
        <v>3</v>
      </c>
      <c r="N365">
        <v>0</v>
      </c>
      <c r="O365">
        <v>6</v>
      </c>
      <c r="P365">
        <v>6</v>
      </c>
      <c r="Q365">
        <v>2</v>
      </c>
      <c r="R365">
        <v>3</v>
      </c>
      <c r="S365">
        <v>1</v>
      </c>
      <c r="T365" s="3">
        <f t="shared" si="73"/>
        <v>0.65017021558632782</v>
      </c>
      <c r="U365" s="32">
        <f t="shared" si="74"/>
        <v>-5.6401471461296142E-2</v>
      </c>
      <c r="V365" s="32">
        <f t="shared" si="75"/>
        <v>0.26360832519077404</v>
      </c>
      <c r="W365" s="32">
        <f t="shared" si="76"/>
        <v>0.80698132232978881</v>
      </c>
      <c r="X365" s="32">
        <f t="shared" si="77"/>
        <v>1.0506390162289212</v>
      </c>
      <c r="Y365" s="32">
        <f t="shared" si="78"/>
        <v>0.86866731645372852</v>
      </c>
      <c r="Z365" s="32">
        <f t="shared" si="79"/>
        <v>0.81206041627470116</v>
      </c>
      <c r="AA365" s="32">
        <f t="shared" si="80"/>
        <v>0.80563658408767735</v>
      </c>
      <c r="AF365" s="40"/>
    </row>
    <row r="366" spans="1:32" customFormat="1" ht="14.25" hidden="1" customHeight="1" x14ac:dyDescent="0.35">
      <c r="A366" s="30">
        <f t="shared" si="72"/>
        <v>99</v>
      </c>
      <c r="B366">
        <v>1522</v>
      </c>
      <c r="C366">
        <v>5</v>
      </c>
      <c r="D366">
        <v>2</v>
      </c>
      <c r="E366">
        <v>5</v>
      </c>
      <c r="F366">
        <v>3</v>
      </c>
      <c r="G366">
        <v>2</v>
      </c>
      <c r="H366">
        <v>5</v>
      </c>
      <c r="I366">
        <v>5</v>
      </c>
      <c r="J366">
        <v>1</v>
      </c>
      <c r="O366">
        <v>4</v>
      </c>
      <c r="P366">
        <v>3</v>
      </c>
      <c r="Q366">
        <v>1</v>
      </c>
      <c r="R366">
        <v>2</v>
      </c>
      <c r="S366">
        <v>1</v>
      </c>
      <c r="T366" s="3">
        <f t="shared" si="73"/>
        <v>0.41967188634462577</v>
      </c>
      <c r="U366" s="32">
        <f t="shared" si="74"/>
        <v>0.84420266961423651</v>
      </c>
      <c r="V366" s="32">
        <f t="shared" si="75"/>
        <v>0.26360832519077404</v>
      </c>
      <c r="W366" s="32">
        <f t="shared" si="76"/>
        <v>0.80698132232978881</v>
      </c>
      <c r="X366" s="32">
        <f t="shared" si="77"/>
        <v>-0.61891576076406762</v>
      </c>
      <c r="Y366" s="32">
        <f t="shared" si="78"/>
        <v>2.4129647679270151E-2</v>
      </c>
      <c r="Z366" s="32">
        <f t="shared" si="79"/>
        <v>0.81206041627470116</v>
      </c>
      <c r="AA366" s="32">
        <f t="shared" si="80"/>
        <v>0.80563658408767735</v>
      </c>
      <c r="AF366" s="40"/>
    </row>
    <row r="367" spans="1:32" customFormat="1" ht="14.25" hidden="1" customHeight="1" x14ac:dyDescent="0.35">
      <c r="A367" s="30">
        <f t="shared" si="72"/>
        <v>99</v>
      </c>
      <c r="B367">
        <v>1539</v>
      </c>
      <c r="C367">
        <v>5</v>
      </c>
      <c r="D367">
        <v>1</v>
      </c>
      <c r="E367">
        <v>1</v>
      </c>
      <c r="F367">
        <v>1</v>
      </c>
      <c r="G367">
        <v>4</v>
      </c>
      <c r="H367">
        <v>5</v>
      </c>
      <c r="I367">
        <v>5</v>
      </c>
      <c r="J367">
        <v>1</v>
      </c>
      <c r="L367">
        <v>3</v>
      </c>
      <c r="O367">
        <v>6</v>
      </c>
      <c r="P367">
        <v>6</v>
      </c>
      <c r="Q367">
        <v>2</v>
      </c>
      <c r="R367">
        <v>2</v>
      </c>
      <c r="S367">
        <v>2</v>
      </c>
      <c r="T367" s="3">
        <f t="shared" si="73"/>
        <v>1.1502540998753126E-2</v>
      </c>
      <c r="U367" s="32">
        <f t="shared" si="74"/>
        <v>0.84420266961423651</v>
      </c>
      <c r="V367" s="32">
        <f t="shared" si="75"/>
        <v>1.0418053570413823</v>
      </c>
      <c r="W367" s="32">
        <f t="shared" si="76"/>
        <v>-2.8088805663860001</v>
      </c>
      <c r="X367" s="32">
        <f t="shared" si="77"/>
        <v>1.0506390162289212</v>
      </c>
      <c r="Y367" s="32">
        <f t="shared" si="78"/>
        <v>-1.6649456898696466</v>
      </c>
      <c r="Z367" s="32">
        <f t="shared" si="79"/>
        <v>0.81206041627470116</v>
      </c>
      <c r="AA367" s="32">
        <f t="shared" si="80"/>
        <v>0.80563658408767735</v>
      </c>
      <c r="AF367" s="40"/>
    </row>
    <row r="368" spans="1:32" customFormat="1" ht="14.25" hidden="1" customHeight="1" x14ac:dyDescent="0.35">
      <c r="A368" s="30">
        <f t="shared" si="72"/>
        <v>99</v>
      </c>
      <c r="B368">
        <v>1550</v>
      </c>
      <c r="C368">
        <v>3</v>
      </c>
      <c r="D368">
        <v>3</v>
      </c>
      <c r="E368">
        <v>3</v>
      </c>
      <c r="F368">
        <v>4</v>
      </c>
      <c r="G368">
        <v>2</v>
      </c>
      <c r="H368">
        <v>3</v>
      </c>
      <c r="I368">
        <v>3</v>
      </c>
      <c r="J368">
        <v>2</v>
      </c>
      <c r="L368">
        <v>2</v>
      </c>
      <c r="M368">
        <v>3</v>
      </c>
      <c r="N368">
        <v>0</v>
      </c>
      <c r="O368">
        <v>6</v>
      </c>
      <c r="P368">
        <v>6</v>
      </c>
      <c r="Q368">
        <v>2</v>
      </c>
      <c r="R368">
        <v>2</v>
      </c>
      <c r="S368">
        <v>3</v>
      </c>
      <c r="T368" s="3">
        <f t="shared" si="73"/>
        <v>-0.8525073911505654</v>
      </c>
      <c r="U368" s="32">
        <f t="shared" si="74"/>
        <v>-0.95700561253682881</v>
      </c>
      <c r="V368" s="32">
        <f t="shared" si="75"/>
        <v>-0.51458870665983425</v>
      </c>
      <c r="W368" s="32">
        <f t="shared" si="76"/>
        <v>-1.0009496220281058</v>
      </c>
      <c r="X368" s="32">
        <f t="shared" si="77"/>
        <v>-1.453693149260562</v>
      </c>
      <c r="Y368" s="32">
        <f t="shared" si="78"/>
        <v>2.4129647679270151E-2</v>
      </c>
      <c r="Z368" s="32">
        <f t="shared" si="79"/>
        <v>-1.0625089558734409</v>
      </c>
      <c r="AA368" s="32">
        <f t="shared" si="80"/>
        <v>-1.002935339374456</v>
      </c>
      <c r="AF368" s="40"/>
    </row>
    <row r="369" spans="1:32" customFormat="1" ht="14.25" hidden="1" customHeight="1" x14ac:dyDescent="0.35">
      <c r="A369" s="30">
        <f t="shared" si="72"/>
        <v>99</v>
      </c>
      <c r="B369">
        <v>1559</v>
      </c>
      <c r="C369">
        <v>5</v>
      </c>
      <c r="D369">
        <v>5</v>
      </c>
      <c r="E369">
        <v>4</v>
      </c>
      <c r="F369">
        <v>4</v>
      </c>
      <c r="G369">
        <v>1</v>
      </c>
      <c r="H369">
        <v>4</v>
      </c>
      <c r="I369">
        <v>5</v>
      </c>
      <c r="J369">
        <v>1</v>
      </c>
      <c r="L369">
        <v>1</v>
      </c>
      <c r="O369">
        <v>4</v>
      </c>
      <c r="P369">
        <v>5</v>
      </c>
      <c r="Q369">
        <v>1</v>
      </c>
      <c r="R369">
        <v>2</v>
      </c>
      <c r="S369">
        <v>4</v>
      </c>
      <c r="T369" s="3">
        <f t="shared" si="73"/>
        <v>-0.17548253844492837</v>
      </c>
      <c r="U369" s="32">
        <f t="shared" si="74"/>
        <v>0.84420266961423651</v>
      </c>
      <c r="V369" s="32">
        <f t="shared" si="75"/>
        <v>-2.0709827703610508</v>
      </c>
      <c r="W369" s="32">
        <f t="shared" si="76"/>
        <v>-9.6984149849158471E-2</v>
      </c>
      <c r="X369" s="32">
        <f t="shared" si="77"/>
        <v>-1.453693149260562</v>
      </c>
      <c r="Y369" s="32">
        <f t="shared" si="78"/>
        <v>0.86866731645372852</v>
      </c>
      <c r="Z369" s="32">
        <f t="shared" si="79"/>
        <v>-0.12522426979936985</v>
      </c>
      <c r="AA369" s="32">
        <f t="shared" si="80"/>
        <v>0.80563658408767735</v>
      </c>
      <c r="AF369" s="40"/>
    </row>
    <row r="370" spans="1:32" customFormat="1" ht="14.25" hidden="1" customHeight="1" x14ac:dyDescent="0.35">
      <c r="A370" s="30">
        <f t="shared" si="72"/>
        <v>99</v>
      </c>
      <c r="B370">
        <v>1577</v>
      </c>
      <c r="C370">
        <v>3</v>
      </c>
      <c r="D370">
        <v>2</v>
      </c>
      <c r="E370">
        <v>5</v>
      </c>
      <c r="F370">
        <v>3</v>
      </c>
      <c r="G370">
        <v>2</v>
      </c>
      <c r="H370">
        <v>4</v>
      </c>
      <c r="I370">
        <v>3</v>
      </c>
      <c r="J370">
        <v>2</v>
      </c>
      <c r="L370">
        <v>2</v>
      </c>
      <c r="M370">
        <v>1</v>
      </c>
      <c r="N370">
        <v>2</v>
      </c>
      <c r="O370">
        <v>6</v>
      </c>
      <c r="P370">
        <v>6</v>
      </c>
      <c r="Q370">
        <v>2</v>
      </c>
      <c r="R370">
        <v>3</v>
      </c>
      <c r="S370">
        <v>2</v>
      </c>
      <c r="T370" s="3">
        <f t="shared" si="73"/>
        <v>-0.22990881246784131</v>
      </c>
      <c r="U370" s="32">
        <f t="shared" si="74"/>
        <v>-0.95700561253682881</v>
      </c>
      <c r="V370" s="32">
        <f t="shared" si="75"/>
        <v>0.26360832519077404</v>
      </c>
      <c r="W370" s="32">
        <f t="shared" si="76"/>
        <v>0.80698132232978881</v>
      </c>
      <c r="X370" s="32">
        <f t="shared" si="77"/>
        <v>-0.61891576076406762</v>
      </c>
      <c r="Y370" s="32">
        <f t="shared" si="78"/>
        <v>2.4129647679270151E-2</v>
      </c>
      <c r="Z370" s="32">
        <f t="shared" si="79"/>
        <v>-0.12522426979936985</v>
      </c>
      <c r="AA370" s="32">
        <f t="shared" si="80"/>
        <v>-1.002935339374456</v>
      </c>
      <c r="AF370" s="40"/>
    </row>
    <row r="371" spans="1:32" customFormat="1" ht="14.25" hidden="1" customHeight="1" x14ac:dyDescent="0.35">
      <c r="A371" s="30">
        <f t="shared" si="72"/>
        <v>99</v>
      </c>
      <c r="B371">
        <v>1582</v>
      </c>
      <c r="C371">
        <v>5</v>
      </c>
      <c r="D371">
        <v>5</v>
      </c>
      <c r="E371">
        <v>5</v>
      </c>
      <c r="F371">
        <v>1</v>
      </c>
      <c r="G371">
        <v>1</v>
      </c>
      <c r="H371">
        <v>5</v>
      </c>
      <c r="I371">
        <v>5</v>
      </c>
      <c r="J371">
        <v>1</v>
      </c>
      <c r="L371">
        <v>1</v>
      </c>
      <c r="M371">
        <v>1</v>
      </c>
      <c r="N371">
        <v>0</v>
      </c>
      <c r="O371">
        <v>6</v>
      </c>
      <c r="P371">
        <v>4</v>
      </c>
      <c r="Q371">
        <v>1</v>
      </c>
      <c r="R371">
        <v>5</v>
      </c>
      <c r="S371">
        <v>1</v>
      </c>
      <c r="T371" s="3">
        <f t="shared" si="73"/>
        <v>0.44531493637542902</v>
      </c>
      <c r="U371" s="32">
        <f t="shared" si="74"/>
        <v>0.84420266961423651</v>
      </c>
      <c r="V371" s="32">
        <f t="shared" si="75"/>
        <v>-2.0709827703610508</v>
      </c>
      <c r="W371" s="32">
        <f t="shared" si="76"/>
        <v>0.80698132232978881</v>
      </c>
      <c r="X371" s="32">
        <f t="shared" si="77"/>
        <v>1.0506390162289212</v>
      </c>
      <c r="Y371" s="32">
        <f t="shared" si="78"/>
        <v>0.86866731645372852</v>
      </c>
      <c r="Z371" s="32">
        <f t="shared" si="79"/>
        <v>0.81206041627470116</v>
      </c>
      <c r="AA371" s="32">
        <f t="shared" si="80"/>
        <v>0.80563658408767735</v>
      </c>
      <c r="AF371" s="40"/>
    </row>
    <row r="372" spans="1:32" customFormat="1" ht="14.25" hidden="1" customHeight="1" x14ac:dyDescent="0.35">
      <c r="A372" s="30">
        <f t="shared" si="72"/>
        <v>99</v>
      </c>
      <c r="B372">
        <v>1593</v>
      </c>
      <c r="C372">
        <v>3</v>
      </c>
      <c r="D372">
        <v>2</v>
      </c>
      <c r="E372">
        <v>3</v>
      </c>
      <c r="F372">
        <v>4</v>
      </c>
      <c r="G372">
        <v>3</v>
      </c>
      <c r="H372">
        <v>3</v>
      </c>
      <c r="I372">
        <v>2</v>
      </c>
      <c r="J372">
        <v>2</v>
      </c>
      <c r="L372">
        <v>1</v>
      </c>
      <c r="M372">
        <v>3</v>
      </c>
      <c r="N372">
        <v>3</v>
      </c>
      <c r="O372">
        <v>6</v>
      </c>
      <c r="P372">
        <v>6</v>
      </c>
      <c r="Q372">
        <v>2</v>
      </c>
      <c r="R372">
        <v>3</v>
      </c>
      <c r="S372">
        <v>2</v>
      </c>
      <c r="T372" s="3">
        <f t="shared" si="73"/>
        <v>-0.99116833381555358</v>
      </c>
      <c r="U372" s="32">
        <f t="shared" si="74"/>
        <v>-0.95700561253682881</v>
      </c>
      <c r="V372" s="32">
        <f t="shared" si="75"/>
        <v>0.26360832519077404</v>
      </c>
      <c r="W372" s="32">
        <f t="shared" si="76"/>
        <v>-1.0009496220281058</v>
      </c>
      <c r="X372" s="32">
        <f t="shared" si="77"/>
        <v>-1.453693149260562</v>
      </c>
      <c r="Y372" s="32">
        <f t="shared" si="78"/>
        <v>-0.82040802109518818</v>
      </c>
      <c r="Z372" s="32">
        <f t="shared" si="79"/>
        <v>-1.0625089558734409</v>
      </c>
      <c r="AA372" s="32">
        <f t="shared" si="80"/>
        <v>-1.9072213011055226</v>
      </c>
      <c r="AF372" s="40"/>
    </row>
    <row r="373" spans="1:32" customFormat="1" ht="14.25" hidden="1" customHeight="1" x14ac:dyDescent="0.35">
      <c r="A373" s="30">
        <f t="shared" si="72"/>
        <v>99</v>
      </c>
      <c r="B373">
        <v>1601</v>
      </c>
      <c r="C373">
        <v>4</v>
      </c>
      <c r="D373">
        <v>4</v>
      </c>
      <c r="E373">
        <v>4</v>
      </c>
      <c r="F373">
        <v>5</v>
      </c>
      <c r="G373">
        <v>2</v>
      </c>
      <c r="H373">
        <v>5</v>
      </c>
      <c r="I373">
        <v>3</v>
      </c>
      <c r="J373">
        <v>2</v>
      </c>
      <c r="L373">
        <v>2</v>
      </c>
      <c r="M373">
        <v>2</v>
      </c>
      <c r="N373">
        <v>1</v>
      </c>
      <c r="O373">
        <v>6</v>
      </c>
      <c r="P373">
        <v>4</v>
      </c>
      <c r="Q373">
        <v>2</v>
      </c>
      <c r="R373">
        <v>2</v>
      </c>
      <c r="S373">
        <v>2</v>
      </c>
      <c r="T373" s="3">
        <f t="shared" si="73"/>
        <v>-0.55734102471406266</v>
      </c>
      <c r="U373" s="32">
        <f t="shared" si="74"/>
        <v>-5.6401471461296142E-2</v>
      </c>
      <c r="V373" s="32">
        <f t="shared" si="75"/>
        <v>-1.2927857385104427</v>
      </c>
      <c r="W373" s="32">
        <f t="shared" si="76"/>
        <v>-9.6984149849158471E-2</v>
      </c>
      <c r="X373" s="32">
        <f t="shared" si="77"/>
        <v>-2.2884705377570564</v>
      </c>
      <c r="Y373" s="32">
        <f t="shared" si="78"/>
        <v>2.4129647679270151E-2</v>
      </c>
      <c r="Z373" s="32">
        <f t="shared" si="79"/>
        <v>0.81206041627470116</v>
      </c>
      <c r="AA373" s="32">
        <f t="shared" si="80"/>
        <v>-1.002935339374456</v>
      </c>
      <c r="AF373" s="40"/>
    </row>
    <row r="374" spans="1:32" customFormat="1" ht="14.25" hidden="1" customHeight="1" x14ac:dyDescent="0.35">
      <c r="A374" s="30">
        <f t="shared" si="72"/>
        <v>99</v>
      </c>
      <c r="B374">
        <v>1611</v>
      </c>
      <c r="C374">
        <v>3</v>
      </c>
      <c r="D374">
        <v>1</v>
      </c>
      <c r="E374">
        <v>5</v>
      </c>
      <c r="F374">
        <v>2</v>
      </c>
      <c r="G374">
        <v>1</v>
      </c>
      <c r="H374">
        <v>3</v>
      </c>
      <c r="I374">
        <v>3</v>
      </c>
      <c r="J374">
        <v>3</v>
      </c>
      <c r="L374">
        <v>2</v>
      </c>
      <c r="M374">
        <v>2</v>
      </c>
      <c r="N374">
        <v>0</v>
      </c>
      <c r="O374">
        <v>6</v>
      </c>
      <c r="P374">
        <v>3</v>
      </c>
      <c r="Q374">
        <v>2</v>
      </c>
      <c r="R374">
        <v>3</v>
      </c>
      <c r="S374">
        <v>4</v>
      </c>
      <c r="T374" s="3">
        <f t="shared" si="73"/>
        <v>-1.2733469175342746E-2</v>
      </c>
      <c r="U374" s="32">
        <f t="shared" si="74"/>
        <v>-0.95700561253682881</v>
      </c>
      <c r="V374" s="32">
        <f t="shared" si="75"/>
        <v>1.0418053570413823</v>
      </c>
      <c r="W374" s="32">
        <f t="shared" si="76"/>
        <v>0.80698132232978881</v>
      </c>
      <c r="X374" s="32">
        <f t="shared" si="77"/>
        <v>0.21586162773242673</v>
      </c>
      <c r="Y374" s="32">
        <f t="shared" si="78"/>
        <v>0.86866731645372852</v>
      </c>
      <c r="Z374" s="32">
        <f t="shared" si="79"/>
        <v>-1.0625089558734409</v>
      </c>
      <c r="AA374" s="32">
        <f t="shared" si="80"/>
        <v>-1.002935339374456</v>
      </c>
      <c r="AF374" s="40"/>
    </row>
    <row r="375" spans="1:32" customFormat="1" ht="14.25" hidden="1" customHeight="1" x14ac:dyDescent="0.35">
      <c r="A375" s="30">
        <f t="shared" si="72"/>
        <v>99</v>
      </c>
      <c r="B375">
        <v>1626</v>
      </c>
      <c r="C375">
        <v>5</v>
      </c>
      <c r="D375">
        <v>1</v>
      </c>
      <c r="E375">
        <v>5</v>
      </c>
      <c r="F375">
        <v>4</v>
      </c>
      <c r="G375">
        <v>2</v>
      </c>
      <c r="H375">
        <v>5</v>
      </c>
      <c r="I375">
        <v>5</v>
      </c>
      <c r="J375">
        <v>1</v>
      </c>
      <c r="L375">
        <v>1</v>
      </c>
      <c r="M375">
        <v>1</v>
      </c>
      <c r="N375">
        <v>0</v>
      </c>
      <c r="O375">
        <v>6</v>
      </c>
      <c r="P375">
        <v>6</v>
      </c>
      <c r="Q375">
        <v>1</v>
      </c>
      <c r="R375">
        <v>2</v>
      </c>
      <c r="S375">
        <v>2</v>
      </c>
      <c r="T375" s="3">
        <f t="shared" si="73"/>
        <v>0.41158897825235624</v>
      </c>
      <c r="U375" s="32">
        <f t="shared" si="74"/>
        <v>0.84420266961423651</v>
      </c>
      <c r="V375" s="32">
        <f t="shared" si="75"/>
        <v>1.0418053570413823</v>
      </c>
      <c r="W375" s="32">
        <f t="shared" si="76"/>
        <v>0.80698132232978881</v>
      </c>
      <c r="X375" s="32">
        <f t="shared" si="77"/>
        <v>-1.453693149260562</v>
      </c>
      <c r="Y375" s="32">
        <f t="shared" si="78"/>
        <v>2.4129647679270151E-2</v>
      </c>
      <c r="Z375" s="32">
        <f t="shared" si="79"/>
        <v>0.81206041627470116</v>
      </c>
      <c r="AA375" s="32">
        <f t="shared" si="80"/>
        <v>0.80563658408767735</v>
      </c>
      <c r="AF375" s="40"/>
    </row>
    <row r="376" spans="1:32" customFormat="1" ht="14.25" hidden="1" customHeight="1" x14ac:dyDescent="0.35">
      <c r="A376" s="30">
        <f t="shared" si="72"/>
        <v>99</v>
      </c>
      <c r="B376">
        <v>1633</v>
      </c>
      <c r="C376">
        <v>3</v>
      </c>
      <c r="D376">
        <v>3</v>
      </c>
      <c r="E376">
        <v>3</v>
      </c>
      <c r="F376">
        <v>3</v>
      </c>
      <c r="G376">
        <v>4</v>
      </c>
      <c r="H376">
        <v>3</v>
      </c>
      <c r="I376">
        <v>3</v>
      </c>
      <c r="J376">
        <v>1</v>
      </c>
      <c r="K376">
        <v>2</v>
      </c>
      <c r="O376">
        <v>6</v>
      </c>
      <c r="P376">
        <v>6</v>
      </c>
      <c r="Q376">
        <v>2</v>
      </c>
      <c r="R376">
        <v>2</v>
      </c>
      <c r="S376">
        <v>2</v>
      </c>
      <c r="T376" s="3">
        <f t="shared" si="73"/>
        <v>-0.97454995530091126</v>
      </c>
      <c r="U376" s="32">
        <f t="shared" si="74"/>
        <v>-0.95700561253682881</v>
      </c>
      <c r="V376" s="32">
        <f t="shared" si="75"/>
        <v>-0.51458870665983425</v>
      </c>
      <c r="W376" s="32">
        <f t="shared" si="76"/>
        <v>-1.0009496220281058</v>
      </c>
      <c r="X376" s="32">
        <f t="shared" si="77"/>
        <v>-0.61891576076406762</v>
      </c>
      <c r="Y376" s="32">
        <f t="shared" si="78"/>
        <v>-1.6649456898696466</v>
      </c>
      <c r="Z376" s="32">
        <f t="shared" si="79"/>
        <v>-1.0625089558734409</v>
      </c>
      <c r="AA376" s="32">
        <f t="shared" si="80"/>
        <v>-1.002935339374456</v>
      </c>
      <c r="AF376" s="40"/>
    </row>
    <row r="377" spans="1:32" customFormat="1" ht="14.25" hidden="1" customHeight="1" x14ac:dyDescent="0.35">
      <c r="A377" s="30">
        <f t="shared" si="72"/>
        <v>99</v>
      </c>
      <c r="B377">
        <v>1635</v>
      </c>
      <c r="C377">
        <v>5</v>
      </c>
      <c r="D377">
        <v>2</v>
      </c>
      <c r="E377">
        <v>5</v>
      </c>
      <c r="F377">
        <v>1</v>
      </c>
      <c r="G377">
        <v>1</v>
      </c>
      <c r="H377">
        <v>5</v>
      </c>
      <c r="I377">
        <v>5</v>
      </c>
      <c r="J377">
        <v>1</v>
      </c>
      <c r="L377">
        <v>4</v>
      </c>
      <c r="M377">
        <v>3</v>
      </c>
      <c r="N377">
        <v>15</v>
      </c>
      <c r="O377">
        <v>5</v>
      </c>
      <c r="P377">
        <v>2</v>
      </c>
      <c r="Q377">
        <v>1</v>
      </c>
      <c r="R377">
        <v>2</v>
      </c>
      <c r="S377">
        <v>2</v>
      </c>
      <c r="T377" s="3">
        <f t="shared" si="73"/>
        <v>0.77882795002568961</v>
      </c>
      <c r="U377" s="32">
        <f t="shared" si="74"/>
        <v>0.84420266961423651</v>
      </c>
      <c r="V377" s="32">
        <f t="shared" si="75"/>
        <v>0.26360832519077404</v>
      </c>
      <c r="W377" s="32">
        <f t="shared" si="76"/>
        <v>0.80698132232978881</v>
      </c>
      <c r="X377" s="32">
        <f t="shared" si="77"/>
        <v>1.0506390162289212</v>
      </c>
      <c r="Y377" s="32">
        <f t="shared" si="78"/>
        <v>0.86866731645372852</v>
      </c>
      <c r="Z377" s="32">
        <f t="shared" si="79"/>
        <v>0.81206041627470116</v>
      </c>
      <c r="AA377" s="32">
        <f t="shared" si="80"/>
        <v>0.80563658408767735</v>
      </c>
      <c r="AF377" s="40"/>
    </row>
    <row r="378" spans="1:32" customFormat="1" ht="14.25" hidden="1" customHeight="1" x14ac:dyDescent="0.35">
      <c r="A378" s="30">
        <f t="shared" si="72"/>
        <v>99</v>
      </c>
      <c r="B378">
        <v>1639</v>
      </c>
      <c r="C378">
        <v>5</v>
      </c>
      <c r="D378">
        <v>2</v>
      </c>
      <c r="E378">
        <v>4</v>
      </c>
      <c r="F378">
        <v>2</v>
      </c>
      <c r="G378">
        <v>2</v>
      </c>
      <c r="H378">
        <v>4</v>
      </c>
      <c r="I378">
        <v>4</v>
      </c>
      <c r="J378">
        <v>2</v>
      </c>
      <c r="O378">
        <v>6</v>
      </c>
      <c r="P378">
        <v>3</v>
      </c>
      <c r="Q378">
        <v>1</v>
      </c>
      <c r="R378">
        <v>5</v>
      </c>
      <c r="S378">
        <v>2</v>
      </c>
      <c r="T378" s="3">
        <f t="shared" si="73"/>
        <v>0.14670635327496998</v>
      </c>
      <c r="U378" s="32">
        <f t="shared" si="74"/>
        <v>0.84420266961423651</v>
      </c>
      <c r="V378" s="32">
        <f t="shared" si="75"/>
        <v>0.26360832519077404</v>
      </c>
      <c r="W378" s="32">
        <f t="shared" si="76"/>
        <v>-9.6984149849158471E-2</v>
      </c>
      <c r="X378" s="32">
        <f t="shared" si="77"/>
        <v>0.21586162773242673</v>
      </c>
      <c r="Y378" s="32">
        <f t="shared" si="78"/>
        <v>2.4129647679270151E-2</v>
      </c>
      <c r="Z378" s="32">
        <f t="shared" si="79"/>
        <v>-0.12522426979936985</v>
      </c>
      <c r="AA378" s="32">
        <f t="shared" si="80"/>
        <v>-9.8649377643389324E-2</v>
      </c>
      <c r="AF378" s="40"/>
    </row>
    <row r="379" spans="1:32" customFormat="1" ht="14.25" hidden="1" customHeight="1" x14ac:dyDescent="0.35">
      <c r="A379" s="30">
        <f t="shared" si="72"/>
        <v>99</v>
      </c>
      <c r="B379">
        <v>1641</v>
      </c>
      <c r="C379">
        <v>5</v>
      </c>
      <c r="D379">
        <v>1</v>
      </c>
      <c r="E379">
        <v>5</v>
      </c>
      <c r="F379">
        <v>1</v>
      </c>
      <c r="G379">
        <v>1</v>
      </c>
      <c r="H379">
        <v>5</v>
      </c>
      <c r="I379">
        <v>3</v>
      </c>
      <c r="J379">
        <v>3</v>
      </c>
      <c r="L379">
        <v>4</v>
      </c>
      <c r="O379">
        <v>6</v>
      </c>
      <c r="P379">
        <v>2</v>
      </c>
      <c r="Q379">
        <v>1</v>
      </c>
      <c r="R379">
        <v>1</v>
      </c>
      <c r="S379">
        <v>2</v>
      </c>
      <c r="T379" s="3">
        <f t="shared" si="73"/>
        <v>0.63163153693832896</v>
      </c>
      <c r="U379" s="32">
        <f t="shared" si="74"/>
        <v>0.84420266961423651</v>
      </c>
      <c r="V379" s="32">
        <f t="shared" si="75"/>
        <v>1.0418053570413823</v>
      </c>
      <c r="W379" s="32">
        <f t="shared" si="76"/>
        <v>0.80698132232978881</v>
      </c>
      <c r="X379" s="32">
        <f t="shared" si="77"/>
        <v>1.0506390162289212</v>
      </c>
      <c r="Y379" s="32">
        <f t="shared" si="78"/>
        <v>0.86866731645372852</v>
      </c>
      <c r="Z379" s="32">
        <f t="shared" si="79"/>
        <v>0.81206041627470116</v>
      </c>
      <c r="AA379" s="32">
        <f t="shared" si="80"/>
        <v>-1.002935339374456</v>
      </c>
      <c r="AF379" s="40"/>
    </row>
    <row r="380" spans="1:32" customFormat="1" ht="14.25" hidden="1" customHeight="1" x14ac:dyDescent="0.35">
      <c r="A380" s="30">
        <f t="shared" si="72"/>
        <v>99</v>
      </c>
      <c r="B380">
        <v>1645</v>
      </c>
      <c r="C380">
        <v>4</v>
      </c>
      <c r="D380">
        <v>3</v>
      </c>
      <c r="E380">
        <v>5</v>
      </c>
      <c r="F380">
        <v>3</v>
      </c>
      <c r="G380">
        <v>2</v>
      </c>
      <c r="H380">
        <v>3</v>
      </c>
      <c r="I380">
        <v>4</v>
      </c>
      <c r="J380">
        <v>2</v>
      </c>
      <c r="O380">
        <v>6</v>
      </c>
      <c r="P380">
        <v>5</v>
      </c>
      <c r="Q380">
        <v>2</v>
      </c>
      <c r="R380">
        <v>2</v>
      </c>
      <c r="S380">
        <v>2</v>
      </c>
      <c r="T380" s="3">
        <f t="shared" si="73"/>
        <v>-0.21713618605613849</v>
      </c>
      <c r="U380" s="32">
        <f t="shared" si="74"/>
        <v>-5.6401471461296142E-2</v>
      </c>
      <c r="V380" s="32">
        <f t="shared" si="75"/>
        <v>-0.51458870665983425</v>
      </c>
      <c r="W380" s="32">
        <f t="shared" si="76"/>
        <v>0.80698132232978881</v>
      </c>
      <c r="X380" s="32">
        <f t="shared" si="77"/>
        <v>-0.61891576076406762</v>
      </c>
      <c r="Y380" s="32">
        <f t="shared" si="78"/>
        <v>2.4129647679270151E-2</v>
      </c>
      <c r="Z380" s="32">
        <f t="shared" si="79"/>
        <v>-1.0625089558734409</v>
      </c>
      <c r="AA380" s="32">
        <f t="shared" si="80"/>
        <v>-9.8649377643389324E-2</v>
      </c>
      <c r="AF380" s="40"/>
    </row>
    <row r="381" spans="1:32" customFormat="1" ht="14.25" hidden="1" customHeight="1" x14ac:dyDescent="0.35">
      <c r="A381" s="30">
        <f t="shared" si="72"/>
        <v>99</v>
      </c>
      <c r="B381">
        <v>1664</v>
      </c>
      <c r="C381">
        <v>4</v>
      </c>
      <c r="D381">
        <v>1</v>
      </c>
      <c r="E381">
        <v>4</v>
      </c>
      <c r="F381">
        <v>2</v>
      </c>
      <c r="G381">
        <v>1</v>
      </c>
      <c r="H381">
        <v>5</v>
      </c>
      <c r="I381">
        <v>5</v>
      </c>
      <c r="J381">
        <v>1</v>
      </c>
      <c r="L381">
        <v>2</v>
      </c>
      <c r="M381">
        <v>2</v>
      </c>
      <c r="N381">
        <v>0</v>
      </c>
      <c r="O381">
        <v>6</v>
      </c>
      <c r="P381">
        <v>6</v>
      </c>
      <c r="Q381">
        <v>1</v>
      </c>
      <c r="R381">
        <v>4</v>
      </c>
      <c r="S381">
        <v>2</v>
      </c>
      <c r="T381" s="3">
        <f t="shared" si="73"/>
        <v>0.51294938289706593</v>
      </c>
      <c r="U381" s="32">
        <f t="shared" si="74"/>
        <v>-5.6401471461296142E-2</v>
      </c>
      <c r="V381" s="32">
        <f t="shared" si="75"/>
        <v>1.0418053570413823</v>
      </c>
      <c r="W381" s="32">
        <f t="shared" si="76"/>
        <v>-9.6984149849158471E-2</v>
      </c>
      <c r="X381" s="32">
        <f t="shared" si="77"/>
        <v>0.21586162773242673</v>
      </c>
      <c r="Y381" s="32">
        <f t="shared" si="78"/>
        <v>0.86866731645372852</v>
      </c>
      <c r="Z381" s="32">
        <f t="shared" si="79"/>
        <v>0.81206041627470116</v>
      </c>
      <c r="AA381" s="32">
        <f t="shared" si="80"/>
        <v>0.80563658408767735</v>
      </c>
      <c r="AF381" s="40"/>
    </row>
    <row r="382" spans="1:32" customFormat="1" ht="14.25" hidden="1" customHeight="1" x14ac:dyDescent="0.35">
      <c r="A382" s="30">
        <f t="shared" si="72"/>
        <v>99</v>
      </c>
      <c r="B382">
        <v>1679</v>
      </c>
      <c r="C382">
        <v>5</v>
      </c>
      <c r="D382">
        <v>1</v>
      </c>
      <c r="E382">
        <v>3</v>
      </c>
      <c r="F382">
        <v>3</v>
      </c>
      <c r="G382">
        <v>1</v>
      </c>
      <c r="H382">
        <v>5</v>
      </c>
      <c r="I382">
        <v>5</v>
      </c>
      <c r="J382">
        <v>1</v>
      </c>
      <c r="L382">
        <v>1</v>
      </c>
      <c r="M382">
        <v>1</v>
      </c>
      <c r="N382">
        <v>0</v>
      </c>
      <c r="O382">
        <v>6</v>
      </c>
      <c r="P382">
        <v>4</v>
      </c>
      <c r="Q382">
        <v>1</v>
      </c>
      <c r="R382">
        <v>3</v>
      </c>
      <c r="S382">
        <v>2</v>
      </c>
      <c r="T382" s="3">
        <f t="shared" si="73"/>
        <v>0.3932152800970789</v>
      </c>
      <c r="U382" s="32">
        <f t="shared" si="74"/>
        <v>0.84420266961423651</v>
      </c>
      <c r="V382" s="32">
        <f t="shared" si="75"/>
        <v>1.0418053570413823</v>
      </c>
      <c r="W382" s="32">
        <f t="shared" si="76"/>
        <v>-1.0009496220281058</v>
      </c>
      <c r="X382" s="32">
        <f t="shared" si="77"/>
        <v>-0.61891576076406762</v>
      </c>
      <c r="Y382" s="32">
        <f t="shared" si="78"/>
        <v>0.86866731645372852</v>
      </c>
      <c r="Z382" s="32">
        <f t="shared" si="79"/>
        <v>0.81206041627470116</v>
      </c>
      <c r="AA382" s="32">
        <f t="shared" si="80"/>
        <v>0.80563658408767735</v>
      </c>
      <c r="AF382" s="40"/>
    </row>
    <row r="383" spans="1:32" customFormat="1" ht="14.25" hidden="1" customHeight="1" x14ac:dyDescent="0.35">
      <c r="A383" s="30">
        <f t="shared" si="72"/>
        <v>99</v>
      </c>
      <c r="B383">
        <v>1684</v>
      </c>
      <c r="C383">
        <v>5</v>
      </c>
      <c r="D383">
        <v>5</v>
      </c>
      <c r="E383">
        <v>5</v>
      </c>
      <c r="F383">
        <v>1</v>
      </c>
      <c r="G383">
        <v>1</v>
      </c>
      <c r="H383">
        <v>5</v>
      </c>
      <c r="I383">
        <v>5</v>
      </c>
      <c r="J383">
        <v>2</v>
      </c>
      <c r="L383">
        <v>2</v>
      </c>
      <c r="M383">
        <v>4</v>
      </c>
      <c r="N383">
        <v>14</v>
      </c>
      <c r="O383">
        <v>6</v>
      </c>
      <c r="P383">
        <v>3</v>
      </c>
      <c r="Q383">
        <v>1</v>
      </c>
      <c r="R383">
        <v>2</v>
      </c>
      <c r="S383">
        <v>1</v>
      </c>
      <c r="T383" s="3">
        <f t="shared" si="73"/>
        <v>0.44531493637542902</v>
      </c>
      <c r="U383" s="32">
        <f t="shared" si="74"/>
        <v>0.84420266961423651</v>
      </c>
      <c r="V383" s="32">
        <f t="shared" si="75"/>
        <v>-2.0709827703610508</v>
      </c>
      <c r="W383" s="32">
        <f t="shared" si="76"/>
        <v>0.80698132232978881</v>
      </c>
      <c r="X383" s="32">
        <f t="shared" si="77"/>
        <v>1.0506390162289212</v>
      </c>
      <c r="Y383" s="32">
        <f t="shared" si="78"/>
        <v>0.86866731645372852</v>
      </c>
      <c r="Z383" s="32">
        <f t="shared" si="79"/>
        <v>0.81206041627470116</v>
      </c>
      <c r="AA383" s="32">
        <f t="shared" si="80"/>
        <v>0.80563658408767735</v>
      </c>
      <c r="AF383" s="40"/>
    </row>
    <row r="384" spans="1:32" customFormat="1" ht="14.25" hidden="1" customHeight="1" x14ac:dyDescent="0.35">
      <c r="A384" s="30">
        <f t="shared" si="72"/>
        <v>99</v>
      </c>
      <c r="B384">
        <v>1692</v>
      </c>
      <c r="C384">
        <v>5</v>
      </c>
      <c r="D384">
        <v>4</v>
      </c>
      <c r="E384">
        <v>4</v>
      </c>
      <c r="F384">
        <v>4</v>
      </c>
      <c r="G384">
        <v>5</v>
      </c>
      <c r="H384">
        <v>5</v>
      </c>
      <c r="I384">
        <v>5</v>
      </c>
      <c r="J384">
        <v>1</v>
      </c>
      <c r="L384">
        <v>1</v>
      </c>
      <c r="M384">
        <v>3</v>
      </c>
      <c r="N384">
        <v>0</v>
      </c>
      <c r="O384">
        <v>6</v>
      </c>
      <c r="P384">
        <v>3</v>
      </c>
      <c r="Q384">
        <v>1</v>
      </c>
      <c r="R384">
        <v>1</v>
      </c>
      <c r="S384">
        <v>2</v>
      </c>
      <c r="T384" s="3">
        <f t="shared" si="73"/>
        <v>-0.41300667518395046</v>
      </c>
      <c r="U384" s="32">
        <f t="shared" si="74"/>
        <v>0.84420266961423651</v>
      </c>
      <c r="V384" s="32">
        <f t="shared" si="75"/>
        <v>-1.2927857385104427</v>
      </c>
      <c r="W384" s="32">
        <f t="shared" si="76"/>
        <v>-9.6984149849158471E-2</v>
      </c>
      <c r="X384" s="32">
        <f t="shared" si="77"/>
        <v>-1.453693149260562</v>
      </c>
      <c r="Y384" s="32">
        <f t="shared" si="78"/>
        <v>-2.509483358644105</v>
      </c>
      <c r="Z384" s="32">
        <f t="shared" si="79"/>
        <v>0.81206041627470116</v>
      </c>
      <c r="AA384" s="32">
        <f t="shared" si="80"/>
        <v>0.80563658408767735</v>
      </c>
      <c r="AF384" s="40"/>
    </row>
    <row r="385" spans="1:32" customFormat="1" ht="14.25" hidden="1" customHeight="1" x14ac:dyDescent="0.35">
      <c r="A385" s="30">
        <f t="shared" si="72"/>
        <v>99</v>
      </c>
      <c r="B385">
        <v>1711</v>
      </c>
      <c r="C385">
        <v>4</v>
      </c>
      <c r="D385">
        <v>3</v>
      </c>
      <c r="E385">
        <v>4</v>
      </c>
      <c r="F385">
        <v>4</v>
      </c>
      <c r="G385">
        <v>4</v>
      </c>
      <c r="H385">
        <v>3</v>
      </c>
      <c r="I385">
        <v>3</v>
      </c>
      <c r="J385">
        <v>2</v>
      </c>
      <c r="K385">
        <v>1</v>
      </c>
      <c r="O385">
        <v>6</v>
      </c>
      <c r="P385">
        <v>6</v>
      </c>
      <c r="Q385">
        <v>1</v>
      </c>
      <c r="R385">
        <v>1</v>
      </c>
      <c r="S385">
        <v>2</v>
      </c>
      <c r="T385" s="3">
        <f t="shared" si="73"/>
        <v>-0.83600820890691352</v>
      </c>
      <c r="U385" s="32">
        <f t="shared" si="74"/>
        <v>-5.6401471461296142E-2</v>
      </c>
      <c r="V385" s="32">
        <f t="shared" si="75"/>
        <v>-0.51458870665983425</v>
      </c>
      <c r="W385" s="32">
        <f t="shared" si="76"/>
        <v>-9.6984149849158471E-2</v>
      </c>
      <c r="X385" s="32">
        <f t="shared" si="77"/>
        <v>-1.453693149260562</v>
      </c>
      <c r="Y385" s="32">
        <f t="shared" si="78"/>
        <v>-1.6649456898696466</v>
      </c>
      <c r="Z385" s="32">
        <f t="shared" si="79"/>
        <v>-1.0625089558734409</v>
      </c>
      <c r="AA385" s="32">
        <f t="shared" si="80"/>
        <v>-1.002935339374456</v>
      </c>
      <c r="AF385" s="40"/>
    </row>
    <row r="386" spans="1:32" customFormat="1" ht="14.25" hidden="1" customHeight="1" x14ac:dyDescent="0.35">
      <c r="A386" s="30">
        <f t="shared" si="72"/>
        <v>99</v>
      </c>
      <c r="B386">
        <v>1722</v>
      </c>
      <c r="C386">
        <v>3</v>
      </c>
      <c r="D386">
        <v>3</v>
      </c>
      <c r="E386">
        <v>3</v>
      </c>
      <c r="F386">
        <v>3</v>
      </c>
      <c r="G386">
        <v>2</v>
      </c>
      <c r="H386">
        <v>3</v>
      </c>
      <c r="I386">
        <v>3</v>
      </c>
      <c r="J386">
        <v>2</v>
      </c>
      <c r="L386">
        <v>1</v>
      </c>
      <c r="M386">
        <v>3</v>
      </c>
      <c r="N386">
        <v>0</v>
      </c>
      <c r="O386">
        <v>6</v>
      </c>
      <c r="P386">
        <v>6</v>
      </c>
      <c r="Q386">
        <v>2</v>
      </c>
      <c r="R386">
        <v>3</v>
      </c>
      <c r="S386">
        <v>2</v>
      </c>
      <c r="T386" s="3">
        <f t="shared" si="73"/>
        <v>-0.7332534785082091</v>
      </c>
      <c r="U386" s="32">
        <f t="shared" si="74"/>
        <v>-0.95700561253682881</v>
      </c>
      <c r="V386" s="32">
        <f t="shared" si="75"/>
        <v>-0.51458870665983425</v>
      </c>
      <c r="W386" s="32">
        <f t="shared" si="76"/>
        <v>-1.0009496220281058</v>
      </c>
      <c r="X386" s="32">
        <f t="shared" si="77"/>
        <v>-0.61891576076406762</v>
      </c>
      <c r="Y386" s="32">
        <f t="shared" si="78"/>
        <v>2.4129647679270151E-2</v>
      </c>
      <c r="Z386" s="32">
        <f t="shared" si="79"/>
        <v>-1.0625089558734409</v>
      </c>
      <c r="AA386" s="32">
        <f t="shared" si="80"/>
        <v>-1.002935339374456</v>
      </c>
      <c r="AF386" s="40"/>
    </row>
    <row r="387" spans="1:32" customFormat="1" ht="14.25" hidden="1" customHeight="1" x14ac:dyDescent="0.35">
      <c r="A387" s="30">
        <f t="shared" si="72"/>
        <v>99</v>
      </c>
      <c r="B387">
        <v>1727</v>
      </c>
      <c r="C387">
        <v>4</v>
      </c>
      <c r="D387">
        <v>2</v>
      </c>
      <c r="E387">
        <v>5</v>
      </c>
      <c r="F387">
        <v>2</v>
      </c>
      <c r="G387">
        <v>2</v>
      </c>
      <c r="H387">
        <v>5</v>
      </c>
      <c r="I387">
        <v>4</v>
      </c>
      <c r="J387">
        <v>2</v>
      </c>
      <c r="O387">
        <v>6</v>
      </c>
      <c r="P387">
        <v>4</v>
      </c>
      <c r="Q387">
        <v>1</v>
      </c>
      <c r="R387">
        <v>4</v>
      </c>
      <c r="S387">
        <v>2</v>
      </c>
      <c r="T387" s="3">
        <f t="shared" si="73"/>
        <v>0.28108435572889645</v>
      </c>
      <c r="U387" s="32">
        <f t="shared" si="74"/>
        <v>-5.6401471461296142E-2</v>
      </c>
      <c r="V387" s="32">
        <f t="shared" si="75"/>
        <v>0.26360832519077404</v>
      </c>
      <c r="W387" s="32">
        <f t="shared" si="76"/>
        <v>0.80698132232978881</v>
      </c>
      <c r="X387" s="32">
        <f t="shared" si="77"/>
        <v>0.21586162773242673</v>
      </c>
      <c r="Y387" s="32">
        <f t="shared" si="78"/>
        <v>2.4129647679270151E-2</v>
      </c>
      <c r="Z387" s="32">
        <f t="shared" si="79"/>
        <v>0.81206041627470116</v>
      </c>
      <c r="AA387" s="32">
        <f t="shared" si="80"/>
        <v>-9.8649377643389324E-2</v>
      </c>
      <c r="AF387" s="40"/>
    </row>
    <row r="388" spans="1:32" customFormat="1" ht="14.25" hidden="1" customHeight="1" x14ac:dyDescent="0.35">
      <c r="A388" s="30">
        <f t="shared" si="72"/>
        <v>99</v>
      </c>
      <c r="B388">
        <v>1728</v>
      </c>
      <c r="C388">
        <v>5</v>
      </c>
      <c r="D388">
        <v>5</v>
      </c>
      <c r="E388">
        <v>1</v>
      </c>
      <c r="F388">
        <v>4</v>
      </c>
      <c r="G388">
        <v>4</v>
      </c>
      <c r="H388">
        <v>4</v>
      </c>
      <c r="I388">
        <v>4</v>
      </c>
      <c r="J388">
        <v>1</v>
      </c>
      <c r="O388">
        <v>6</v>
      </c>
      <c r="P388">
        <v>4</v>
      </c>
      <c r="Q388">
        <v>2</v>
      </c>
      <c r="R388">
        <v>1</v>
      </c>
      <c r="S388">
        <v>2</v>
      </c>
      <c r="T388" s="3">
        <f t="shared" si="73"/>
        <v>-1.0540247362436834</v>
      </c>
      <c r="U388" s="32">
        <f t="shared" si="74"/>
        <v>0.84420266961423651</v>
      </c>
      <c r="V388" s="32">
        <f t="shared" si="75"/>
        <v>-2.0709827703610508</v>
      </c>
      <c r="W388" s="32">
        <f t="shared" si="76"/>
        <v>-2.8088805663860001</v>
      </c>
      <c r="X388" s="32">
        <f t="shared" si="77"/>
        <v>-1.453693149260562</v>
      </c>
      <c r="Y388" s="32">
        <f t="shared" si="78"/>
        <v>-1.6649456898696466</v>
      </c>
      <c r="Z388" s="32">
        <f t="shared" si="79"/>
        <v>-0.12522426979936985</v>
      </c>
      <c r="AA388" s="32">
        <f t="shared" si="80"/>
        <v>-9.8649377643389324E-2</v>
      </c>
      <c r="AF388" s="40"/>
    </row>
    <row r="389" spans="1:32" customFormat="1" ht="14.25" hidden="1" customHeight="1" x14ac:dyDescent="0.35">
      <c r="A389" s="30">
        <f t="shared" si="72"/>
        <v>99</v>
      </c>
      <c r="B389">
        <v>1731</v>
      </c>
      <c r="C389">
        <v>5</v>
      </c>
      <c r="D389">
        <v>1</v>
      </c>
      <c r="E389">
        <v>5</v>
      </c>
      <c r="F389">
        <v>1</v>
      </c>
      <c r="G389">
        <v>1</v>
      </c>
      <c r="H389">
        <v>4</v>
      </c>
      <c r="I389">
        <v>5</v>
      </c>
      <c r="J389">
        <v>2</v>
      </c>
      <c r="L389">
        <v>2</v>
      </c>
      <c r="M389">
        <v>3</v>
      </c>
      <c r="N389">
        <v>1</v>
      </c>
      <c r="O389">
        <v>6</v>
      </c>
      <c r="P389">
        <v>6</v>
      </c>
      <c r="Q389">
        <v>2</v>
      </c>
      <c r="R389">
        <v>3</v>
      </c>
      <c r="S389">
        <v>2</v>
      </c>
      <c r="T389" s="3">
        <f t="shared" si="73"/>
        <v>0.75610114227948078</v>
      </c>
      <c r="U389" s="32">
        <f t="shared" si="74"/>
        <v>0.84420266961423651</v>
      </c>
      <c r="V389" s="32">
        <f t="shared" si="75"/>
        <v>1.0418053570413823</v>
      </c>
      <c r="W389" s="32">
        <f t="shared" si="76"/>
        <v>0.80698132232978881</v>
      </c>
      <c r="X389" s="32">
        <f t="shared" si="77"/>
        <v>1.0506390162289212</v>
      </c>
      <c r="Y389" s="32">
        <f t="shared" si="78"/>
        <v>0.86866731645372852</v>
      </c>
      <c r="Z389" s="32">
        <f t="shared" si="79"/>
        <v>-0.12522426979936985</v>
      </c>
      <c r="AA389" s="32">
        <f t="shared" si="80"/>
        <v>0.80563658408767735</v>
      </c>
      <c r="AF389" s="40"/>
    </row>
    <row r="390" spans="1:32" customFormat="1" ht="14.25" hidden="1" customHeight="1" x14ac:dyDescent="0.35">
      <c r="A390" s="30">
        <f t="shared" si="72"/>
        <v>99</v>
      </c>
      <c r="B390">
        <v>1735</v>
      </c>
      <c r="C390">
        <v>4</v>
      </c>
      <c r="D390">
        <v>3</v>
      </c>
      <c r="E390">
        <v>5</v>
      </c>
      <c r="F390">
        <v>2</v>
      </c>
      <c r="G390">
        <v>2</v>
      </c>
      <c r="H390">
        <v>5</v>
      </c>
      <c r="I390">
        <v>3</v>
      </c>
      <c r="J390">
        <v>2</v>
      </c>
      <c r="O390">
        <v>6</v>
      </c>
      <c r="P390">
        <v>4</v>
      </c>
      <c r="Q390">
        <v>2</v>
      </c>
      <c r="R390">
        <v>2</v>
      </c>
      <c r="S390">
        <v>2</v>
      </c>
      <c r="T390" s="3">
        <f t="shared" si="73"/>
        <v>4.072964236008577E-2</v>
      </c>
      <c r="U390" s="32">
        <f t="shared" si="74"/>
        <v>-5.6401471461296142E-2</v>
      </c>
      <c r="V390" s="32">
        <f t="shared" si="75"/>
        <v>-0.51458870665983425</v>
      </c>
      <c r="W390" s="32">
        <f t="shared" si="76"/>
        <v>0.80698132232978881</v>
      </c>
      <c r="X390" s="32">
        <f t="shared" si="77"/>
        <v>0.21586162773242673</v>
      </c>
      <c r="Y390" s="32">
        <f t="shared" si="78"/>
        <v>2.4129647679270151E-2</v>
      </c>
      <c r="Z390" s="32">
        <f t="shared" si="79"/>
        <v>0.81206041627470116</v>
      </c>
      <c r="AA390" s="32">
        <f t="shared" si="80"/>
        <v>-1.002935339374456</v>
      </c>
      <c r="AF390" s="40"/>
    </row>
    <row r="391" spans="1:32" customFormat="1" ht="14.25" hidden="1" customHeight="1" x14ac:dyDescent="0.35">
      <c r="A391" s="30">
        <f t="shared" si="72"/>
        <v>99</v>
      </c>
      <c r="B391">
        <v>1743</v>
      </c>
      <c r="C391">
        <v>2</v>
      </c>
      <c r="D391">
        <v>3</v>
      </c>
      <c r="E391">
        <v>4</v>
      </c>
      <c r="F391">
        <v>1</v>
      </c>
      <c r="G391">
        <v>2</v>
      </c>
      <c r="H391">
        <v>4</v>
      </c>
      <c r="I391">
        <v>2</v>
      </c>
      <c r="J391">
        <v>3</v>
      </c>
      <c r="O391">
        <v>4</v>
      </c>
      <c r="P391">
        <v>3</v>
      </c>
      <c r="Q391">
        <v>3</v>
      </c>
      <c r="R391">
        <v>2</v>
      </c>
      <c r="S391">
        <v>3</v>
      </c>
      <c r="T391" s="3">
        <f t="shared" si="73"/>
        <v>-0.48955135958829354</v>
      </c>
      <c r="U391" s="32">
        <f t="shared" si="74"/>
        <v>-1.8576097536123615</v>
      </c>
      <c r="V391" s="32">
        <f t="shared" si="75"/>
        <v>-0.51458870665983425</v>
      </c>
      <c r="W391" s="32">
        <f t="shared" si="76"/>
        <v>-9.6984149849158471E-2</v>
      </c>
      <c r="X391" s="32">
        <f t="shared" si="77"/>
        <v>1.0506390162289212</v>
      </c>
      <c r="Y391" s="32">
        <f t="shared" si="78"/>
        <v>2.4129647679270151E-2</v>
      </c>
      <c r="Z391" s="32">
        <f t="shared" si="79"/>
        <v>-0.12522426979936985</v>
      </c>
      <c r="AA391" s="32">
        <f t="shared" si="80"/>
        <v>-1.9072213011055226</v>
      </c>
      <c r="AF391" s="40"/>
    </row>
    <row r="392" spans="1:32" customFormat="1" ht="14.25" hidden="1" customHeight="1" x14ac:dyDescent="0.35">
      <c r="A392" s="30">
        <f t="shared" si="72"/>
        <v>99</v>
      </c>
      <c r="B392">
        <v>1747</v>
      </c>
      <c r="C392">
        <v>4</v>
      </c>
      <c r="D392">
        <v>2</v>
      </c>
      <c r="E392">
        <v>4</v>
      </c>
      <c r="F392">
        <v>1</v>
      </c>
      <c r="G392">
        <v>1</v>
      </c>
      <c r="H392">
        <v>3</v>
      </c>
      <c r="I392">
        <v>3</v>
      </c>
      <c r="J392">
        <v>2</v>
      </c>
      <c r="L392">
        <v>2</v>
      </c>
      <c r="M392">
        <v>2</v>
      </c>
      <c r="N392">
        <v>0</v>
      </c>
      <c r="O392">
        <v>6</v>
      </c>
      <c r="P392">
        <v>6</v>
      </c>
      <c r="Q392">
        <v>2</v>
      </c>
      <c r="R392">
        <v>2</v>
      </c>
      <c r="S392">
        <v>3</v>
      </c>
      <c r="T392" s="3">
        <f t="shared" si="73"/>
        <v>-5.1307512407039457E-3</v>
      </c>
      <c r="U392" s="32">
        <f t="shared" si="74"/>
        <v>-5.6401471461296142E-2</v>
      </c>
      <c r="V392" s="32">
        <f t="shared" si="75"/>
        <v>0.26360832519077404</v>
      </c>
      <c r="W392" s="32">
        <f t="shared" si="76"/>
        <v>-9.6984149849158471E-2</v>
      </c>
      <c r="X392" s="32">
        <f t="shared" si="77"/>
        <v>1.0506390162289212</v>
      </c>
      <c r="Y392" s="32">
        <f t="shared" si="78"/>
        <v>0.86866731645372852</v>
      </c>
      <c r="Z392" s="32">
        <f t="shared" si="79"/>
        <v>-1.0625089558734409</v>
      </c>
      <c r="AA392" s="32">
        <f t="shared" si="80"/>
        <v>-1.002935339374456</v>
      </c>
      <c r="AF392" s="40"/>
    </row>
    <row r="393" spans="1:32" customFormat="1" ht="14.25" hidden="1" customHeight="1" x14ac:dyDescent="0.35">
      <c r="A393" s="30">
        <f t="shared" si="72"/>
        <v>99</v>
      </c>
      <c r="B393">
        <v>1756</v>
      </c>
      <c r="C393">
        <v>3</v>
      </c>
      <c r="D393">
        <v>3</v>
      </c>
      <c r="E393">
        <v>4</v>
      </c>
      <c r="F393">
        <v>2</v>
      </c>
      <c r="G393">
        <v>2</v>
      </c>
      <c r="H393">
        <v>4</v>
      </c>
      <c r="I393">
        <v>4</v>
      </c>
      <c r="J393">
        <v>2</v>
      </c>
      <c r="L393">
        <v>1</v>
      </c>
      <c r="M393">
        <v>1</v>
      </c>
      <c r="N393">
        <v>0</v>
      </c>
      <c r="O393">
        <v>6</v>
      </c>
      <c r="P393">
        <v>4</v>
      </c>
      <c r="Q393">
        <v>2</v>
      </c>
      <c r="R393">
        <v>2</v>
      </c>
      <c r="S393">
        <v>2</v>
      </c>
      <c r="T393" s="3">
        <f t="shared" si="73"/>
        <v>-0.22178012015384052</v>
      </c>
      <c r="U393" s="32">
        <f t="shared" si="74"/>
        <v>-0.95700561253682881</v>
      </c>
      <c r="V393" s="32">
        <f t="shared" si="75"/>
        <v>-0.51458870665983425</v>
      </c>
      <c r="W393" s="32">
        <f t="shared" si="76"/>
        <v>-9.6984149849158471E-2</v>
      </c>
      <c r="X393" s="32">
        <f t="shared" si="77"/>
        <v>0.21586162773242673</v>
      </c>
      <c r="Y393" s="32">
        <f t="shared" si="78"/>
        <v>2.4129647679270151E-2</v>
      </c>
      <c r="Z393" s="32">
        <f t="shared" si="79"/>
        <v>-0.12522426979936985</v>
      </c>
      <c r="AA393" s="32">
        <f t="shared" si="80"/>
        <v>-9.8649377643389324E-2</v>
      </c>
      <c r="AF393" s="40"/>
    </row>
    <row r="394" spans="1:32" customFormat="1" ht="14.25" hidden="1" customHeight="1" x14ac:dyDescent="0.35">
      <c r="A394" s="30">
        <f t="shared" si="72"/>
        <v>99</v>
      </c>
      <c r="B394">
        <v>1760</v>
      </c>
      <c r="C394">
        <v>4</v>
      </c>
      <c r="D394">
        <v>3</v>
      </c>
      <c r="E394">
        <v>4</v>
      </c>
      <c r="F394">
        <v>3</v>
      </c>
      <c r="G394">
        <v>2</v>
      </c>
      <c r="H394">
        <v>3</v>
      </c>
      <c r="I394">
        <v>3</v>
      </c>
      <c r="J394">
        <v>2</v>
      </c>
      <c r="O394">
        <v>6</v>
      </c>
      <c r="P394">
        <v>2</v>
      </c>
      <c r="Q394">
        <v>1</v>
      </c>
      <c r="R394">
        <v>4</v>
      </c>
      <c r="S394">
        <v>4</v>
      </c>
      <c r="T394" s="3">
        <f t="shared" si="73"/>
        <v>-0.47545781947185473</v>
      </c>
      <c r="U394" s="32">
        <f t="shared" si="74"/>
        <v>-5.6401471461296142E-2</v>
      </c>
      <c r="V394" s="32">
        <f t="shared" si="75"/>
        <v>-0.51458870665983425</v>
      </c>
      <c r="W394" s="32">
        <f t="shared" si="76"/>
        <v>-9.6984149849158471E-2</v>
      </c>
      <c r="X394" s="32">
        <f t="shared" si="77"/>
        <v>-0.61891576076406762</v>
      </c>
      <c r="Y394" s="32">
        <f t="shared" si="78"/>
        <v>2.4129647679270151E-2</v>
      </c>
      <c r="Z394" s="32">
        <f t="shared" si="79"/>
        <v>-1.0625089558734409</v>
      </c>
      <c r="AA394" s="32">
        <f t="shared" si="80"/>
        <v>-1.002935339374456</v>
      </c>
      <c r="AF394" s="40"/>
    </row>
    <row r="395" spans="1:32" customFormat="1" ht="14.25" hidden="1" customHeight="1" x14ac:dyDescent="0.35">
      <c r="A395" s="30">
        <f t="shared" si="72"/>
        <v>99</v>
      </c>
      <c r="B395">
        <v>1763</v>
      </c>
      <c r="C395">
        <v>5</v>
      </c>
      <c r="D395">
        <v>5</v>
      </c>
      <c r="E395">
        <v>1</v>
      </c>
      <c r="F395">
        <v>5</v>
      </c>
      <c r="G395">
        <v>5</v>
      </c>
      <c r="H395">
        <v>5</v>
      </c>
      <c r="I395">
        <v>5</v>
      </c>
      <c r="J395">
        <v>1</v>
      </c>
      <c r="L395">
        <v>2</v>
      </c>
      <c r="M395">
        <v>1</v>
      </c>
      <c r="N395">
        <v>5</v>
      </c>
      <c r="O395">
        <v>6</v>
      </c>
      <c r="P395">
        <v>4</v>
      </c>
      <c r="Q395">
        <v>1</v>
      </c>
      <c r="R395">
        <v>4</v>
      </c>
      <c r="S395">
        <v>3</v>
      </c>
      <c r="T395" s="3">
        <f t="shared" si="73"/>
        <v>-1.0308453661673713</v>
      </c>
      <c r="U395" s="32">
        <f t="shared" si="74"/>
        <v>0.84420266961423651</v>
      </c>
      <c r="V395" s="32">
        <f t="shared" si="75"/>
        <v>-2.0709827703610508</v>
      </c>
      <c r="W395" s="32">
        <f t="shared" si="76"/>
        <v>-2.8088805663860001</v>
      </c>
      <c r="X395" s="32">
        <f t="shared" si="77"/>
        <v>-2.2884705377570564</v>
      </c>
      <c r="Y395" s="32">
        <f t="shared" si="78"/>
        <v>-2.509483358644105</v>
      </c>
      <c r="Z395" s="32">
        <f t="shared" si="79"/>
        <v>0.81206041627470116</v>
      </c>
      <c r="AA395" s="32">
        <f t="shared" si="80"/>
        <v>0.80563658408767735</v>
      </c>
      <c r="AF395" s="40"/>
    </row>
    <row r="396" spans="1:32" customFormat="1" ht="14.25" hidden="1" customHeight="1" x14ac:dyDescent="0.35">
      <c r="A396" s="30">
        <f t="shared" si="72"/>
        <v>99</v>
      </c>
      <c r="B396">
        <v>1769</v>
      </c>
      <c r="C396">
        <v>5</v>
      </c>
      <c r="D396">
        <v>1</v>
      </c>
      <c r="E396">
        <v>5</v>
      </c>
      <c r="F396">
        <v>1</v>
      </c>
      <c r="G396">
        <v>1</v>
      </c>
      <c r="H396">
        <v>5</v>
      </c>
      <c r="I396">
        <v>5</v>
      </c>
      <c r="J396">
        <v>1</v>
      </c>
      <c r="L396">
        <v>1</v>
      </c>
      <c r="M396">
        <v>4</v>
      </c>
      <c r="N396">
        <v>0</v>
      </c>
      <c r="O396">
        <v>6</v>
      </c>
      <c r="P396">
        <v>1</v>
      </c>
      <c r="Q396">
        <v>1</v>
      </c>
      <c r="R396">
        <v>2</v>
      </c>
      <c r="S396">
        <v>1</v>
      </c>
      <c r="T396" s="3">
        <f t="shared" si="73"/>
        <v>0.88999895457577671</v>
      </c>
      <c r="U396" s="32">
        <f t="shared" si="74"/>
        <v>0.84420266961423651</v>
      </c>
      <c r="V396" s="32">
        <f t="shared" si="75"/>
        <v>1.0418053570413823</v>
      </c>
      <c r="W396" s="32">
        <f t="shared" si="76"/>
        <v>0.80698132232978881</v>
      </c>
      <c r="X396" s="32">
        <f t="shared" si="77"/>
        <v>1.0506390162289212</v>
      </c>
      <c r="Y396" s="32">
        <f t="shared" si="78"/>
        <v>0.86866731645372852</v>
      </c>
      <c r="Z396" s="32">
        <f t="shared" si="79"/>
        <v>0.81206041627470116</v>
      </c>
      <c r="AA396" s="32">
        <f t="shared" si="80"/>
        <v>0.80563658408767735</v>
      </c>
      <c r="AF396" s="40"/>
    </row>
    <row r="397" spans="1:32" customFormat="1" ht="14.25" hidden="1" customHeight="1" x14ac:dyDescent="0.35">
      <c r="A397" s="30">
        <f t="shared" si="72"/>
        <v>99</v>
      </c>
      <c r="B397">
        <v>1794</v>
      </c>
      <c r="C397">
        <v>4</v>
      </c>
      <c r="D397">
        <v>4</v>
      </c>
      <c r="E397">
        <v>4</v>
      </c>
      <c r="F397">
        <v>3</v>
      </c>
      <c r="G397">
        <v>3</v>
      </c>
      <c r="H397">
        <v>4</v>
      </c>
      <c r="I397">
        <v>4</v>
      </c>
      <c r="J397">
        <v>2</v>
      </c>
      <c r="K397">
        <v>2</v>
      </c>
      <c r="O397">
        <v>6</v>
      </c>
      <c r="P397">
        <v>3</v>
      </c>
      <c r="Q397">
        <v>2</v>
      </c>
      <c r="R397">
        <v>4</v>
      </c>
      <c r="S397">
        <v>2</v>
      </c>
      <c r="T397" s="3">
        <f t="shared" si="73"/>
        <v>-0.44419554130327316</v>
      </c>
      <c r="U397" s="32">
        <f t="shared" si="74"/>
        <v>-5.6401471461296142E-2</v>
      </c>
      <c r="V397" s="32">
        <f t="shared" si="75"/>
        <v>-1.2927857385104427</v>
      </c>
      <c r="W397" s="32">
        <f t="shared" si="76"/>
        <v>-9.6984149849158471E-2</v>
      </c>
      <c r="X397" s="32">
        <f t="shared" si="77"/>
        <v>-0.61891576076406762</v>
      </c>
      <c r="Y397" s="32">
        <f t="shared" si="78"/>
        <v>-0.82040802109518818</v>
      </c>
      <c r="Z397" s="32">
        <f t="shared" si="79"/>
        <v>-0.12522426979936985</v>
      </c>
      <c r="AA397" s="32">
        <f t="shared" si="80"/>
        <v>-9.8649377643389324E-2</v>
      </c>
      <c r="AF397" s="40"/>
    </row>
    <row r="398" spans="1:32" customFormat="1" ht="14.25" hidden="1" customHeight="1" x14ac:dyDescent="0.35">
      <c r="A398" s="30">
        <f t="shared" si="72"/>
        <v>99</v>
      </c>
      <c r="B398">
        <v>1801</v>
      </c>
      <c r="C398">
        <v>5</v>
      </c>
      <c r="D398">
        <v>1</v>
      </c>
      <c r="E398">
        <v>5</v>
      </c>
      <c r="F398">
        <v>1</v>
      </c>
      <c r="G398">
        <v>1</v>
      </c>
      <c r="H398">
        <v>5</v>
      </c>
      <c r="I398">
        <v>4</v>
      </c>
      <c r="J398">
        <v>1</v>
      </c>
      <c r="L398">
        <v>2</v>
      </c>
      <c r="O398">
        <v>6</v>
      </c>
      <c r="P398">
        <v>4</v>
      </c>
      <c r="Q398">
        <v>1</v>
      </c>
      <c r="R398">
        <v>3</v>
      </c>
      <c r="S398">
        <v>2</v>
      </c>
      <c r="T398" s="3">
        <f t="shared" si="73"/>
        <v>0.76081524575705284</v>
      </c>
      <c r="U398" s="32">
        <f t="shared" si="74"/>
        <v>0.84420266961423651</v>
      </c>
      <c r="V398" s="32">
        <f t="shared" si="75"/>
        <v>1.0418053570413823</v>
      </c>
      <c r="W398" s="32">
        <f t="shared" si="76"/>
        <v>0.80698132232978881</v>
      </c>
      <c r="X398" s="32">
        <f t="shared" si="77"/>
        <v>1.0506390162289212</v>
      </c>
      <c r="Y398" s="32">
        <f t="shared" si="78"/>
        <v>0.86866731645372852</v>
      </c>
      <c r="Z398" s="32">
        <f t="shared" si="79"/>
        <v>0.81206041627470116</v>
      </c>
      <c r="AA398" s="32">
        <f t="shared" si="80"/>
        <v>-9.8649377643389324E-2</v>
      </c>
      <c r="AF398" s="40"/>
    </row>
    <row r="399" spans="1:32" customFormat="1" ht="14.25" hidden="1" customHeight="1" x14ac:dyDescent="0.35">
      <c r="A399" s="30">
        <f t="shared" si="72"/>
        <v>99</v>
      </c>
      <c r="B399">
        <v>1804</v>
      </c>
      <c r="C399">
        <v>5</v>
      </c>
      <c r="D399">
        <v>1</v>
      </c>
      <c r="E399">
        <v>3</v>
      </c>
      <c r="F399">
        <v>1</v>
      </c>
      <c r="G399">
        <v>1</v>
      </c>
      <c r="H399">
        <v>5</v>
      </c>
      <c r="I399">
        <v>5</v>
      </c>
      <c r="J399">
        <v>2</v>
      </c>
      <c r="L399">
        <v>2</v>
      </c>
      <c r="M399">
        <v>1</v>
      </c>
      <c r="N399">
        <v>0</v>
      </c>
      <c r="O399">
        <v>6</v>
      </c>
      <c r="P399">
        <v>4</v>
      </c>
      <c r="Q399">
        <v>2</v>
      </c>
      <c r="R399">
        <v>4</v>
      </c>
      <c r="S399">
        <v>2</v>
      </c>
      <c r="T399" s="3">
        <f t="shared" si="73"/>
        <v>0.63172310538179155</v>
      </c>
      <c r="U399" s="32">
        <f t="shared" si="74"/>
        <v>0.84420266961423651</v>
      </c>
      <c r="V399" s="32">
        <f t="shared" si="75"/>
        <v>1.0418053570413823</v>
      </c>
      <c r="W399" s="32">
        <f t="shared" si="76"/>
        <v>-1.0009496220281058</v>
      </c>
      <c r="X399" s="32">
        <f t="shared" si="77"/>
        <v>1.0506390162289212</v>
      </c>
      <c r="Y399" s="32">
        <f t="shared" si="78"/>
        <v>0.86866731645372852</v>
      </c>
      <c r="Z399" s="32">
        <f t="shared" si="79"/>
        <v>0.81206041627470116</v>
      </c>
      <c r="AA399" s="32">
        <f t="shared" si="80"/>
        <v>0.80563658408767735</v>
      </c>
      <c r="AF399" s="40"/>
    </row>
    <row r="400" spans="1:32" customFormat="1" ht="14.25" hidden="1" customHeight="1" x14ac:dyDescent="0.35">
      <c r="A400" s="30">
        <f t="shared" si="72"/>
        <v>99</v>
      </c>
      <c r="B400">
        <v>1819</v>
      </c>
      <c r="C400">
        <v>5</v>
      </c>
      <c r="D400">
        <v>1</v>
      </c>
      <c r="E400">
        <v>5</v>
      </c>
      <c r="F400">
        <v>1</v>
      </c>
      <c r="G400">
        <v>1</v>
      </c>
      <c r="H400">
        <v>5</v>
      </c>
      <c r="I400">
        <v>5</v>
      </c>
      <c r="J400">
        <v>1</v>
      </c>
      <c r="K400">
        <v>1</v>
      </c>
      <c r="L400">
        <v>2</v>
      </c>
      <c r="O400">
        <v>5</v>
      </c>
      <c r="P400">
        <v>6</v>
      </c>
      <c r="Q400">
        <v>3</v>
      </c>
      <c r="R400">
        <v>2</v>
      </c>
      <c r="S400">
        <v>2</v>
      </c>
      <c r="T400" s="3">
        <f t="shared" si="73"/>
        <v>0.88999895457577671</v>
      </c>
      <c r="U400" s="32">
        <f t="shared" si="74"/>
        <v>0.84420266961423651</v>
      </c>
      <c r="V400" s="32">
        <f t="shared" si="75"/>
        <v>1.0418053570413823</v>
      </c>
      <c r="W400" s="32">
        <f t="shared" si="76"/>
        <v>0.80698132232978881</v>
      </c>
      <c r="X400" s="32">
        <f t="shared" si="77"/>
        <v>1.0506390162289212</v>
      </c>
      <c r="Y400" s="32">
        <f t="shared" si="78"/>
        <v>0.86866731645372852</v>
      </c>
      <c r="Z400" s="32">
        <f t="shared" si="79"/>
        <v>0.81206041627470116</v>
      </c>
      <c r="AA400" s="32">
        <f t="shared" si="80"/>
        <v>0.80563658408767735</v>
      </c>
      <c r="AF400" s="40"/>
    </row>
    <row r="401" spans="1:32" customFormat="1" ht="14.25" hidden="1" customHeight="1" x14ac:dyDescent="0.35">
      <c r="A401" s="30">
        <f t="shared" si="72"/>
        <v>99</v>
      </c>
      <c r="B401">
        <v>1833</v>
      </c>
      <c r="C401">
        <v>3</v>
      </c>
      <c r="D401">
        <v>2</v>
      </c>
      <c r="E401">
        <v>4</v>
      </c>
      <c r="F401">
        <v>3</v>
      </c>
      <c r="G401">
        <v>3</v>
      </c>
      <c r="H401">
        <v>4</v>
      </c>
      <c r="I401">
        <v>4</v>
      </c>
      <c r="J401">
        <v>2</v>
      </c>
      <c r="L401">
        <v>3</v>
      </c>
      <c r="M401">
        <v>1</v>
      </c>
      <c r="N401">
        <v>7</v>
      </c>
      <c r="O401">
        <v>6</v>
      </c>
      <c r="P401">
        <v>6</v>
      </c>
      <c r="Q401">
        <v>2</v>
      </c>
      <c r="R401">
        <v>2</v>
      </c>
      <c r="S401">
        <v>2</v>
      </c>
      <c r="T401" s="3">
        <f t="shared" si="73"/>
        <v>-0.35051126664246118</v>
      </c>
      <c r="U401" s="32">
        <f t="shared" si="74"/>
        <v>-0.95700561253682881</v>
      </c>
      <c r="V401" s="32">
        <f t="shared" si="75"/>
        <v>0.26360832519077404</v>
      </c>
      <c r="W401" s="32">
        <f t="shared" si="76"/>
        <v>-9.6984149849158471E-2</v>
      </c>
      <c r="X401" s="32">
        <f t="shared" si="77"/>
        <v>-0.61891576076406762</v>
      </c>
      <c r="Y401" s="32">
        <f t="shared" si="78"/>
        <v>-0.82040802109518818</v>
      </c>
      <c r="Z401" s="32">
        <f t="shared" si="79"/>
        <v>-0.12522426979936985</v>
      </c>
      <c r="AA401" s="32">
        <f t="shared" si="80"/>
        <v>-9.8649377643389324E-2</v>
      </c>
      <c r="AF401" s="40"/>
    </row>
    <row r="402" spans="1:32" customFormat="1" ht="14.25" hidden="1" customHeight="1" x14ac:dyDescent="0.35">
      <c r="A402" s="30">
        <f t="shared" ref="A402:A465" si="81">IF(COUNTBLANK(J402:T402)&gt;0,99,1)</f>
        <v>99</v>
      </c>
      <c r="B402">
        <v>1847</v>
      </c>
      <c r="C402">
        <v>5</v>
      </c>
      <c r="D402">
        <v>1</v>
      </c>
      <c r="E402">
        <v>5</v>
      </c>
      <c r="F402">
        <v>1</v>
      </c>
      <c r="H402">
        <v>5</v>
      </c>
      <c r="I402">
        <v>5</v>
      </c>
      <c r="J402">
        <v>2</v>
      </c>
      <c r="O402">
        <v>4</v>
      </c>
      <c r="P402">
        <v>4</v>
      </c>
      <c r="Q402">
        <v>1</v>
      </c>
      <c r="R402">
        <v>1</v>
      </c>
      <c r="S402">
        <v>1</v>
      </c>
      <c r="T402" s="3">
        <f t="shared" ref="T402:T465" si="82">AVERAGE(U402:AA402)</f>
        <v>1.0106471929721277</v>
      </c>
      <c r="U402" s="32">
        <f t="shared" ref="U402:U465" si="83">IF(ISTEXT(C402),"",STANDARDIZE(C402,AVERAGE(C$2:C$497),STDEV(C$2:C$497)))</f>
        <v>0.84420266961423651</v>
      </c>
      <c r="V402" s="32">
        <f t="shared" ref="V402:V465" si="84">IF(ISTEXT(D402),"",-1*STANDARDIZE(D402,AVERAGE(D$2:D$497),STDEV(D$2:D$497)))</f>
        <v>1.0418053570413823</v>
      </c>
      <c r="W402" s="32">
        <f t="shared" ref="W402:W465" si="85">IF(ISTEXT(E402),"",STANDARDIZE(E402,AVERAGE(E$2:E$497),STDEV(E$2:E$497)))</f>
        <v>0.80698132232978881</v>
      </c>
      <c r="X402" s="32">
        <f t="shared" ref="X402:X465" si="86">IF(ISTEXT(F402),"",-1*STANDARDIZE(F402,AVERAGE(F$2:F$497),STDEV(F$2:F$497)))</f>
        <v>1.0506390162289212</v>
      </c>
      <c r="Y402" s="32">
        <f t="shared" ref="Y402:Y465" si="87">IF(ISTEXT(G402),"",-1*STANDARDIZE(G402,AVERAGE(G$2:G$497),STDEV(G$2:G$497)))</f>
        <v>1.7132049852281868</v>
      </c>
      <c r="Z402" s="32">
        <f t="shared" ref="Z402:Z465" si="88">IF(ISTEXT(H402),"",STANDARDIZE(H402,AVERAGE(H$2:H$497),STDEV(H$2:H$497)))</f>
        <v>0.81206041627470116</v>
      </c>
      <c r="AA402" s="32">
        <f t="shared" ref="AA402:AA465" si="89">IF(ISTEXT(I402),"",STANDARDIZE(I402,AVERAGE(I$2:I$497),STDEV(I$2:I$497)))</f>
        <v>0.80563658408767735</v>
      </c>
      <c r="AF402" s="40"/>
    </row>
    <row r="403" spans="1:32" customFormat="1" ht="14.25" hidden="1" customHeight="1" x14ac:dyDescent="0.35">
      <c r="A403" s="30">
        <f t="shared" si="81"/>
        <v>99</v>
      </c>
      <c r="B403">
        <v>1851</v>
      </c>
      <c r="C403">
        <v>3</v>
      </c>
      <c r="D403">
        <v>2</v>
      </c>
      <c r="E403">
        <v>4</v>
      </c>
      <c r="F403">
        <v>2</v>
      </c>
      <c r="G403">
        <v>2</v>
      </c>
      <c r="H403">
        <v>4</v>
      </c>
      <c r="I403">
        <v>3</v>
      </c>
      <c r="J403">
        <v>3</v>
      </c>
      <c r="L403">
        <v>1</v>
      </c>
      <c r="M403">
        <v>4</v>
      </c>
      <c r="N403">
        <v>5</v>
      </c>
      <c r="O403">
        <v>6</v>
      </c>
      <c r="P403">
        <v>6</v>
      </c>
      <c r="Q403">
        <v>2</v>
      </c>
      <c r="R403">
        <v>4</v>
      </c>
      <c r="S403">
        <v>2</v>
      </c>
      <c r="T403" s="3">
        <f t="shared" si="82"/>
        <v>-0.23979282442247746</v>
      </c>
      <c r="U403" s="32">
        <f t="shared" si="83"/>
        <v>-0.95700561253682881</v>
      </c>
      <c r="V403" s="32">
        <f t="shared" si="84"/>
        <v>0.26360832519077404</v>
      </c>
      <c r="W403" s="32">
        <f t="shared" si="85"/>
        <v>-9.6984149849158471E-2</v>
      </c>
      <c r="X403" s="32">
        <f t="shared" si="86"/>
        <v>0.21586162773242673</v>
      </c>
      <c r="Y403" s="32">
        <f t="shared" si="87"/>
        <v>2.4129647679270151E-2</v>
      </c>
      <c r="Z403" s="32">
        <f t="shared" si="88"/>
        <v>-0.12522426979936985</v>
      </c>
      <c r="AA403" s="32">
        <f t="shared" si="89"/>
        <v>-1.002935339374456</v>
      </c>
      <c r="AF403" s="40"/>
    </row>
    <row r="404" spans="1:32" customFormat="1" ht="14.25" hidden="1" customHeight="1" x14ac:dyDescent="0.35">
      <c r="A404" s="30">
        <f t="shared" si="81"/>
        <v>99</v>
      </c>
      <c r="B404">
        <v>1854</v>
      </c>
      <c r="C404">
        <v>3</v>
      </c>
      <c r="D404">
        <v>3</v>
      </c>
      <c r="E404">
        <v>4</v>
      </c>
      <c r="F404">
        <v>3</v>
      </c>
      <c r="G404">
        <v>4</v>
      </c>
      <c r="H404">
        <v>4</v>
      </c>
      <c r="I404">
        <v>3</v>
      </c>
      <c r="J404">
        <v>2</v>
      </c>
      <c r="K404">
        <v>2</v>
      </c>
      <c r="O404">
        <v>6</v>
      </c>
      <c r="P404">
        <v>4</v>
      </c>
      <c r="Q404">
        <v>2</v>
      </c>
      <c r="R404">
        <v>2</v>
      </c>
      <c r="S404">
        <v>2</v>
      </c>
      <c r="T404" s="3">
        <f t="shared" si="82"/>
        <v>-0.71151421840762297</v>
      </c>
      <c r="U404" s="32">
        <f t="shared" si="83"/>
        <v>-0.95700561253682881</v>
      </c>
      <c r="V404" s="32">
        <f t="shared" si="84"/>
        <v>-0.51458870665983425</v>
      </c>
      <c r="W404" s="32">
        <f t="shared" si="85"/>
        <v>-9.6984149849158471E-2</v>
      </c>
      <c r="X404" s="32">
        <f t="shared" si="86"/>
        <v>-0.61891576076406762</v>
      </c>
      <c r="Y404" s="32">
        <f t="shared" si="87"/>
        <v>-1.6649456898696466</v>
      </c>
      <c r="Z404" s="32">
        <f t="shared" si="88"/>
        <v>-0.12522426979936985</v>
      </c>
      <c r="AA404" s="32">
        <f t="shared" si="89"/>
        <v>-1.002935339374456</v>
      </c>
      <c r="AF404" s="40"/>
    </row>
    <row r="405" spans="1:32" customFormat="1" ht="14.25" hidden="1" customHeight="1" x14ac:dyDescent="0.35">
      <c r="A405" s="30">
        <f t="shared" si="81"/>
        <v>99</v>
      </c>
      <c r="B405">
        <v>1860</v>
      </c>
      <c r="C405">
        <v>5</v>
      </c>
      <c r="D405">
        <v>1</v>
      </c>
      <c r="E405">
        <v>5</v>
      </c>
      <c r="F405">
        <v>1</v>
      </c>
      <c r="G405">
        <v>1</v>
      </c>
      <c r="H405">
        <v>5</v>
      </c>
      <c r="I405">
        <v>5</v>
      </c>
      <c r="J405">
        <v>3</v>
      </c>
      <c r="L405">
        <v>1</v>
      </c>
      <c r="M405">
        <v>1</v>
      </c>
      <c r="N405">
        <v>15</v>
      </c>
      <c r="O405">
        <v>6</v>
      </c>
      <c r="P405">
        <v>3</v>
      </c>
      <c r="Q405">
        <v>1</v>
      </c>
      <c r="R405">
        <v>4</v>
      </c>
      <c r="S405">
        <v>2</v>
      </c>
      <c r="T405" s="3">
        <f t="shared" si="82"/>
        <v>0.88999895457577671</v>
      </c>
      <c r="U405" s="32">
        <f t="shared" si="83"/>
        <v>0.84420266961423651</v>
      </c>
      <c r="V405" s="32">
        <f t="shared" si="84"/>
        <v>1.0418053570413823</v>
      </c>
      <c r="W405" s="32">
        <f t="shared" si="85"/>
        <v>0.80698132232978881</v>
      </c>
      <c r="X405" s="32">
        <f t="shared" si="86"/>
        <v>1.0506390162289212</v>
      </c>
      <c r="Y405" s="32">
        <f t="shared" si="87"/>
        <v>0.86866731645372852</v>
      </c>
      <c r="Z405" s="32">
        <f t="shared" si="88"/>
        <v>0.81206041627470116</v>
      </c>
      <c r="AA405" s="32">
        <f t="shared" si="89"/>
        <v>0.80563658408767735</v>
      </c>
      <c r="AF405" s="40"/>
    </row>
    <row r="406" spans="1:32" customFormat="1" ht="14.25" hidden="1" customHeight="1" x14ac:dyDescent="0.35">
      <c r="A406" s="30">
        <f t="shared" si="81"/>
        <v>99</v>
      </c>
      <c r="B406">
        <v>1868</v>
      </c>
      <c r="C406">
        <v>3</v>
      </c>
      <c r="D406">
        <v>3</v>
      </c>
      <c r="E406">
        <v>3</v>
      </c>
      <c r="F406">
        <v>4</v>
      </c>
      <c r="G406">
        <v>2</v>
      </c>
      <c r="H406">
        <v>3</v>
      </c>
      <c r="I406">
        <v>1</v>
      </c>
      <c r="J406">
        <v>1</v>
      </c>
      <c r="K406">
        <v>1</v>
      </c>
      <c r="O406">
        <v>6</v>
      </c>
      <c r="P406">
        <v>6</v>
      </c>
      <c r="Q406">
        <v>2</v>
      </c>
      <c r="R406">
        <v>4</v>
      </c>
      <c r="S406">
        <v>4</v>
      </c>
      <c r="T406" s="3">
        <f t="shared" si="82"/>
        <v>-1.1108748087880129</v>
      </c>
      <c r="U406" s="32">
        <f t="shared" si="83"/>
        <v>-0.95700561253682881</v>
      </c>
      <c r="V406" s="32">
        <f t="shared" si="84"/>
        <v>-0.51458870665983425</v>
      </c>
      <c r="W406" s="32">
        <f t="shared" si="85"/>
        <v>-1.0009496220281058</v>
      </c>
      <c r="X406" s="32">
        <f t="shared" si="86"/>
        <v>-1.453693149260562</v>
      </c>
      <c r="Y406" s="32">
        <f t="shared" si="87"/>
        <v>2.4129647679270151E-2</v>
      </c>
      <c r="Z406" s="32">
        <f t="shared" si="88"/>
        <v>-1.0625089558734409</v>
      </c>
      <c r="AA406" s="32">
        <f t="shared" si="89"/>
        <v>-2.8115072628365891</v>
      </c>
      <c r="AF406" s="40"/>
    </row>
    <row r="407" spans="1:32" customFormat="1" ht="14.25" hidden="1" customHeight="1" x14ac:dyDescent="0.35">
      <c r="A407" s="30">
        <f t="shared" si="81"/>
        <v>99</v>
      </c>
      <c r="B407">
        <v>1871</v>
      </c>
      <c r="C407">
        <v>5</v>
      </c>
      <c r="D407">
        <v>1</v>
      </c>
      <c r="E407">
        <v>5</v>
      </c>
      <c r="F407">
        <v>1</v>
      </c>
      <c r="G407">
        <v>1</v>
      </c>
      <c r="H407">
        <v>5</v>
      </c>
      <c r="I407">
        <v>5</v>
      </c>
      <c r="J407">
        <v>1</v>
      </c>
      <c r="L407">
        <v>1</v>
      </c>
      <c r="M407">
        <v>1</v>
      </c>
      <c r="N407">
        <v>2</v>
      </c>
      <c r="O407">
        <v>6</v>
      </c>
      <c r="P407">
        <v>6</v>
      </c>
      <c r="Q407">
        <v>2</v>
      </c>
      <c r="R407">
        <v>3</v>
      </c>
      <c r="S407">
        <v>2</v>
      </c>
      <c r="T407" s="3">
        <f t="shared" si="82"/>
        <v>0.88999895457577671</v>
      </c>
      <c r="U407" s="32">
        <f t="shared" si="83"/>
        <v>0.84420266961423651</v>
      </c>
      <c r="V407" s="32">
        <f t="shared" si="84"/>
        <v>1.0418053570413823</v>
      </c>
      <c r="W407" s="32">
        <f t="shared" si="85"/>
        <v>0.80698132232978881</v>
      </c>
      <c r="X407" s="32">
        <f t="shared" si="86"/>
        <v>1.0506390162289212</v>
      </c>
      <c r="Y407" s="32">
        <f t="shared" si="87"/>
        <v>0.86866731645372852</v>
      </c>
      <c r="Z407" s="32">
        <f t="shared" si="88"/>
        <v>0.81206041627470116</v>
      </c>
      <c r="AA407" s="32">
        <f t="shared" si="89"/>
        <v>0.80563658408767735</v>
      </c>
      <c r="AF407" s="40"/>
    </row>
    <row r="408" spans="1:32" customFormat="1" ht="14.25" hidden="1" customHeight="1" x14ac:dyDescent="0.35">
      <c r="A408" s="30">
        <f t="shared" si="81"/>
        <v>99</v>
      </c>
      <c r="B408">
        <v>1883</v>
      </c>
      <c r="C408">
        <v>5</v>
      </c>
      <c r="D408">
        <v>1</v>
      </c>
      <c r="E408">
        <v>5</v>
      </c>
      <c r="F408">
        <v>1</v>
      </c>
      <c r="G408">
        <v>1</v>
      </c>
      <c r="H408">
        <v>5</v>
      </c>
      <c r="I408">
        <v>5</v>
      </c>
      <c r="J408">
        <v>1</v>
      </c>
      <c r="L408">
        <v>1</v>
      </c>
      <c r="M408">
        <v>1</v>
      </c>
      <c r="N408">
        <v>5</v>
      </c>
      <c r="O408">
        <v>6</v>
      </c>
      <c r="P408">
        <v>3</v>
      </c>
      <c r="Q408">
        <v>1</v>
      </c>
      <c r="R408">
        <v>2</v>
      </c>
      <c r="S408">
        <v>1</v>
      </c>
      <c r="T408" s="3">
        <f t="shared" si="82"/>
        <v>0.88999895457577671</v>
      </c>
      <c r="U408" s="32">
        <f t="shared" si="83"/>
        <v>0.84420266961423651</v>
      </c>
      <c r="V408" s="32">
        <f t="shared" si="84"/>
        <v>1.0418053570413823</v>
      </c>
      <c r="W408" s="32">
        <f t="shared" si="85"/>
        <v>0.80698132232978881</v>
      </c>
      <c r="X408" s="32">
        <f t="shared" si="86"/>
        <v>1.0506390162289212</v>
      </c>
      <c r="Y408" s="32">
        <f t="shared" si="87"/>
        <v>0.86866731645372852</v>
      </c>
      <c r="Z408" s="32">
        <f t="shared" si="88"/>
        <v>0.81206041627470116</v>
      </c>
      <c r="AA408" s="32">
        <f t="shared" si="89"/>
        <v>0.80563658408767735</v>
      </c>
      <c r="AF408" s="40"/>
    </row>
    <row r="409" spans="1:32" customFormat="1" ht="14.25" hidden="1" customHeight="1" x14ac:dyDescent="0.35">
      <c r="A409" s="30">
        <f t="shared" si="81"/>
        <v>99</v>
      </c>
      <c r="B409">
        <v>1884</v>
      </c>
      <c r="C409">
        <v>5</v>
      </c>
      <c r="D409">
        <v>1</v>
      </c>
      <c r="E409">
        <v>5</v>
      </c>
      <c r="F409">
        <v>3</v>
      </c>
      <c r="G409">
        <v>1</v>
      </c>
      <c r="H409">
        <v>5</v>
      </c>
      <c r="I409">
        <v>5</v>
      </c>
      <c r="J409">
        <v>1</v>
      </c>
      <c r="O409">
        <v>6</v>
      </c>
      <c r="P409">
        <v>5</v>
      </c>
      <c r="Q409">
        <v>2</v>
      </c>
      <c r="R409">
        <v>4</v>
      </c>
      <c r="S409">
        <v>2</v>
      </c>
      <c r="T409" s="3">
        <f t="shared" si="82"/>
        <v>0.6514911292910639</v>
      </c>
      <c r="U409" s="32">
        <f t="shared" si="83"/>
        <v>0.84420266961423651</v>
      </c>
      <c r="V409" s="32">
        <f t="shared" si="84"/>
        <v>1.0418053570413823</v>
      </c>
      <c r="W409" s="32">
        <f t="shared" si="85"/>
        <v>0.80698132232978881</v>
      </c>
      <c r="X409" s="32">
        <f t="shared" si="86"/>
        <v>-0.61891576076406762</v>
      </c>
      <c r="Y409" s="32">
        <f t="shared" si="87"/>
        <v>0.86866731645372852</v>
      </c>
      <c r="Z409" s="32">
        <f t="shared" si="88"/>
        <v>0.81206041627470116</v>
      </c>
      <c r="AA409" s="32">
        <f t="shared" si="89"/>
        <v>0.80563658408767735</v>
      </c>
      <c r="AF409" s="40"/>
    </row>
    <row r="410" spans="1:32" customFormat="1" ht="14.25" hidden="1" customHeight="1" x14ac:dyDescent="0.35">
      <c r="A410" s="30">
        <f t="shared" si="81"/>
        <v>99</v>
      </c>
      <c r="B410">
        <v>1918</v>
      </c>
      <c r="C410">
        <v>4</v>
      </c>
      <c r="D410">
        <v>2</v>
      </c>
      <c r="E410">
        <v>4</v>
      </c>
      <c r="F410">
        <v>2</v>
      </c>
      <c r="G410">
        <v>2</v>
      </c>
      <c r="H410">
        <v>4</v>
      </c>
      <c r="I410">
        <v>4</v>
      </c>
      <c r="J410">
        <v>1</v>
      </c>
      <c r="L410">
        <v>1</v>
      </c>
      <c r="M410">
        <v>2</v>
      </c>
      <c r="N410">
        <v>30</v>
      </c>
      <c r="O410">
        <v>6</v>
      </c>
      <c r="P410">
        <v>6</v>
      </c>
      <c r="Q410">
        <v>1</v>
      </c>
      <c r="R410">
        <v>1</v>
      </c>
      <c r="S410">
        <v>2</v>
      </c>
      <c r="T410" s="3">
        <f t="shared" si="82"/>
        <v>1.8048618835608161E-2</v>
      </c>
      <c r="U410" s="32">
        <f t="shared" si="83"/>
        <v>-5.6401471461296142E-2</v>
      </c>
      <c r="V410" s="32">
        <f t="shared" si="84"/>
        <v>0.26360832519077404</v>
      </c>
      <c r="W410" s="32">
        <f t="shared" si="85"/>
        <v>-9.6984149849158471E-2</v>
      </c>
      <c r="X410" s="32">
        <f t="shared" si="86"/>
        <v>0.21586162773242673</v>
      </c>
      <c r="Y410" s="32">
        <f t="shared" si="87"/>
        <v>2.4129647679270151E-2</v>
      </c>
      <c r="Z410" s="32">
        <f t="shared" si="88"/>
        <v>-0.12522426979936985</v>
      </c>
      <c r="AA410" s="32">
        <f t="shared" si="89"/>
        <v>-9.8649377643389324E-2</v>
      </c>
      <c r="AF410" s="40"/>
    </row>
    <row r="411" spans="1:32" customFormat="1" ht="14.25" hidden="1" customHeight="1" x14ac:dyDescent="0.35">
      <c r="A411" s="30">
        <f t="shared" si="81"/>
        <v>99</v>
      </c>
      <c r="B411">
        <v>1926</v>
      </c>
      <c r="C411">
        <v>5</v>
      </c>
      <c r="D411">
        <v>1</v>
      </c>
      <c r="E411">
        <v>5</v>
      </c>
      <c r="F411">
        <v>1</v>
      </c>
      <c r="G411">
        <v>1</v>
      </c>
      <c r="H411">
        <v>5</v>
      </c>
      <c r="I411">
        <v>5</v>
      </c>
      <c r="J411">
        <v>1</v>
      </c>
      <c r="L411">
        <v>1</v>
      </c>
      <c r="M411">
        <v>2</v>
      </c>
      <c r="N411">
        <v>0</v>
      </c>
      <c r="O411">
        <v>6</v>
      </c>
      <c r="P411">
        <v>6</v>
      </c>
      <c r="Q411">
        <v>1</v>
      </c>
      <c r="R411">
        <v>2</v>
      </c>
      <c r="S411">
        <v>1</v>
      </c>
      <c r="T411" s="3">
        <f t="shared" si="82"/>
        <v>0.88999895457577671</v>
      </c>
      <c r="U411" s="32">
        <f t="shared" si="83"/>
        <v>0.84420266961423651</v>
      </c>
      <c r="V411" s="32">
        <f t="shared" si="84"/>
        <v>1.0418053570413823</v>
      </c>
      <c r="W411" s="32">
        <f t="shared" si="85"/>
        <v>0.80698132232978881</v>
      </c>
      <c r="X411" s="32">
        <f t="shared" si="86"/>
        <v>1.0506390162289212</v>
      </c>
      <c r="Y411" s="32">
        <f t="shared" si="87"/>
        <v>0.86866731645372852</v>
      </c>
      <c r="Z411" s="32">
        <f t="shared" si="88"/>
        <v>0.81206041627470116</v>
      </c>
      <c r="AA411" s="32">
        <f t="shared" si="89"/>
        <v>0.80563658408767735</v>
      </c>
      <c r="AF411" s="40"/>
    </row>
    <row r="412" spans="1:32" customFormat="1" ht="14.25" hidden="1" customHeight="1" x14ac:dyDescent="0.35">
      <c r="A412" s="30">
        <f t="shared" si="81"/>
        <v>99</v>
      </c>
      <c r="B412">
        <v>1928</v>
      </c>
      <c r="C412">
        <v>5</v>
      </c>
      <c r="D412">
        <v>5</v>
      </c>
      <c r="E412">
        <v>5</v>
      </c>
      <c r="F412">
        <v>5</v>
      </c>
      <c r="G412">
        <v>5</v>
      </c>
      <c r="H412">
        <v>5</v>
      </c>
      <c r="I412">
        <v>5</v>
      </c>
      <c r="J412">
        <v>2</v>
      </c>
      <c r="K412">
        <v>2</v>
      </c>
      <c r="O412">
        <v>6</v>
      </c>
      <c r="P412">
        <v>6</v>
      </c>
      <c r="Q412">
        <v>1</v>
      </c>
      <c r="R412">
        <v>2</v>
      </c>
      <c r="S412">
        <v>1</v>
      </c>
      <c r="T412" s="3">
        <f t="shared" si="82"/>
        <v>-0.51429366777940111</v>
      </c>
      <c r="U412" s="32">
        <f t="shared" si="83"/>
        <v>0.84420266961423651</v>
      </c>
      <c r="V412" s="32">
        <f t="shared" si="84"/>
        <v>-2.0709827703610508</v>
      </c>
      <c r="W412" s="32">
        <f t="shared" si="85"/>
        <v>0.80698132232978881</v>
      </c>
      <c r="X412" s="32">
        <f t="shared" si="86"/>
        <v>-2.2884705377570564</v>
      </c>
      <c r="Y412" s="32">
        <f t="shared" si="87"/>
        <v>-2.509483358644105</v>
      </c>
      <c r="Z412" s="32">
        <f t="shared" si="88"/>
        <v>0.81206041627470116</v>
      </c>
      <c r="AA412" s="32">
        <f t="shared" si="89"/>
        <v>0.80563658408767735</v>
      </c>
      <c r="AF412" s="40"/>
    </row>
    <row r="413" spans="1:32" customFormat="1" ht="14.25" hidden="1" customHeight="1" x14ac:dyDescent="0.35">
      <c r="A413" s="30">
        <f t="shared" si="81"/>
        <v>99</v>
      </c>
      <c r="B413">
        <v>1934</v>
      </c>
      <c r="C413">
        <v>3</v>
      </c>
      <c r="D413">
        <v>3</v>
      </c>
      <c r="E413">
        <v>2</v>
      </c>
      <c r="F413">
        <v>3</v>
      </c>
      <c r="G413">
        <v>1</v>
      </c>
      <c r="H413">
        <v>5</v>
      </c>
      <c r="I413">
        <v>1</v>
      </c>
      <c r="J413">
        <v>1</v>
      </c>
      <c r="O413">
        <v>6</v>
      </c>
      <c r="P413">
        <v>6</v>
      </c>
      <c r="Q413">
        <v>3</v>
      </c>
      <c r="R413">
        <v>3</v>
      </c>
      <c r="S413">
        <v>3</v>
      </c>
      <c r="T413" s="3">
        <f t="shared" si="82"/>
        <v>-0.73231495775370625</v>
      </c>
      <c r="U413" s="32">
        <f t="shared" si="83"/>
        <v>-0.95700561253682881</v>
      </c>
      <c r="V413" s="32">
        <f t="shared" si="84"/>
        <v>-0.51458870665983425</v>
      </c>
      <c r="W413" s="32">
        <f t="shared" si="85"/>
        <v>-1.904915094207053</v>
      </c>
      <c r="X413" s="32">
        <f t="shared" si="86"/>
        <v>-0.61891576076406762</v>
      </c>
      <c r="Y413" s="32">
        <f t="shared" si="87"/>
        <v>0.86866731645372852</v>
      </c>
      <c r="Z413" s="32">
        <f t="shared" si="88"/>
        <v>0.81206041627470116</v>
      </c>
      <c r="AA413" s="32">
        <f t="shared" si="89"/>
        <v>-2.8115072628365891</v>
      </c>
      <c r="AF413" s="40"/>
    </row>
    <row r="414" spans="1:32" customFormat="1" ht="14.25" hidden="1" customHeight="1" x14ac:dyDescent="0.35">
      <c r="A414" s="30">
        <f t="shared" si="81"/>
        <v>99</v>
      </c>
      <c r="B414">
        <v>1942</v>
      </c>
      <c r="C414">
        <v>5</v>
      </c>
      <c r="D414">
        <v>2</v>
      </c>
      <c r="E414">
        <v>3</v>
      </c>
      <c r="F414">
        <v>5</v>
      </c>
      <c r="G414">
        <v>4</v>
      </c>
      <c r="H414">
        <v>5</v>
      </c>
      <c r="I414">
        <v>4</v>
      </c>
      <c r="J414">
        <v>3</v>
      </c>
      <c r="L414">
        <v>2</v>
      </c>
      <c r="M414">
        <v>3</v>
      </c>
      <c r="N414">
        <v>2</v>
      </c>
      <c r="O414">
        <v>6</v>
      </c>
      <c r="P414">
        <v>5</v>
      </c>
      <c r="Q414">
        <v>3</v>
      </c>
      <c r="R414">
        <v>2</v>
      </c>
      <c r="S414">
        <v>4</v>
      </c>
      <c r="T414" s="3">
        <f t="shared" si="82"/>
        <v>-0.44759197374549808</v>
      </c>
      <c r="U414" s="32">
        <f t="shared" si="83"/>
        <v>0.84420266961423651</v>
      </c>
      <c r="V414" s="32">
        <f t="shared" si="84"/>
        <v>0.26360832519077404</v>
      </c>
      <c r="W414" s="32">
        <f t="shared" si="85"/>
        <v>-1.0009496220281058</v>
      </c>
      <c r="X414" s="32">
        <f t="shared" si="86"/>
        <v>-2.2884705377570564</v>
      </c>
      <c r="Y414" s="32">
        <f t="shared" si="87"/>
        <v>-1.6649456898696466</v>
      </c>
      <c r="Z414" s="32">
        <f t="shared" si="88"/>
        <v>0.81206041627470116</v>
      </c>
      <c r="AA414" s="32">
        <f t="shared" si="89"/>
        <v>-9.8649377643389324E-2</v>
      </c>
      <c r="AF414" s="40"/>
    </row>
    <row r="415" spans="1:32" customFormat="1" ht="14.25" hidden="1" customHeight="1" x14ac:dyDescent="0.35">
      <c r="A415" s="30">
        <f t="shared" si="81"/>
        <v>99</v>
      </c>
      <c r="B415">
        <v>1955</v>
      </c>
      <c r="C415">
        <v>4</v>
      </c>
      <c r="D415">
        <v>2</v>
      </c>
      <c r="E415">
        <v>5</v>
      </c>
      <c r="F415">
        <v>2</v>
      </c>
      <c r="G415">
        <v>3</v>
      </c>
      <c r="H415">
        <v>5</v>
      </c>
      <c r="I415">
        <v>5</v>
      </c>
      <c r="J415">
        <v>2</v>
      </c>
      <c r="K415">
        <v>1</v>
      </c>
      <c r="L415">
        <v>1</v>
      </c>
      <c r="O415">
        <v>6</v>
      </c>
      <c r="P415">
        <v>6</v>
      </c>
      <c r="Q415">
        <v>2</v>
      </c>
      <c r="R415">
        <v>3</v>
      </c>
      <c r="S415">
        <v>2</v>
      </c>
      <c r="T415" s="3">
        <f t="shared" si="82"/>
        <v>0.28961982615126913</v>
      </c>
      <c r="U415" s="32">
        <f t="shared" si="83"/>
        <v>-5.6401471461296142E-2</v>
      </c>
      <c r="V415" s="32">
        <f t="shared" si="84"/>
        <v>0.26360832519077404</v>
      </c>
      <c r="W415" s="32">
        <f t="shared" si="85"/>
        <v>0.80698132232978881</v>
      </c>
      <c r="X415" s="32">
        <f t="shared" si="86"/>
        <v>0.21586162773242673</v>
      </c>
      <c r="Y415" s="32">
        <f t="shared" si="87"/>
        <v>-0.82040802109518818</v>
      </c>
      <c r="Z415" s="32">
        <f t="shared" si="88"/>
        <v>0.81206041627470116</v>
      </c>
      <c r="AA415" s="32">
        <f t="shared" si="89"/>
        <v>0.80563658408767735</v>
      </c>
      <c r="AF415" s="40"/>
    </row>
    <row r="416" spans="1:32" customFormat="1" ht="14.25" hidden="1" customHeight="1" x14ac:dyDescent="0.35">
      <c r="A416" s="30">
        <f t="shared" si="81"/>
        <v>99</v>
      </c>
      <c r="B416">
        <v>1999</v>
      </c>
      <c r="C416">
        <v>5</v>
      </c>
      <c r="D416">
        <v>1</v>
      </c>
      <c r="E416">
        <v>5</v>
      </c>
      <c r="F416">
        <v>1</v>
      </c>
      <c r="G416">
        <v>1</v>
      </c>
      <c r="H416">
        <v>5</v>
      </c>
      <c r="I416">
        <v>5</v>
      </c>
      <c r="J416">
        <v>1</v>
      </c>
      <c r="O416">
        <v>6</v>
      </c>
      <c r="P416">
        <v>6</v>
      </c>
      <c r="Q416">
        <v>1</v>
      </c>
      <c r="R416">
        <v>2</v>
      </c>
      <c r="S416">
        <v>2</v>
      </c>
      <c r="T416" s="3">
        <f t="shared" si="82"/>
        <v>0.88999895457577671</v>
      </c>
      <c r="U416" s="32">
        <f t="shared" si="83"/>
        <v>0.84420266961423651</v>
      </c>
      <c r="V416" s="32">
        <f t="shared" si="84"/>
        <v>1.0418053570413823</v>
      </c>
      <c r="W416" s="32">
        <f t="shared" si="85"/>
        <v>0.80698132232978881</v>
      </c>
      <c r="X416" s="32">
        <f t="shared" si="86"/>
        <v>1.0506390162289212</v>
      </c>
      <c r="Y416" s="32">
        <f t="shared" si="87"/>
        <v>0.86866731645372852</v>
      </c>
      <c r="Z416" s="32">
        <f t="shared" si="88"/>
        <v>0.81206041627470116</v>
      </c>
      <c r="AA416" s="32">
        <f t="shared" si="89"/>
        <v>0.80563658408767735</v>
      </c>
      <c r="AF416" s="40"/>
    </row>
    <row r="417" spans="1:32" customFormat="1" ht="14.25" hidden="1" customHeight="1" x14ac:dyDescent="0.35">
      <c r="A417" s="30">
        <f t="shared" si="81"/>
        <v>99</v>
      </c>
      <c r="B417">
        <v>2003</v>
      </c>
      <c r="C417">
        <v>2</v>
      </c>
      <c r="D417">
        <v>1</v>
      </c>
      <c r="E417">
        <v>3</v>
      </c>
      <c r="F417">
        <v>2</v>
      </c>
      <c r="G417">
        <v>1</v>
      </c>
      <c r="H417">
        <v>1</v>
      </c>
      <c r="I417">
        <v>3</v>
      </c>
      <c r="J417">
        <v>2</v>
      </c>
      <c r="O417">
        <v>6</v>
      </c>
      <c r="P417">
        <v>5</v>
      </c>
      <c r="Q417">
        <v>1</v>
      </c>
      <c r="R417">
        <v>4</v>
      </c>
      <c r="S417">
        <v>3</v>
      </c>
      <c r="T417" s="3">
        <f t="shared" si="82"/>
        <v>-0.66746267740128118</v>
      </c>
      <c r="U417" s="32">
        <f t="shared" si="83"/>
        <v>-1.8576097536123615</v>
      </c>
      <c r="V417" s="32">
        <f t="shared" si="84"/>
        <v>1.0418053570413823</v>
      </c>
      <c r="W417" s="32">
        <f t="shared" si="85"/>
        <v>-1.0009496220281058</v>
      </c>
      <c r="X417" s="32">
        <f t="shared" si="86"/>
        <v>0.21586162773242673</v>
      </c>
      <c r="Y417" s="32">
        <f t="shared" si="87"/>
        <v>0.86866731645372852</v>
      </c>
      <c r="Z417" s="32">
        <f t="shared" si="88"/>
        <v>-2.9370783280215829</v>
      </c>
      <c r="AA417" s="32">
        <f t="shared" si="89"/>
        <v>-1.002935339374456</v>
      </c>
      <c r="AF417" s="40"/>
    </row>
    <row r="418" spans="1:32" customFormat="1" ht="14.25" hidden="1" customHeight="1" x14ac:dyDescent="0.35">
      <c r="A418" s="30">
        <f t="shared" si="81"/>
        <v>99</v>
      </c>
      <c r="B418">
        <v>2020</v>
      </c>
      <c r="C418">
        <v>5</v>
      </c>
      <c r="D418">
        <v>1</v>
      </c>
      <c r="E418">
        <v>5</v>
      </c>
      <c r="F418">
        <v>1</v>
      </c>
      <c r="G418">
        <v>1</v>
      </c>
      <c r="H418">
        <v>5</v>
      </c>
      <c r="I418">
        <v>5</v>
      </c>
      <c r="J418">
        <v>3</v>
      </c>
      <c r="O418">
        <v>6</v>
      </c>
      <c r="P418">
        <v>6</v>
      </c>
      <c r="Q418">
        <v>1</v>
      </c>
      <c r="R418">
        <v>2</v>
      </c>
      <c r="S418">
        <v>2</v>
      </c>
      <c r="T418" s="3">
        <f t="shared" si="82"/>
        <v>0.88999895457577671</v>
      </c>
      <c r="U418" s="32">
        <f t="shared" si="83"/>
        <v>0.84420266961423651</v>
      </c>
      <c r="V418" s="32">
        <f t="shared" si="84"/>
        <v>1.0418053570413823</v>
      </c>
      <c r="W418" s="32">
        <f t="shared" si="85"/>
        <v>0.80698132232978881</v>
      </c>
      <c r="X418" s="32">
        <f t="shared" si="86"/>
        <v>1.0506390162289212</v>
      </c>
      <c r="Y418" s="32">
        <f t="shared" si="87"/>
        <v>0.86866731645372852</v>
      </c>
      <c r="Z418" s="32">
        <f t="shared" si="88"/>
        <v>0.81206041627470116</v>
      </c>
      <c r="AA418" s="32">
        <f t="shared" si="89"/>
        <v>0.80563658408767735</v>
      </c>
      <c r="AF418" s="40"/>
    </row>
    <row r="419" spans="1:32" customFormat="1" ht="14.25" hidden="1" customHeight="1" x14ac:dyDescent="0.35">
      <c r="A419" s="30">
        <f t="shared" si="81"/>
        <v>99</v>
      </c>
      <c r="B419">
        <v>2026</v>
      </c>
      <c r="C419">
        <v>4</v>
      </c>
      <c r="D419">
        <v>4</v>
      </c>
      <c r="E419">
        <v>2</v>
      </c>
      <c r="F419">
        <v>4</v>
      </c>
      <c r="G419">
        <v>4</v>
      </c>
      <c r="H419">
        <v>4</v>
      </c>
      <c r="I419">
        <v>1</v>
      </c>
      <c r="J419">
        <v>2</v>
      </c>
      <c r="L419">
        <v>1</v>
      </c>
      <c r="M419">
        <v>2</v>
      </c>
      <c r="N419">
        <v>3</v>
      </c>
      <c r="O419">
        <v>6</v>
      </c>
      <c r="P419">
        <v>6</v>
      </c>
      <c r="Q419">
        <v>1</v>
      </c>
      <c r="R419">
        <v>1</v>
      </c>
      <c r="S419">
        <v>1</v>
      </c>
      <c r="T419" s="3">
        <f t="shared" si="82"/>
        <v>-1.329924667992137</v>
      </c>
      <c r="U419" s="32">
        <f t="shared" si="83"/>
        <v>-5.6401471461296142E-2</v>
      </c>
      <c r="V419" s="32">
        <f t="shared" si="84"/>
        <v>-1.2927857385104427</v>
      </c>
      <c r="W419" s="32">
        <f t="shared" si="85"/>
        <v>-1.904915094207053</v>
      </c>
      <c r="X419" s="32">
        <f t="shared" si="86"/>
        <v>-1.453693149260562</v>
      </c>
      <c r="Y419" s="32">
        <f t="shared" si="87"/>
        <v>-1.6649456898696466</v>
      </c>
      <c r="Z419" s="32">
        <f t="shared" si="88"/>
        <v>-0.12522426979936985</v>
      </c>
      <c r="AA419" s="32">
        <f t="shared" si="89"/>
        <v>-2.8115072628365891</v>
      </c>
      <c r="AF419" s="40"/>
    </row>
    <row r="420" spans="1:32" customFormat="1" ht="14.25" hidden="1" customHeight="1" x14ac:dyDescent="0.35">
      <c r="A420" s="30">
        <f t="shared" si="81"/>
        <v>99</v>
      </c>
      <c r="B420">
        <v>2032</v>
      </c>
      <c r="C420">
        <v>3</v>
      </c>
      <c r="D420">
        <v>2</v>
      </c>
      <c r="E420">
        <v>4</v>
      </c>
      <c r="F420">
        <v>2</v>
      </c>
      <c r="G420">
        <v>2</v>
      </c>
      <c r="H420">
        <v>4</v>
      </c>
      <c r="I420">
        <v>3</v>
      </c>
      <c r="J420">
        <v>2</v>
      </c>
      <c r="L420">
        <v>3</v>
      </c>
      <c r="M420">
        <v>1</v>
      </c>
      <c r="N420">
        <v>0</v>
      </c>
      <c r="O420">
        <v>5</v>
      </c>
      <c r="P420">
        <v>4</v>
      </c>
      <c r="Q420">
        <v>2</v>
      </c>
      <c r="R420">
        <v>2</v>
      </c>
      <c r="S420">
        <v>3</v>
      </c>
      <c r="T420" s="3">
        <f t="shared" si="82"/>
        <v>-0.23979282442247746</v>
      </c>
      <c r="U420" s="32">
        <f t="shared" si="83"/>
        <v>-0.95700561253682881</v>
      </c>
      <c r="V420" s="32">
        <f t="shared" si="84"/>
        <v>0.26360832519077404</v>
      </c>
      <c r="W420" s="32">
        <f t="shared" si="85"/>
        <v>-9.6984149849158471E-2</v>
      </c>
      <c r="X420" s="32">
        <f t="shared" si="86"/>
        <v>0.21586162773242673</v>
      </c>
      <c r="Y420" s="32">
        <f t="shared" si="87"/>
        <v>2.4129647679270151E-2</v>
      </c>
      <c r="Z420" s="32">
        <f t="shared" si="88"/>
        <v>-0.12522426979936985</v>
      </c>
      <c r="AA420" s="32">
        <f t="shared" si="89"/>
        <v>-1.002935339374456</v>
      </c>
      <c r="AF420" s="40"/>
    </row>
    <row r="421" spans="1:32" customFormat="1" ht="14.25" hidden="1" customHeight="1" x14ac:dyDescent="0.35">
      <c r="A421" s="30">
        <f t="shared" si="81"/>
        <v>99</v>
      </c>
      <c r="B421">
        <v>2051</v>
      </c>
      <c r="C421">
        <v>5</v>
      </c>
      <c r="D421">
        <v>1</v>
      </c>
      <c r="E421">
        <v>5</v>
      </c>
      <c r="F421">
        <v>1</v>
      </c>
      <c r="G421">
        <v>1</v>
      </c>
      <c r="H421">
        <v>5</v>
      </c>
      <c r="I421">
        <v>5</v>
      </c>
      <c r="J421">
        <v>1</v>
      </c>
      <c r="K421">
        <v>1</v>
      </c>
      <c r="O421">
        <v>6</v>
      </c>
      <c r="P421">
        <v>4</v>
      </c>
      <c r="Q421">
        <v>1</v>
      </c>
      <c r="R421">
        <v>2</v>
      </c>
      <c r="S421">
        <v>1</v>
      </c>
      <c r="T421" s="3">
        <f t="shared" si="82"/>
        <v>0.88999895457577671</v>
      </c>
      <c r="U421" s="32">
        <f t="shared" si="83"/>
        <v>0.84420266961423651</v>
      </c>
      <c r="V421" s="32">
        <f t="shared" si="84"/>
        <v>1.0418053570413823</v>
      </c>
      <c r="W421" s="32">
        <f t="shared" si="85"/>
        <v>0.80698132232978881</v>
      </c>
      <c r="X421" s="32">
        <f t="shared" si="86"/>
        <v>1.0506390162289212</v>
      </c>
      <c r="Y421" s="32">
        <f t="shared" si="87"/>
        <v>0.86866731645372852</v>
      </c>
      <c r="Z421" s="32">
        <f t="shared" si="88"/>
        <v>0.81206041627470116</v>
      </c>
      <c r="AA421" s="32">
        <f t="shared" si="89"/>
        <v>0.80563658408767735</v>
      </c>
      <c r="AF421" s="40"/>
    </row>
    <row r="422" spans="1:32" customFormat="1" ht="14.25" hidden="1" customHeight="1" x14ac:dyDescent="0.35">
      <c r="A422" s="30">
        <f t="shared" si="81"/>
        <v>99</v>
      </c>
      <c r="B422">
        <v>2066</v>
      </c>
      <c r="C422">
        <v>2</v>
      </c>
      <c r="D422">
        <v>3</v>
      </c>
      <c r="E422">
        <v>4</v>
      </c>
      <c r="F422">
        <v>3</v>
      </c>
      <c r="G422">
        <v>1</v>
      </c>
      <c r="H422">
        <v>3</v>
      </c>
      <c r="I422">
        <v>2</v>
      </c>
      <c r="J422">
        <v>2</v>
      </c>
      <c r="L422">
        <v>1</v>
      </c>
      <c r="M422">
        <v>2</v>
      </c>
      <c r="N422">
        <v>0</v>
      </c>
      <c r="O422">
        <v>6</v>
      </c>
      <c r="P422">
        <v>6</v>
      </c>
      <c r="Q422">
        <v>2</v>
      </c>
      <c r="R422">
        <v>2</v>
      </c>
      <c r="S422">
        <v>2</v>
      </c>
      <c r="T422" s="3">
        <f t="shared" si="82"/>
        <v>-0.74130875877295099</v>
      </c>
      <c r="U422" s="32">
        <f t="shared" si="83"/>
        <v>-1.8576097536123615</v>
      </c>
      <c r="V422" s="32">
        <f t="shared" si="84"/>
        <v>-0.51458870665983425</v>
      </c>
      <c r="W422" s="32">
        <f t="shared" si="85"/>
        <v>-9.6984149849158471E-2</v>
      </c>
      <c r="X422" s="32">
        <f t="shared" si="86"/>
        <v>-0.61891576076406762</v>
      </c>
      <c r="Y422" s="32">
        <f t="shared" si="87"/>
        <v>0.86866731645372852</v>
      </c>
      <c r="Z422" s="32">
        <f t="shared" si="88"/>
        <v>-1.0625089558734409</v>
      </c>
      <c r="AA422" s="32">
        <f t="shared" si="89"/>
        <v>-1.9072213011055226</v>
      </c>
      <c r="AF422" s="40"/>
    </row>
    <row r="423" spans="1:32" customFormat="1" ht="14.25" hidden="1" customHeight="1" x14ac:dyDescent="0.35">
      <c r="A423" s="30">
        <f t="shared" si="81"/>
        <v>99</v>
      </c>
      <c r="B423">
        <v>2069</v>
      </c>
      <c r="C423">
        <v>5</v>
      </c>
      <c r="D423">
        <v>1</v>
      </c>
      <c r="E423">
        <v>5</v>
      </c>
      <c r="F423">
        <v>1</v>
      </c>
      <c r="G423">
        <v>1</v>
      </c>
      <c r="H423">
        <v>5</v>
      </c>
      <c r="I423">
        <v>5</v>
      </c>
      <c r="J423">
        <v>2</v>
      </c>
      <c r="K423">
        <v>1</v>
      </c>
      <c r="L423">
        <v>2</v>
      </c>
      <c r="O423">
        <v>6</v>
      </c>
      <c r="P423">
        <v>5</v>
      </c>
      <c r="Q423">
        <v>1</v>
      </c>
      <c r="R423">
        <v>3</v>
      </c>
      <c r="S423">
        <v>2</v>
      </c>
      <c r="T423" s="3">
        <f t="shared" si="82"/>
        <v>0.88999895457577671</v>
      </c>
      <c r="U423" s="32">
        <f t="shared" si="83"/>
        <v>0.84420266961423651</v>
      </c>
      <c r="V423" s="32">
        <f t="shared" si="84"/>
        <v>1.0418053570413823</v>
      </c>
      <c r="W423" s="32">
        <f t="shared" si="85"/>
        <v>0.80698132232978881</v>
      </c>
      <c r="X423" s="32">
        <f t="shared" si="86"/>
        <v>1.0506390162289212</v>
      </c>
      <c r="Y423" s="32">
        <f t="shared" si="87"/>
        <v>0.86866731645372852</v>
      </c>
      <c r="Z423" s="32">
        <f t="shared" si="88"/>
        <v>0.81206041627470116</v>
      </c>
      <c r="AA423" s="32">
        <f t="shared" si="89"/>
        <v>0.80563658408767735</v>
      </c>
      <c r="AF423" s="40"/>
    </row>
    <row r="424" spans="1:32" customFormat="1" ht="14.25" hidden="1" customHeight="1" x14ac:dyDescent="0.35">
      <c r="A424" s="30">
        <f t="shared" si="81"/>
        <v>99</v>
      </c>
      <c r="B424">
        <v>2072</v>
      </c>
      <c r="C424">
        <v>3</v>
      </c>
      <c r="D424">
        <v>1</v>
      </c>
      <c r="E424">
        <v>1</v>
      </c>
      <c r="F424">
        <v>1</v>
      </c>
      <c r="G424">
        <v>2</v>
      </c>
      <c r="H424">
        <v>4</v>
      </c>
      <c r="I424">
        <v>4</v>
      </c>
      <c r="J424">
        <v>1</v>
      </c>
      <c r="K424">
        <v>1</v>
      </c>
      <c r="L424">
        <v>1</v>
      </c>
      <c r="O424">
        <v>6</v>
      </c>
      <c r="P424">
        <v>6</v>
      </c>
      <c r="Q424">
        <v>1</v>
      </c>
      <c r="R424">
        <v>1</v>
      </c>
      <c r="S424">
        <v>3</v>
      </c>
      <c r="T424" s="3">
        <f t="shared" si="82"/>
        <v>-0.26759797220228781</v>
      </c>
      <c r="U424" s="32">
        <f t="shared" si="83"/>
        <v>-0.95700561253682881</v>
      </c>
      <c r="V424" s="32">
        <f t="shared" si="84"/>
        <v>1.0418053570413823</v>
      </c>
      <c r="W424" s="32">
        <f t="shared" si="85"/>
        <v>-2.8088805663860001</v>
      </c>
      <c r="X424" s="32">
        <f t="shared" si="86"/>
        <v>1.0506390162289212</v>
      </c>
      <c r="Y424" s="32">
        <f t="shared" si="87"/>
        <v>2.4129647679270151E-2</v>
      </c>
      <c r="Z424" s="32">
        <f t="shared" si="88"/>
        <v>-0.12522426979936985</v>
      </c>
      <c r="AA424" s="32">
        <f t="shared" si="89"/>
        <v>-9.8649377643389324E-2</v>
      </c>
      <c r="AF424" s="40"/>
    </row>
    <row r="425" spans="1:32" customFormat="1" ht="14.25" hidden="1" customHeight="1" x14ac:dyDescent="0.35">
      <c r="A425" s="30">
        <f t="shared" si="81"/>
        <v>99</v>
      </c>
      <c r="B425">
        <v>2074</v>
      </c>
      <c r="C425">
        <v>4</v>
      </c>
      <c r="D425">
        <v>2</v>
      </c>
      <c r="E425">
        <v>3</v>
      </c>
      <c r="F425">
        <v>2</v>
      </c>
      <c r="G425">
        <v>2</v>
      </c>
      <c r="H425">
        <v>4</v>
      </c>
      <c r="I425">
        <v>5</v>
      </c>
      <c r="J425">
        <v>2</v>
      </c>
      <c r="L425">
        <v>2</v>
      </c>
      <c r="M425">
        <v>1</v>
      </c>
      <c r="N425">
        <v>0</v>
      </c>
      <c r="O425">
        <v>5</v>
      </c>
      <c r="P425">
        <v>5</v>
      </c>
      <c r="Q425">
        <v>1</v>
      </c>
      <c r="R425">
        <v>3</v>
      </c>
      <c r="S425">
        <v>2</v>
      </c>
      <c r="T425" s="3">
        <f t="shared" si="82"/>
        <v>1.8094403057339496E-2</v>
      </c>
      <c r="U425" s="32">
        <f t="shared" si="83"/>
        <v>-5.6401471461296142E-2</v>
      </c>
      <c r="V425" s="32">
        <f t="shared" si="84"/>
        <v>0.26360832519077404</v>
      </c>
      <c r="W425" s="32">
        <f t="shared" si="85"/>
        <v>-1.0009496220281058</v>
      </c>
      <c r="X425" s="32">
        <f t="shared" si="86"/>
        <v>0.21586162773242673</v>
      </c>
      <c r="Y425" s="32">
        <f t="shared" si="87"/>
        <v>2.4129647679270151E-2</v>
      </c>
      <c r="Z425" s="32">
        <f t="shared" si="88"/>
        <v>-0.12522426979936985</v>
      </c>
      <c r="AA425" s="32">
        <f t="shared" si="89"/>
        <v>0.80563658408767735</v>
      </c>
      <c r="AF425" s="40"/>
    </row>
    <row r="426" spans="1:32" customFormat="1" ht="14.25" hidden="1" customHeight="1" x14ac:dyDescent="0.35">
      <c r="A426" s="30">
        <f t="shared" si="81"/>
        <v>99</v>
      </c>
      <c r="B426">
        <v>2079</v>
      </c>
      <c r="C426">
        <v>4</v>
      </c>
      <c r="D426">
        <v>1</v>
      </c>
      <c r="E426">
        <v>4</v>
      </c>
      <c r="F426">
        <v>1</v>
      </c>
      <c r="G426">
        <v>1</v>
      </c>
      <c r="H426">
        <v>1</v>
      </c>
      <c r="I426">
        <v>5</v>
      </c>
      <c r="J426">
        <v>2</v>
      </c>
      <c r="O426">
        <v>6</v>
      </c>
      <c r="P426">
        <v>6</v>
      </c>
      <c r="Q426">
        <v>1</v>
      </c>
      <c r="R426">
        <v>3</v>
      </c>
      <c r="S426">
        <v>2</v>
      </c>
      <c r="T426" s="3">
        <f t="shared" si="82"/>
        <v>9.6612046354238812E-2</v>
      </c>
      <c r="U426" s="32">
        <f t="shared" si="83"/>
        <v>-5.6401471461296142E-2</v>
      </c>
      <c r="V426" s="32">
        <f t="shared" si="84"/>
        <v>1.0418053570413823</v>
      </c>
      <c r="W426" s="32">
        <f t="shared" si="85"/>
        <v>-9.6984149849158471E-2</v>
      </c>
      <c r="X426" s="32">
        <f t="shared" si="86"/>
        <v>1.0506390162289212</v>
      </c>
      <c r="Y426" s="32">
        <f t="shared" si="87"/>
        <v>0.86866731645372852</v>
      </c>
      <c r="Z426" s="32">
        <f t="shared" si="88"/>
        <v>-2.9370783280215829</v>
      </c>
      <c r="AA426" s="32">
        <f t="shared" si="89"/>
        <v>0.80563658408767735</v>
      </c>
      <c r="AF426" s="40"/>
    </row>
    <row r="427" spans="1:32" customFormat="1" ht="14.25" hidden="1" customHeight="1" x14ac:dyDescent="0.35">
      <c r="A427" s="30">
        <f t="shared" si="81"/>
        <v>99</v>
      </c>
      <c r="B427">
        <v>2084</v>
      </c>
      <c r="C427">
        <v>4</v>
      </c>
      <c r="D427">
        <v>2</v>
      </c>
      <c r="E427">
        <v>2</v>
      </c>
      <c r="F427">
        <v>3</v>
      </c>
      <c r="G427">
        <v>3</v>
      </c>
      <c r="H427">
        <v>4</v>
      </c>
      <c r="I427">
        <v>4</v>
      </c>
      <c r="J427">
        <v>1</v>
      </c>
      <c r="L427">
        <v>1</v>
      </c>
      <c r="M427">
        <v>1</v>
      </c>
      <c r="N427">
        <v>0</v>
      </c>
      <c r="O427">
        <v>6</v>
      </c>
      <c r="P427">
        <v>4</v>
      </c>
      <c r="Q427">
        <v>1</v>
      </c>
      <c r="R427">
        <v>2</v>
      </c>
      <c r="S427">
        <v>2</v>
      </c>
      <c r="T427" s="3">
        <f t="shared" si="82"/>
        <v>-0.48012938139708433</v>
      </c>
      <c r="U427" s="32">
        <f t="shared" si="83"/>
        <v>-5.6401471461296142E-2</v>
      </c>
      <c r="V427" s="32">
        <f t="shared" si="84"/>
        <v>0.26360832519077404</v>
      </c>
      <c r="W427" s="32">
        <f t="shared" si="85"/>
        <v>-1.904915094207053</v>
      </c>
      <c r="X427" s="32">
        <f t="shared" si="86"/>
        <v>-0.61891576076406762</v>
      </c>
      <c r="Y427" s="32">
        <f t="shared" si="87"/>
        <v>-0.82040802109518818</v>
      </c>
      <c r="Z427" s="32">
        <f t="shared" si="88"/>
        <v>-0.12522426979936985</v>
      </c>
      <c r="AA427" s="32">
        <f t="shared" si="89"/>
        <v>-9.8649377643389324E-2</v>
      </c>
      <c r="AF427" s="40"/>
    </row>
    <row r="428" spans="1:32" customFormat="1" ht="14.25" hidden="1" customHeight="1" x14ac:dyDescent="0.35">
      <c r="A428" s="30">
        <f t="shared" si="81"/>
        <v>99</v>
      </c>
      <c r="B428">
        <v>2097</v>
      </c>
      <c r="C428">
        <v>3</v>
      </c>
      <c r="D428">
        <v>3</v>
      </c>
      <c r="E428">
        <v>3</v>
      </c>
      <c r="F428">
        <v>3</v>
      </c>
      <c r="G428">
        <v>3</v>
      </c>
      <c r="H428">
        <v>4</v>
      </c>
      <c r="I428">
        <v>4</v>
      </c>
      <c r="J428">
        <v>2</v>
      </c>
      <c r="L428">
        <v>2</v>
      </c>
      <c r="M428">
        <v>1</v>
      </c>
      <c r="N428">
        <v>0</v>
      </c>
      <c r="O428">
        <v>4</v>
      </c>
      <c r="P428">
        <v>5</v>
      </c>
      <c r="Q428">
        <v>2</v>
      </c>
      <c r="R428">
        <v>3</v>
      </c>
      <c r="S428">
        <v>3</v>
      </c>
      <c r="T428" s="3">
        <f t="shared" si="82"/>
        <v>-0.59082019578954059</v>
      </c>
      <c r="U428" s="32">
        <f t="shared" si="83"/>
        <v>-0.95700561253682881</v>
      </c>
      <c r="V428" s="32">
        <f t="shared" si="84"/>
        <v>-0.51458870665983425</v>
      </c>
      <c r="W428" s="32">
        <f t="shared" si="85"/>
        <v>-1.0009496220281058</v>
      </c>
      <c r="X428" s="32">
        <f t="shared" si="86"/>
        <v>-0.61891576076406762</v>
      </c>
      <c r="Y428" s="32">
        <f t="shared" si="87"/>
        <v>-0.82040802109518818</v>
      </c>
      <c r="Z428" s="32">
        <f t="shared" si="88"/>
        <v>-0.12522426979936985</v>
      </c>
      <c r="AA428" s="32">
        <f t="shared" si="89"/>
        <v>-9.8649377643389324E-2</v>
      </c>
      <c r="AF428" s="40"/>
    </row>
    <row r="429" spans="1:32" customFormat="1" ht="14.25" hidden="1" customHeight="1" x14ac:dyDescent="0.35">
      <c r="A429" s="30">
        <f t="shared" si="81"/>
        <v>99</v>
      </c>
      <c r="B429">
        <v>2099</v>
      </c>
      <c r="C429">
        <v>5</v>
      </c>
      <c r="D429">
        <v>1</v>
      </c>
      <c r="E429">
        <v>5</v>
      </c>
      <c r="F429">
        <v>2</v>
      </c>
      <c r="G429">
        <v>2</v>
      </c>
      <c r="H429">
        <v>5</v>
      </c>
      <c r="I429">
        <v>5</v>
      </c>
      <c r="J429">
        <v>2</v>
      </c>
      <c r="O429">
        <v>6</v>
      </c>
      <c r="P429">
        <v>6</v>
      </c>
      <c r="Q429">
        <v>1</v>
      </c>
      <c r="R429">
        <v>3</v>
      </c>
      <c r="S429">
        <v>2</v>
      </c>
      <c r="T429" s="3">
        <f t="shared" si="82"/>
        <v>0.650096803537069</v>
      </c>
      <c r="U429" s="32">
        <f t="shared" si="83"/>
        <v>0.84420266961423651</v>
      </c>
      <c r="V429" s="32">
        <f t="shared" si="84"/>
        <v>1.0418053570413823</v>
      </c>
      <c r="W429" s="32">
        <f t="shared" si="85"/>
        <v>0.80698132232978881</v>
      </c>
      <c r="X429" s="32">
        <f t="shared" si="86"/>
        <v>0.21586162773242673</v>
      </c>
      <c r="Y429" s="32">
        <f t="shared" si="87"/>
        <v>2.4129647679270151E-2</v>
      </c>
      <c r="Z429" s="32">
        <f t="shared" si="88"/>
        <v>0.81206041627470116</v>
      </c>
      <c r="AA429" s="32">
        <f t="shared" si="89"/>
        <v>0.80563658408767735</v>
      </c>
      <c r="AF429" s="40"/>
    </row>
    <row r="430" spans="1:32" customFormat="1" ht="14.25" hidden="1" customHeight="1" x14ac:dyDescent="0.35">
      <c r="A430" s="30">
        <f t="shared" si="81"/>
        <v>99</v>
      </c>
      <c r="B430">
        <v>2110</v>
      </c>
      <c r="C430">
        <v>2</v>
      </c>
      <c r="D430">
        <v>3</v>
      </c>
      <c r="E430">
        <v>5</v>
      </c>
      <c r="F430">
        <v>2</v>
      </c>
      <c r="G430">
        <v>1</v>
      </c>
      <c r="H430">
        <v>2</v>
      </c>
      <c r="I430">
        <v>5</v>
      </c>
      <c r="J430">
        <v>2</v>
      </c>
      <c r="L430">
        <v>2</v>
      </c>
      <c r="M430">
        <v>4</v>
      </c>
      <c r="N430">
        <v>0</v>
      </c>
      <c r="O430">
        <v>6</v>
      </c>
      <c r="P430">
        <v>5</v>
      </c>
      <c r="Q430">
        <v>2</v>
      </c>
      <c r="R430">
        <v>2</v>
      </c>
      <c r="S430">
        <v>2</v>
      </c>
      <c r="T430" s="3">
        <f t="shared" si="82"/>
        <v>-0.23926360737372657</v>
      </c>
      <c r="U430" s="32">
        <f t="shared" si="83"/>
        <v>-1.8576097536123615</v>
      </c>
      <c r="V430" s="32">
        <f t="shared" si="84"/>
        <v>-0.51458870665983425</v>
      </c>
      <c r="W430" s="32">
        <f t="shared" si="85"/>
        <v>0.80698132232978881</v>
      </c>
      <c r="X430" s="32">
        <f t="shared" si="86"/>
        <v>0.21586162773242673</v>
      </c>
      <c r="Y430" s="32">
        <f t="shared" si="87"/>
        <v>0.86866731645372852</v>
      </c>
      <c r="Z430" s="32">
        <f t="shared" si="88"/>
        <v>-1.9997936419475117</v>
      </c>
      <c r="AA430" s="32">
        <f t="shared" si="89"/>
        <v>0.80563658408767735</v>
      </c>
      <c r="AF430" s="40"/>
    </row>
    <row r="431" spans="1:32" customFormat="1" ht="14.25" hidden="1" customHeight="1" x14ac:dyDescent="0.35">
      <c r="A431" s="30">
        <f t="shared" si="81"/>
        <v>99</v>
      </c>
      <c r="B431">
        <v>2116</v>
      </c>
      <c r="C431">
        <v>3</v>
      </c>
      <c r="D431">
        <v>3</v>
      </c>
      <c r="E431">
        <v>5</v>
      </c>
      <c r="F431">
        <v>3</v>
      </c>
      <c r="G431">
        <v>3</v>
      </c>
      <c r="H431">
        <v>1</v>
      </c>
      <c r="I431">
        <v>1</v>
      </c>
      <c r="J431">
        <v>2</v>
      </c>
      <c r="L431">
        <v>1</v>
      </c>
      <c r="M431">
        <v>4</v>
      </c>
      <c r="N431">
        <v>0</v>
      </c>
      <c r="O431">
        <v>5</v>
      </c>
      <c r="P431">
        <v>6</v>
      </c>
      <c r="Q431">
        <v>1</v>
      </c>
      <c r="R431">
        <v>1</v>
      </c>
      <c r="S431">
        <v>1</v>
      </c>
      <c r="T431" s="3">
        <f t="shared" si="82"/>
        <v>-1.1217889099406144</v>
      </c>
      <c r="U431" s="32">
        <f t="shared" si="83"/>
        <v>-0.95700561253682881</v>
      </c>
      <c r="V431" s="32">
        <f t="shared" si="84"/>
        <v>-0.51458870665983425</v>
      </c>
      <c r="W431" s="32">
        <f t="shared" si="85"/>
        <v>0.80698132232978881</v>
      </c>
      <c r="X431" s="32">
        <f t="shared" si="86"/>
        <v>-0.61891576076406762</v>
      </c>
      <c r="Y431" s="32">
        <f t="shared" si="87"/>
        <v>-0.82040802109518818</v>
      </c>
      <c r="Z431" s="32">
        <f t="shared" si="88"/>
        <v>-2.9370783280215829</v>
      </c>
      <c r="AA431" s="32">
        <f t="shared" si="89"/>
        <v>-2.8115072628365891</v>
      </c>
      <c r="AF431" s="40"/>
    </row>
    <row r="432" spans="1:32" customFormat="1" ht="14.25" hidden="1" customHeight="1" x14ac:dyDescent="0.35">
      <c r="A432" s="30">
        <f t="shared" si="81"/>
        <v>99</v>
      </c>
      <c r="B432">
        <v>2120</v>
      </c>
      <c r="C432">
        <v>5</v>
      </c>
      <c r="D432">
        <v>1</v>
      </c>
      <c r="E432">
        <v>5</v>
      </c>
      <c r="F432">
        <v>1</v>
      </c>
      <c r="G432">
        <v>1</v>
      </c>
      <c r="H432">
        <v>5</v>
      </c>
      <c r="I432">
        <v>5</v>
      </c>
      <c r="J432">
        <v>1</v>
      </c>
      <c r="K432">
        <v>1</v>
      </c>
      <c r="O432">
        <v>6</v>
      </c>
      <c r="P432">
        <v>4</v>
      </c>
      <c r="Q432">
        <v>1</v>
      </c>
      <c r="R432">
        <v>4</v>
      </c>
      <c r="S432">
        <v>1</v>
      </c>
      <c r="T432" s="3">
        <f t="shared" si="82"/>
        <v>0.88999895457577671</v>
      </c>
      <c r="U432" s="32">
        <f t="shared" si="83"/>
        <v>0.84420266961423651</v>
      </c>
      <c r="V432" s="32">
        <f t="shared" si="84"/>
        <v>1.0418053570413823</v>
      </c>
      <c r="W432" s="32">
        <f t="shared" si="85"/>
        <v>0.80698132232978881</v>
      </c>
      <c r="X432" s="32">
        <f t="shared" si="86"/>
        <v>1.0506390162289212</v>
      </c>
      <c r="Y432" s="32">
        <f t="shared" si="87"/>
        <v>0.86866731645372852</v>
      </c>
      <c r="Z432" s="32">
        <f t="shared" si="88"/>
        <v>0.81206041627470116</v>
      </c>
      <c r="AA432" s="32">
        <f t="shared" si="89"/>
        <v>0.80563658408767735</v>
      </c>
      <c r="AF432" s="40"/>
    </row>
    <row r="433" spans="1:32" customFormat="1" ht="14.25" hidden="1" customHeight="1" x14ac:dyDescent="0.35">
      <c r="A433" s="30">
        <f t="shared" si="81"/>
        <v>99</v>
      </c>
      <c r="B433">
        <v>2126</v>
      </c>
      <c r="C433">
        <v>1</v>
      </c>
      <c r="D433">
        <v>1</v>
      </c>
      <c r="E433">
        <v>1</v>
      </c>
      <c r="F433">
        <v>5</v>
      </c>
      <c r="G433">
        <v>1</v>
      </c>
      <c r="H433">
        <v>1</v>
      </c>
      <c r="I433">
        <v>1</v>
      </c>
      <c r="J433">
        <v>2</v>
      </c>
      <c r="O433">
        <v>6</v>
      </c>
      <c r="P433">
        <v>4</v>
      </c>
      <c r="Q433">
        <v>1</v>
      </c>
      <c r="R433">
        <v>3</v>
      </c>
      <c r="S433">
        <v>1</v>
      </c>
      <c r="T433" s="3">
        <f t="shared" si="82"/>
        <v>-1.6705254165991446</v>
      </c>
      <c r="U433" s="32">
        <f t="shared" si="83"/>
        <v>-2.758213894687894</v>
      </c>
      <c r="V433" s="32">
        <f t="shared" si="84"/>
        <v>1.0418053570413823</v>
      </c>
      <c r="W433" s="32">
        <f t="shared" si="85"/>
        <v>-2.8088805663860001</v>
      </c>
      <c r="X433" s="32">
        <f t="shared" si="86"/>
        <v>-2.2884705377570564</v>
      </c>
      <c r="Y433" s="32">
        <f t="shared" si="87"/>
        <v>0.86866731645372852</v>
      </c>
      <c r="Z433" s="32">
        <f t="shared" si="88"/>
        <v>-2.9370783280215829</v>
      </c>
      <c r="AA433" s="32">
        <f t="shared" si="89"/>
        <v>-2.8115072628365891</v>
      </c>
      <c r="AF433" s="40"/>
    </row>
    <row r="434" spans="1:32" customFormat="1" ht="14.25" hidden="1" customHeight="1" x14ac:dyDescent="0.35">
      <c r="A434" s="30">
        <f t="shared" si="81"/>
        <v>99</v>
      </c>
      <c r="B434">
        <v>2136</v>
      </c>
      <c r="C434">
        <v>5</v>
      </c>
      <c r="D434">
        <v>1</v>
      </c>
      <c r="E434">
        <v>5</v>
      </c>
      <c r="F434">
        <v>1</v>
      </c>
      <c r="G434">
        <v>1</v>
      </c>
      <c r="H434">
        <v>5</v>
      </c>
      <c r="I434">
        <v>5</v>
      </c>
      <c r="J434">
        <v>1</v>
      </c>
      <c r="K434">
        <v>1</v>
      </c>
      <c r="O434">
        <v>6</v>
      </c>
      <c r="P434">
        <v>2</v>
      </c>
      <c r="Q434">
        <v>1</v>
      </c>
      <c r="R434">
        <v>1</v>
      </c>
      <c r="S434">
        <v>1</v>
      </c>
      <c r="T434" s="3">
        <f t="shared" si="82"/>
        <v>0.88999895457577671</v>
      </c>
      <c r="U434" s="32">
        <f t="shared" si="83"/>
        <v>0.84420266961423651</v>
      </c>
      <c r="V434" s="32">
        <f t="shared" si="84"/>
        <v>1.0418053570413823</v>
      </c>
      <c r="W434" s="32">
        <f t="shared" si="85"/>
        <v>0.80698132232978881</v>
      </c>
      <c r="X434" s="32">
        <f t="shared" si="86"/>
        <v>1.0506390162289212</v>
      </c>
      <c r="Y434" s="32">
        <f t="shared" si="87"/>
        <v>0.86866731645372852</v>
      </c>
      <c r="Z434" s="32">
        <f t="shared" si="88"/>
        <v>0.81206041627470116</v>
      </c>
      <c r="AA434" s="32">
        <f t="shared" si="89"/>
        <v>0.80563658408767735</v>
      </c>
      <c r="AF434" s="40"/>
    </row>
    <row r="435" spans="1:32" customFormat="1" ht="14.25" hidden="1" customHeight="1" x14ac:dyDescent="0.35">
      <c r="A435" s="30">
        <f t="shared" si="81"/>
        <v>99</v>
      </c>
      <c r="B435">
        <v>2158</v>
      </c>
      <c r="C435">
        <v>5</v>
      </c>
      <c r="D435">
        <v>3</v>
      </c>
      <c r="E435">
        <v>5</v>
      </c>
      <c r="F435">
        <v>1</v>
      </c>
      <c r="G435">
        <v>1</v>
      </c>
      <c r="H435">
        <v>5</v>
      </c>
      <c r="I435">
        <v>4</v>
      </c>
      <c r="J435">
        <v>2</v>
      </c>
      <c r="L435">
        <v>1</v>
      </c>
      <c r="M435">
        <v>2</v>
      </c>
      <c r="N435">
        <v>0</v>
      </c>
      <c r="O435">
        <v>6</v>
      </c>
      <c r="P435">
        <v>3</v>
      </c>
      <c r="Q435">
        <v>1</v>
      </c>
      <c r="R435">
        <v>2</v>
      </c>
      <c r="S435">
        <v>1</v>
      </c>
      <c r="T435" s="3">
        <f t="shared" si="82"/>
        <v>0.53847323665687896</v>
      </c>
      <c r="U435" s="32">
        <f t="shared" si="83"/>
        <v>0.84420266961423651</v>
      </c>
      <c r="V435" s="32">
        <f t="shared" si="84"/>
        <v>-0.51458870665983425</v>
      </c>
      <c r="W435" s="32">
        <f t="shared" si="85"/>
        <v>0.80698132232978881</v>
      </c>
      <c r="X435" s="32">
        <f t="shared" si="86"/>
        <v>1.0506390162289212</v>
      </c>
      <c r="Y435" s="32">
        <f t="shared" si="87"/>
        <v>0.86866731645372852</v>
      </c>
      <c r="Z435" s="32">
        <f t="shared" si="88"/>
        <v>0.81206041627470116</v>
      </c>
      <c r="AA435" s="32">
        <f t="shared" si="89"/>
        <v>-9.8649377643389324E-2</v>
      </c>
      <c r="AF435" s="40"/>
    </row>
    <row r="436" spans="1:32" customFormat="1" ht="14.25" hidden="1" customHeight="1" x14ac:dyDescent="0.35">
      <c r="A436" s="30">
        <f t="shared" si="81"/>
        <v>99</v>
      </c>
      <c r="B436">
        <v>2182</v>
      </c>
      <c r="C436">
        <v>5</v>
      </c>
      <c r="D436">
        <v>5</v>
      </c>
      <c r="E436">
        <v>5</v>
      </c>
      <c r="F436">
        <v>3</v>
      </c>
      <c r="G436">
        <v>4</v>
      </c>
      <c r="H436">
        <v>5</v>
      </c>
      <c r="I436">
        <v>5</v>
      </c>
      <c r="J436">
        <v>2</v>
      </c>
      <c r="O436">
        <v>6</v>
      </c>
      <c r="P436">
        <v>6</v>
      </c>
      <c r="Q436">
        <v>2</v>
      </c>
      <c r="R436">
        <v>4</v>
      </c>
      <c r="S436">
        <v>3</v>
      </c>
      <c r="T436" s="3">
        <f t="shared" si="82"/>
        <v>-0.15513760409833727</v>
      </c>
      <c r="U436" s="32">
        <f t="shared" si="83"/>
        <v>0.84420266961423651</v>
      </c>
      <c r="V436" s="32">
        <f t="shared" si="84"/>
        <v>-2.0709827703610508</v>
      </c>
      <c r="W436" s="32">
        <f t="shared" si="85"/>
        <v>0.80698132232978881</v>
      </c>
      <c r="X436" s="32">
        <f t="shared" si="86"/>
        <v>-0.61891576076406762</v>
      </c>
      <c r="Y436" s="32">
        <f t="shared" si="87"/>
        <v>-1.6649456898696466</v>
      </c>
      <c r="Z436" s="32">
        <f t="shared" si="88"/>
        <v>0.81206041627470116</v>
      </c>
      <c r="AA436" s="32">
        <f t="shared" si="89"/>
        <v>0.80563658408767735</v>
      </c>
      <c r="AF436" s="40"/>
    </row>
    <row r="437" spans="1:32" customFormat="1" ht="14.25" hidden="1" customHeight="1" x14ac:dyDescent="0.35">
      <c r="A437" s="30">
        <f t="shared" si="81"/>
        <v>99</v>
      </c>
      <c r="B437">
        <v>2202</v>
      </c>
      <c r="C437">
        <v>1</v>
      </c>
      <c r="D437">
        <v>3</v>
      </c>
      <c r="E437">
        <v>1</v>
      </c>
      <c r="F437">
        <v>3</v>
      </c>
      <c r="G437">
        <v>4</v>
      </c>
      <c r="H437">
        <v>2</v>
      </c>
      <c r="I437">
        <v>3</v>
      </c>
      <c r="J437">
        <v>2</v>
      </c>
      <c r="L437">
        <v>3</v>
      </c>
      <c r="M437">
        <v>4</v>
      </c>
      <c r="N437">
        <v>21</v>
      </c>
      <c r="O437">
        <v>5</v>
      </c>
      <c r="P437">
        <v>6</v>
      </c>
      <c r="Q437">
        <v>2</v>
      </c>
      <c r="R437">
        <v>1</v>
      </c>
      <c r="S437">
        <v>3</v>
      </c>
      <c r="T437" s="3">
        <f t="shared" si="82"/>
        <v>-1.6240390856699161</v>
      </c>
      <c r="U437" s="32">
        <f t="shared" si="83"/>
        <v>-2.758213894687894</v>
      </c>
      <c r="V437" s="32">
        <f t="shared" si="84"/>
        <v>-0.51458870665983425</v>
      </c>
      <c r="W437" s="32">
        <f t="shared" si="85"/>
        <v>-2.8088805663860001</v>
      </c>
      <c r="X437" s="32">
        <f t="shared" si="86"/>
        <v>-0.61891576076406762</v>
      </c>
      <c r="Y437" s="32">
        <f t="shared" si="87"/>
        <v>-1.6649456898696466</v>
      </c>
      <c r="Z437" s="32">
        <f t="shared" si="88"/>
        <v>-1.9997936419475117</v>
      </c>
      <c r="AA437" s="32">
        <f t="shared" si="89"/>
        <v>-1.002935339374456</v>
      </c>
      <c r="AF437" s="40"/>
    </row>
    <row r="438" spans="1:32" customFormat="1" ht="14.25" hidden="1" customHeight="1" x14ac:dyDescent="0.35">
      <c r="A438" s="30">
        <f t="shared" si="81"/>
        <v>99</v>
      </c>
      <c r="B438">
        <v>2225</v>
      </c>
      <c r="C438">
        <v>3</v>
      </c>
      <c r="D438">
        <v>4</v>
      </c>
      <c r="E438">
        <v>4</v>
      </c>
      <c r="F438">
        <v>3</v>
      </c>
      <c r="G438">
        <v>1</v>
      </c>
      <c r="H438">
        <v>3</v>
      </c>
      <c r="I438">
        <v>3</v>
      </c>
      <c r="J438">
        <v>2</v>
      </c>
      <c r="L438">
        <v>2</v>
      </c>
      <c r="M438">
        <v>3</v>
      </c>
      <c r="N438">
        <v>2</v>
      </c>
      <c r="O438">
        <v>6</v>
      </c>
      <c r="P438">
        <v>6</v>
      </c>
      <c r="Q438">
        <v>2</v>
      </c>
      <c r="R438">
        <v>3</v>
      </c>
      <c r="S438">
        <v>3</v>
      </c>
      <c r="T438" s="3">
        <f t="shared" si="82"/>
        <v>-0.59463832006495232</v>
      </c>
      <c r="U438" s="32">
        <f t="shared" si="83"/>
        <v>-0.95700561253682881</v>
      </c>
      <c r="V438" s="32">
        <f t="shared" si="84"/>
        <v>-1.2927857385104427</v>
      </c>
      <c r="W438" s="32">
        <f t="shared" si="85"/>
        <v>-9.6984149849158471E-2</v>
      </c>
      <c r="X438" s="32">
        <f t="shared" si="86"/>
        <v>-0.61891576076406762</v>
      </c>
      <c r="Y438" s="32">
        <f t="shared" si="87"/>
        <v>0.86866731645372852</v>
      </c>
      <c r="Z438" s="32">
        <f t="shared" si="88"/>
        <v>-1.0625089558734409</v>
      </c>
      <c r="AA438" s="32">
        <f t="shared" si="89"/>
        <v>-1.002935339374456</v>
      </c>
      <c r="AF438" s="40"/>
    </row>
    <row r="439" spans="1:32" customFormat="1" ht="14.25" hidden="1" customHeight="1" x14ac:dyDescent="0.35">
      <c r="A439" s="30">
        <f t="shared" si="81"/>
        <v>99</v>
      </c>
      <c r="B439">
        <v>2230</v>
      </c>
      <c r="C439">
        <v>3</v>
      </c>
      <c r="D439">
        <v>3</v>
      </c>
      <c r="E439">
        <v>4</v>
      </c>
      <c r="F439">
        <v>3</v>
      </c>
      <c r="G439">
        <v>2</v>
      </c>
      <c r="H439">
        <v>3</v>
      </c>
      <c r="I439">
        <v>3</v>
      </c>
      <c r="J439">
        <v>1</v>
      </c>
      <c r="L439">
        <v>2</v>
      </c>
      <c r="M439">
        <v>2</v>
      </c>
      <c r="N439">
        <v>7</v>
      </c>
      <c r="O439">
        <v>6</v>
      </c>
      <c r="P439">
        <v>6</v>
      </c>
      <c r="Q439">
        <v>3</v>
      </c>
      <c r="R439">
        <v>3</v>
      </c>
      <c r="S439">
        <v>3</v>
      </c>
      <c r="T439" s="3">
        <f t="shared" si="82"/>
        <v>-0.60411555391121652</v>
      </c>
      <c r="U439" s="32">
        <f t="shared" si="83"/>
        <v>-0.95700561253682881</v>
      </c>
      <c r="V439" s="32">
        <f t="shared" si="84"/>
        <v>-0.51458870665983425</v>
      </c>
      <c r="W439" s="32">
        <f t="shared" si="85"/>
        <v>-9.6984149849158471E-2</v>
      </c>
      <c r="X439" s="32">
        <f t="shared" si="86"/>
        <v>-0.61891576076406762</v>
      </c>
      <c r="Y439" s="32">
        <f t="shared" si="87"/>
        <v>2.4129647679270151E-2</v>
      </c>
      <c r="Z439" s="32">
        <f t="shared" si="88"/>
        <v>-1.0625089558734409</v>
      </c>
      <c r="AA439" s="32">
        <f t="shared" si="89"/>
        <v>-1.002935339374456</v>
      </c>
      <c r="AF439" s="40"/>
    </row>
    <row r="440" spans="1:32" customFormat="1" ht="14.25" hidden="1" customHeight="1" x14ac:dyDescent="0.35">
      <c r="A440" s="30">
        <f t="shared" si="81"/>
        <v>99</v>
      </c>
      <c r="B440">
        <v>2234</v>
      </c>
      <c r="C440">
        <v>2</v>
      </c>
      <c r="D440">
        <v>3</v>
      </c>
      <c r="E440">
        <v>4</v>
      </c>
      <c r="F440">
        <v>3</v>
      </c>
      <c r="G440">
        <v>2</v>
      </c>
      <c r="H440">
        <v>2</v>
      </c>
      <c r="I440">
        <v>3</v>
      </c>
      <c r="J440">
        <v>2</v>
      </c>
      <c r="K440">
        <v>1</v>
      </c>
      <c r="O440">
        <v>6</v>
      </c>
      <c r="P440">
        <v>4</v>
      </c>
      <c r="Q440">
        <v>1</v>
      </c>
      <c r="R440">
        <v>2</v>
      </c>
      <c r="S440">
        <v>3</v>
      </c>
      <c r="T440" s="3">
        <f t="shared" si="82"/>
        <v>-0.86667110064687414</v>
      </c>
      <c r="U440" s="32">
        <f t="shared" si="83"/>
        <v>-1.8576097536123615</v>
      </c>
      <c r="V440" s="32">
        <f t="shared" si="84"/>
        <v>-0.51458870665983425</v>
      </c>
      <c r="W440" s="32">
        <f t="shared" si="85"/>
        <v>-9.6984149849158471E-2</v>
      </c>
      <c r="X440" s="32">
        <f t="shared" si="86"/>
        <v>-0.61891576076406762</v>
      </c>
      <c r="Y440" s="32">
        <f t="shared" si="87"/>
        <v>2.4129647679270151E-2</v>
      </c>
      <c r="Z440" s="32">
        <f t="shared" si="88"/>
        <v>-1.9997936419475117</v>
      </c>
      <c r="AA440" s="32">
        <f t="shared" si="89"/>
        <v>-1.002935339374456</v>
      </c>
      <c r="AF440" s="40"/>
    </row>
    <row r="441" spans="1:32" customFormat="1" ht="14.25" hidden="1" customHeight="1" x14ac:dyDescent="0.35">
      <c r="A441" s="30">
        <f t="shared" si="81"/>
        <v>99</v>
      </c>
      <c r="B441">
        <v>2239</v>
      </c>
      <c r="C441">
        <v>3</v>
      </c>
      <c r="D441">
        <v>3</v>
      </c>
      <c r="E441">
        <v>4</v>
      </c>
      <c r="F441">
        <v>4</v>
      </c>
      <c r="G441">
        <v>2</v>
      </c>
      <c r="H441">
        <v>2</v>
      </c>
      <c r="I441">
        <v>5</v>
      </c>
      <c r="J441">
        <v>2</v>
      </c>
      <c r="L441">
        <v>2</v>
      </c>
      <c r="M441">
        <v>3</v>
      </c>
      <c r="N441">
        <v>0</v>
      </c>
      <c r="O441">
        <v>6</v>
      </c>
      <c r="P441">
        <v>6</v>
      </c>
      <c r="Q441">
        <v>3</v>
      </c>
      <c r="R441">
        <v>3</v>
      </c>
      <c r="S441">
        <v>2</v>
      </c>
      <c r="T441" s="3">
        <f t="shared" si="82"/>
        <v>-0.598899861212421</v>
      </c>
      <c r="U441" s="32">
        <f t="shared" si="83"/>
        <v>-0.95700561253682881</v>
      </c>
      <c r="V441" s="32">
        <f t="shared" si="84"/>
        <v>-0.51458870665983425</v>
      </c>
      <c r="W441" s="32">
        <f t="shared" si="85"/>
        <v>-9.6984149849158471E-2</v>
      </c>
      <c r="X441" s="32">
        <f t="shared" si="86"/>
        <v>-1.453693149260562</v>
      </c>
      <c r="Y441" s="32">
        <f t="shared" si="87"/>
        <v>2.4129647679270151E-2</v>
      </c>
      <c r="Z441" s="32">
        <f t="shared" si="88"/>
        <v>-1.9997936419475117</v>
      </c>
      <c r="AA441" s="32">
        <f t="shared" si="89"/>
        <v>0.80563658408767735</v>
      </c>
      <c r="AF441" s="40"/>
    </row>
    <row r="442" spans="1:32" customFormat="1" ht="14.25" hidden="1" customHeight="1" x14ac:dyDescent="0.35">
      <c r="A442" s="30">
        <f t="shared" si="81"/>
        <v>99</v>
      </c>
      <c r="B442">
        <v>2245</v>
      </c>
      <c r="C442">
        <v>4</v>
      </c>
      <c r="D442">
        <v>3</v>
      </c>
      <c r="E442">
        <v>5</v>
      </c>
      <c r="F442">
        <v>2</v>
      </c>
      <c r="G442">
        <v>1</v>
      </c>
      <c r="H442">
        <v>4</v>
      </c>
      <c r="I442">
        <v>5</v>
      </c>
      <c r="J442">
        <v>1</v>
      </c>
      <c r="K442">
        <v>2</v>
      </c>
      <c r="L442">
        <v>1</v>
      </c>
      <c r="O442">
        <v>6</v>
      </c>
      <c r="P442">
        <v>4</v>
      </c>
      <c r="Q442">
        <v>2</v>
      </c>
      <c r="R442">
        <v>3</v>
      </c>
      <c r="S442">
        <v>2</v>
      </c>
      <c r="T442" s="3">
        <f t="shared" si="82"/>
        <v>0.28584748609758875</v>
      </c>
      <c r="U442" s="32">
        <f t="shared" si="83"/>
        <v>-5.6401471461296142E-2</v>
      </c>
      <c r="V442" s="32">
        <f t="shared" si="84"/>
        <v>-0.51458870665983425</v>
      </c>
      <c r="W442" s="32">
        <f t="shared" si="85"/>
        <v>0.80698132232978881</v>
      </c>
      <c r="X442" s="32">
        <f t="shared" si="86"/>
        <v>0.21586162773242673</v>
      </c>
      <c r="Y442" s="32">
        <f t="shared" si="87"/>
        <v>0.86866731645372852</v>
      </c>
      <c r="Z442" s="32">
        <f t="shared" si="88"/>
        <v>-0.12522426979936985</v>
      </c>
      <c r="AA442" s="32">
        <f t="shared" si="89"/>
        <v>0.80563658408767735</v>
      </c>
      <c r="AF442" s="40"/>
    </row>
    <row r="443" spans="1:32" customFormat="1" ht="14.25" hidden="1" customHeight="1" x14ac:dyDescent="0.35">
      <c r="A443" s="30">
        <f t="shared" si="81"/>
        <v>99</v>
      </c>
      <c r="B443">
        <v>2256</v>
      </c>
      <c r="C443">
        <v>1</v>
      </c>
      <c r="D443">
        <v>5</v>
      </c>
      <c r="E443">
        <v>1</v>
      </c>
      <c r="F443">
        <v>5</v>
      </c>
      <c r="G443">
        <v>3</v>
      </c>
      <c r="H443">
        <v>1</v>
      </c>
      <c r="I443">
        <v>1</v>
      </c>
      <c r="J443">
        <v>1</v>
      </c>
      <c r="L443">
        <v>2</v>
      </c>
      <c r="O443">
        <v>6</v>
      </c>
      <c r="P443">
        <v>3</v>
      </c>
      <c r="Q443">
        <v>1</v>
      </c>
      <c r="R443">
        <v>2</v>
      </c>
      <c r="S443">
        <v>4</v>
      </c>
      <c r="T443" s="3">
        <f t="shared" si="82"/>
        <v>-2.3565059115921945</v>
      </c>
      <c r="U443" s="32">
        <f t="shared" si="83"/>
        <v>-2.758213894687894</v>
      </c>
      <c r="V443" s="32">
        <f t="shared" si="84"/>
        <v>-2.0709827703610508</v>
      </c>
      <c r="W443" s="32">
        <f t="shared" si="85"/>
        <v>-2.8088805663860001</v>
      </c>
      <c r="X443" s="32">
        <f t="shared" si="86"/>
        <v>-2.2884705377570564</v>
      </c>
      <c r="Y443" s="32">
        <f t="shared" si="87"/>
        <v>-0.82040802109518818</v>
      </c>
      <c r="Z443" s="32">
        <f t="shared" si="88"/>
        <v>-2.9370783280215829</v>
      </c>
      <c r="AA443" s="32">
        <f t="shared" si="89"/>
        <v>-2.8115072628365891</v>
      </c>
      <c r="AF443" s="40"/>
    </row>
    <row r="444" spans="1:32" customFormat="1" ht="14.25" hidden="1" customHeight="1" x14ac:dyDescent="0.35">
      <c r="A444" s="30">
        <f t="shared" si="81"/>
        <v>99</v>
      </c>
      <c r="B444">
        <v>2260</v>
      </c>
      <c r="C444">
        <v>5</v>
      </c>
      <c r="D444">
        <v>1</v>
      </c>
      <c r="E444">
        <v>5</v>
      </c>
      <c r="F444">
        <v>1</v>
      </c>
      <c r="G444">
        <v>1</v>
      </c>
      <c r="H444">
        <v>5</v>
      </c>
      <c r="I444">
        <v>5</v>
      </c>
      <c r="J444">
        <v>3</v>
      </c>
      <c r="L444">
        <v>4</v>
      </c>
      <c r="M444">
        <v>4</v>
      </c>
      <c r="N444">
        <v>15</v>
      </c>
      <c r="O444">
        <v>6</v>
      </c>
      <c r="P444">
        <v>3</v>
      </c>
      <c r="Q444">
        <v>1</v>
      </c>
      <c r="R444">
        <v>4</v>
      </c>
      <c r="S444">
        <v>1</v>
      </c>
      <c r="T444" s="3">
        <f t="shared" si="82"/>
        <v>0.88999895457577671</v>
      </c>
      <c r="U444" s="32">
        <f t="shared" si="83"/>
        <v>0.84420266961423651</v>
      </c>
      <c r="V444" s="32">
        <f t="shared" si="84"/>
        <v>1.0418053570413823</v>
      </c>
      <c r="W444" s="32">
        <f t="shared" si="85"/>
        <v>0.80698132232978881</v>
      </c>
      <c r="X444" s="32">
        <f t="shared" si="86"/>
        <v>1.0506390162289212</v>
      </c>
      <c r="Y444" s="32">
        <f t="shared" si="87"/>
        <v>0.86866731645372852</v>
      </c>
      <c r="Z444" s="32">
        <f t="shared" si="88"/>
        <v>0.81206041627470116</v>
      </c>
      <c r="AA444" s="32">
        <f t="shared" si="89"/>
        <v>0.80563658408767735</v>
      </c>
      <c r="AF444" s="40"/>
    </row>
    <row r="445" spans="1:32" customFormat="1" ht="14.25" hidden="1" customHeight="1" x14ac:dyDescent="0.35">
      <c r="A445" s="30">
        <f t="shared" si="81"/>
        <v>99</v>
      </c>
      <c r="B445">
        <v>2287</v>
      </c>
      <c r="C445">
        <v>4</v>
      </c>
      <c r="D445">
        <v>3</v>
      </c>
      <c r="E445">
        <v>2</v>
      </c>
      <c r="F445">
        <v>2</v>
      </c>
      <c r="G445">
        <v>3</v>
      </c>
      <c r="H445">
        <v>2</v>
      </c>
      <c r="I445">
        <v>2</v>
      </c>
      <c r="J445">
        <v>2</v>
      </c>
      <c r="L445">
        <v>1</v>
      </c>
      <c r="M445">
        <v>3</v>
      </c>
      <c r="N445">
        <v>5</v>
      </c>
      <c r="O445">
        <v>6</v>
      </c>
      <c r="P445">
        <v>4</v>
      </c>
      <c r="Q445">
        <v>2</v>
      </c>
      <c r="R445">
        <v>2</v>
      </c>
      <c r="S445">
        <v>2</v>
      </c>
      <c r="T445" s="3">
        <f t="shared" si="82"/>
        <v>-0.99820951553485415</v>
      </c>
      <c r="U445" s="32">
        <f t="shared" si="83"/>
        <v>-5.6401471461296142E-2</v>
      </c>
      <c r="V445" s="32">
        <f t="shared" si="84"/>
        <v>-0.51458870665983425</v>
      </c>
      <c r="W445" s="32">
        <f t="shared" si="85"/>
        <v>-1.904915094207053</v>
      </c>
      <c r="X445" s="32">
        <f t="shared" si="86"/>
        <v>0.21586162773242673</v>
      </c>
      <c r="Y445" s="32">
        <f t="shared" si="87"/>
        <v>-0.82040802109518818</v>
      </c>
      <c r="Z445" s="32">
        <f t="shared" si="88"/>
        <v>-1.9997936419475117</v>
      </c>
      <c r="AA445" s="32">
        <f t="shared" si="89"/>
        <v>-1.9072213011055226</v>
      </c>
      <c r="AF445" s="40"/>
    </row>
    <row r="446" spans="1:32" customFormat="1" ht="14.25" hidden="1" customHeight="1" x14ac:dyDescent="0.35">
      <c r="A446" s="30">
        <f t="shared" si="81"/>
        <v>99</v>
      </c>
      <c r="B446">
        <v>2291</v>
      </c>
      <c r="C446">
        <v>5</v>
      </c>
      <c r="D446">
        <v>3</v>
      </c>
      <c r="E446">
        <v>3</v>
      </c>
      <c r="F446">
        <v>3</v>
      </c>
      <c r="G446">
        <v>1</v>
      </c>
      <c r="H446">
        <v>3</v>
      </c>
      <c r="I446">
        <v>5</v>
      </c>
      <c r="J446">
        <v>1</v>
      </c>
      <c r="L446">
        <v>1</v>
      </c>
      <c r="M446">
        <v>1</v>
      </c>
      <c r="N446">
        <v>0</v>
      </c>
      <c r="O446">
        <v>6</v>
      </c>
      <c r="P446">
        <v>6</v>
      </c>
      <c r="Q446">
        <v>1</v>
      </c>
      <c r="R446">
        <v>3</v>
      </c>
      <c r="S446">
        <v>3</v>
      </c>
      <c r="T446" s="3">
        <f t="shared" si="82"/>
        <v>-9.6922353595686586E-2</v>
      </c>
      <c r="U446" s="32">
        <f t="shared" si="83"/>
        <v>0.84420266961423651</v>
      </c>
      <c r="V446" s="32">
        <f t="shared" si="84"/>
        <v>-0.51458870665983425</v>
      </c>
      <c r="W446" s="32">
        <f t="shared" si="85"/>
        <v>-1.0009496220281058</v>
      </c>
      <c r="X446" s="32">
        <f t="shared" si="86"/>
        <v>-0.61891576076406762</v>
      </c>
      <c r="Y446" s="32">
        <f t="shared" si="87"/>
        <v>0.86866731645372852</v>
      </c>
      <c r="Z446" s="32">
        <f t="shared" si="88"/>
        <v>-1.0625089558734409</v>
      </c>
      <c r="AA446" s="32">
        <f t="shared" si="89"/>
        <v>0.80563658408767735</v>
      </c>
      <c r="AF446" s="40"/>
    </row>
    <row r="447" spans="1:32" customFormat="1" ht="14.25" hidden="1" customHeight="1" x14ac:dyDescent="0.35">
      <c r="A447" s="30">
        <f t="shared" si="81"/>
        <v>99</v>
      </c>
      <c r="B447">
        <v>2297</v>
      </c>
      <c r="C447">
        <v>3</v>
      </c>
      <c r="D447">
        <v>3</v>
      </c>
      <c r="E447">
        <v>2</v>
      </c>
      <c r="F447">
        <v>4</v>
      </c>
      <c r="G447">
        <v>3</v>
      </c>
      <c r="H447">
        <v>2</v>
      </c>
      <c r="I447">
        <v>2</v>
      </c>
      <c r="J447">
        <v>2</v>
      </c>
      <c r="L447">
        <v>2</v>
      </c>
      <c r="M447">
        <v>2</v>
      </c>
      <c r="N447">
        <v>0</v>
      </c>
      <c r="O447">
        <v>6</v>
      </c>
      <c r="P447">
        <v>5</v>
      </c>
      <c r="Q447">
        <v>3</v>
      </c>
      <c r="R447">
        <v>3</v>
      </c>
      <c r="S447">
        <v>3</v>
      </c>
      <c r="T447" s="3">
        <f t="shared" si="82"/>
        <v>-1.3653750752589286</v>
      </c>
      <c r="U447" s="32">
        <f t="shared" si="83"/>
        <v>-0.95700561253682881</v>
      </c>
      <c r="V447" s="32">
        <f t="shared" si="84"/>
        <v>-0.51458870665983425</v>
      </c>
      <c r="W447" s="32">
        <f t="shared" si="85"/>
        <v>-1.904915094207053</v>
      </c>
      <c r="X447" s="32">
        <f t="shared" si="86"/>
        <v>-1.453693149260562</v>
      </c>
      <c r="Y447" s="32">
        <f t="shared" si="87"/>
        <v>-0.82040802109518818</v>
      </c>
      <c r="Z447" s="32">
        <f t="shared" si="88"/>
        <v>-1.9997936419475117</v>
      </c>
      <c r="AA447" s="32">
        <f t="shared" si="89"/>
        <v>-1.9072213011055226</v>
      </c>
      <c r="AF447" s="40"/>
    </row>
    <row r="448" spans="1:32" customFormat="1" ht="14.25" hidden="1" customHeight="1" x14ac:dyDescent="0.35">
      <c r="A448" s="30">
        <f t="shared" si="81"/>
        <v>99</v>
      </c>
      <c r="B448">
        <v>2303</v>
      </c>
      <c r="C448">
        <v>5</v>
      </c>
      <c r="D448">
        <v>1</v>
      </c>
      <c r="E448">
        <v>5</v>
      </c>
      <c r="F448">
        <v>1</v>
      </c>
      <c r="G448">
        <v>1</v>
      </c>
      <c r="H448">
        <v>5</v>
      </c>
      <c r="I448">
        <v>5</v>
      </c>
      <c r="J448">
        <v>1</v>
      </c>
      <c r="O448">
        <v>6</v>
      </c>
      <c r="P448">
        <v>4</v>
      </c>
      <c r="Q448">
        <v>1</v>
      </c>
      <c r="R448">
        <v>5</v>
      </c>
      <c r="S448">
        <v>1</v>
      </c>
      <c r="T448" s="3">
        <f t="shared" si="82"/>
        <v>0.88999895457577671</v>
      </c>
      <c r="U448" s="32">
        <f t="shared" si="83"/>
        <v>0.84420266961423651</v>
      </c>
      <c r="V448" s="32">
        <f t="shared" si="84"/>
        <v>1.0418053570413823</v>
      </c>
      <c r="W448" s="32">
        <f t="shared" si="85"/>
        <v>0.80698132232978881</v>
      </c>
      <c r="X448" s="32">
        <f t="shared" si="86"/>
        <v>1.0506390162289212</v>
      </c>
      <c r="Y448" s="32">
        <f t="shared" si="87"/>
        <v>0.86866731645372852</v>
      </c>
      <c r="Z448" s="32">
        <f t="shared" si="88"/>
        <v>0.81206041627470116</v>
      </c>
      <c r="AA448" s="32">
        <f t="shared" si="89"/>
        <v>0.80563658408767735</v>
      </c>
      <c r="AF448" s="40"/>
    </row>
    <row r="449" spans="1:32" customFormat="1" ht="14.25" hidden="1" customHeight="1" x14ac:dyDescent="0.35">
      <c r="A449" s="30">
        <f t="shared" si="81"/>
        <v>99</v>
      </c>
      <c r="B449">
        <v>2313</v>
      </c>
      <c r="C449">
        <v>4</v>
      </c>
      <c r="D449">
        <v>2</v>
      </c>
      <c r="E449">
        <v>4</v>
      </c>
      <c r="F449">
        <v>2</v>
      </c>
      <c r="G449">
        <v>2</v>
      </c>
      <c r="H449">
        <v>5</v>
      </c>
      <c r="I449">
        <v>5</v>
      </c>
      <c r="J449">
        <v>2</v>
      </c>
      <c r="L449">
        <v>3</v>
      </c>
      <c r="M449">
        <v>1</v>
      </c>
      <c r="N449">
        <v>0</v>
      </c>
      <c r="O449">
        <v>6</v>
      </c>
      <c r="P449">
        <v>4</v>
      </c>
      <c r="Q449">
        <v>2</v>
      </c>
      <c r="R449">
        <v>2</v>
      </c>
      <c r="S449">
        <v>2</v>
      </c>
      <c r="T449" s="3">
        <f t="shared" si="82"/>
        <v>0.2811301399506278</v>
      </c>
      <c r="U449" s="32">
        <f t="shared" si="83"/>
        <v>-5.6401471461296142E-2</v>
      </c>
      <c r="V449" s="32">
        <f t="shared" si="84"/>
        <v>0.26360832519077404</v>
      </c>
      <c r="W449" s="32">
        <f t="shared" si="85"/>
        <v>-9.6984149849158471E-2</v>
      </c>
      <c r="X449" s="32">
        <f t="shared" si="86"/>
        <v>0.21586162773242673</v>
      </c>
      <c r="Y449" s="32">
        <f t="shared" si="87"/>
        <v>2.4129647679270151E-2</v>
      </c>
      <c r="Z449" s="32">
        <f t="shared" si="88"/>
        <v>0.81206041627470116</v>
      </c>
      <c r="AA449" s="32">
        <f t="shared" si="89"/>
        <v>0.80563658408767735</v>
      </c>
      <c r="AF449" s="40"/>
    </row>
    <row r="450" spans="1:32" customFormat="1" ht="14.25" hidden="1" customHeight="1" x14ac:dyDescent="0.35">
      <c r="A450" s="30">
        <f t="shared" si="81"/>
        <v>99</v>
      </c>
      <c r="B450">
        <v>2318</v>
      </c>
      <c r="C450">
        <v>3</v>
      </c>
      <c r="D450">
        <v>3</v>
      </c>
      <c r="E450">
        <v>4</v>
      </c>
      <c r="F450">
        <v>2</v>
      </c>
      <c r="G450">
        <v>2</v>
      </c>
      <c r="H450">
        <v>3</v>
      </c>
      <c r="I450">
        <v>3</v>
      </c>
      <c r="J450">
        <v>2</v>
      </c>
      <c r="K450">
        <v>2</v>
      </c>
      <c r="O450">
        <v>6</v>
      </c>
      <c r="P450">
        <v>4</v>
      </c>
      <c r="Q450">
        <v>2</v>
      </c>
      <c r="R450">
        <v>2</v>
      </c>
      <c r="S450">
        <v>4</v>
      </c>
      <c r="T450" s="3">
        <f t="shared" si="82"/>
        <v>-0.48486164126886022</v>
      </c>
      <c r="U450" s="32">
        <f t="shared" si="83"/>
        <v>-0.95700561253682881</v>
      </c>
      <c r="V450" s="32">
        <f t="shared" si="84"/>
        <v>-0.51458870665983425</v>
      </c>
      <c r="W450" s="32">
        <f t="shared" si="85"/>
        <v>-9.6984149849158471E-2</v>
      </c>
      <c r="X450" s="32">
        <f t="shared" si="86"/>
        <v>0.21586162773242673</v>
      </c>
      <c r="Y450" s="32">
        <f t="shared" si="87"/>
        <v>2.4129647679270151E-2</v>
      </c>
      <c r="Z450" s="32">
        <f t="shared" si="88"/>
        <v>-1.0625089558734409</v>
      </c>
      <c r="AA450" s="32">
        <f t="shared" si="89"/>
        <v>-1.002935339374456</v>
      </c>
      <c r="AF450" s="40"/>
    </row>
    <row r="451" spans="1:32" customFormat="1" ht="14.25" hidden="1" customHeight="1" x14ac:dyDescent="0.35">
      <c r="A451" s="30">
        <f t="shared" si="81"/>
        <v>99</v>
      </c>
      <c r="B451">
        <v>2323</v>
      </c>
      <c r="C451">
        <v>3</v>
      </c>
      <c r="D451">
        <v>3</v>
      </c>
      <c r="E451">
        <v>5</v>
      </c>
      <c r="F451">
        <v>4</v>
      </c>
      <c r="G451">
        <v>4</v>
      </c>
      <c r="H451">
        <v>2</v>
      </c>
      <c r="I451">
        <v>3</v>
      </c>
      <c r="J451">
        <v>2</v>
      </c>
      <c r="L451">
        <v>2</v>
      </c>
      <c r="M451">
        <v>2</v>
      </c>
      <c r="N451">
        <v>3</v>
      </c>
      <c r="O451">
        <v>6</v>
      </c>
      <c r="P451">
        <v>4</v>
      </c>
      <c r="Q451">
        <v>2</v>
      </c>
      <c r="R451">
        <v>3</v>
      </c>
      <c r="S451">
        <v>2</v>
      </c>
      <c r="T451" s="3">
        <f t="shared" si="82"/>
        <v>-0.96942583104557856</v>
      </c>
      <c r="U451" s="32">
        <f t="shared" si="83"/>
        <v>-0.95700561253682881</v>
      </c>
      <c r="V451" s="32">
        <f t="shared" si="84"/>
        <v>-0.51458870665983425</v>
      </c>
      <c r="W451" s="32">
        <f t="shared" si="85"/>
        <v>0.80698132232978881</v>
      </c>
      <c r="X451" s="32">
        <f t="shared" si="86"/>
        <v>-1.453693149260562</v>
      </c>
      <c r="Y451" s="32">
        <f t="shared" si="87"/>
        <v>-1.6649456898696466</v>
      </c>
      <c r="Z451" s="32">
        <f t="shared" si="88"/>
        <v>-1.9997936419475117</v>
      </c>
      <c r="AA451" s="32">
        <f t="shared" si="89"/>
        <v>-1.002935339374456</v>
      </c>
      <c r="AF451" s="40"/>
    </row>
    <row r="452" spans="1:32" customFormat="1" ht="14.25" hidden="1" customHeight="1" x14ac:dyDescent="0.35">
      <c r="A452" s="30">
        <f t="shared" si="81"/>
        <v>99</v>
      </c>
      <c r="B452">
        <v>2348</v>
      </c>
      <c r="C452">
        <v>4</v>
      </c>
      <c r="D452">
        <v>2</v>
      </c>
      <c r="E452">
        <v>3</v>
      </c>
      <c r="F452">
        <v>4</v>
      </c>
      <c r="G452">
        <v>3</v>
      </c>
      <c r="H452">
        <v>4</v>
      </c>
      <c r="I452">
        <v>4</v>
      </c>
      <c r="J452">
        <v>2</v>
      </c>
      <c r="K452">
        <v>2</v>
      </c>
      <c r="O452">
        <v>6</v>
      </c>
      <c r="P452">
        <v>6</v>
      </c>
      <c r="Q452">
        <v>4</v>
      </c>
      <c r="R452">
        <v>2</v>
      </c>
      <c r="S452">
        <v>4</v>
      </c>
      <c r="T452" s="3">
        <f t="shared" si="82"/>
        <v>-0.47024536944244816</v>
      </c>
      <c r="U452" s="32">
        <f t="shared" si="83"/>
        <v>-5.6401471461296142E-2</v>
      </c>
      <c r="V452" s="32">
        <f t="shared" si="84"/>
        <v>0.26360832519077404</v>
      </c>
      <c r="W452" s="32">
        <f t="shared" si="85"/>
        <v>-1.0009496220281058</v>
      </c>
      <c r="X452" s="32">
        <f t="shared" si="86"/>
        <v>-1.453693149260562</v>
      </c>
      <c r="Y452" s="32">
        <f t="shared" si="87"/>
        <v>-0.82040802109518818</v>
      </c>
      <c r="Z452" s="32">
        <f t="shared" si="88"/>
        <v>-0.12522426979936985</v>
      </c>
      <c r="AA452" s="32">
        <f t="shared" si="89"/>
        <v>-9.8649377643389324E-2</v>
      </c>
      <c r="AF452" s="40"/>
    </row>
    <row r="453" spans="1:32" customFormat="1" ht="14.25" hidden="1" customHeight="1" x14ac:dyDescent="0.35">
      <c r="A453" s="30">
        <f t="shared" si="81"/>
        <v>99</v>
      </c>
      <c r="B453">
        <v>2358</v>
      </c>
      <c r="C453">
        <v>4</v>
      </c>
      <c r="D453">
        <v>2</v>
      </c>
      <c r="E453">
        <v>5</v>
      </c>
      <c r="F453">
        <v>2</v>
      </c>
      <c r="G453">
        <v>2</v>
      </c>
      <c r="H453">
        <v>5</v>
      </c>
      <c r="I453">
        <v>5</v>
      </c>
      <c r="J453">
        <v>1</v>
      </c>
      <c r="L453">
        <v>3</v>
      </c>
      <c r="M453">
        <v>4</v>
      </c>
      <c r="N453">
        <v>7</v>
      </c>
      <c r="O453">
        <v>6</v>
      </c>
      <c r="P453">
        <v>5</v>
      </c>
      <c r="Q453">
        <v>2</v>
      </c>
      <c r="S453">
        <v>2</v>
      </c>
      <c r="T453" s="3">
        <f t="shared" si="82"/>
        <v>0.41026806454762027</v>
      </c>
      <c r="U453" s="32">
        <f t="shared" si="83"/>
        <v>-5.6401471461296142E-2</v>
      </c>
      <c r="V453" s="32">
        <f t="shared" si="84"/>
        <v>0.26360832519077404</v>
      </c>
      <c r="W453" s="32">
        <f t="shared" si="85"/>
        <v>0.80698132232978881</v>
      </c>
      <c r="X453" s="32">
        <f t="shared" si="86"/>
        <v>0.21586162773242673</v>
      </c>
      <c r="Y453" s="32">
        <f t="shared" si="87"/>
        <v>2.4129647679270151E-2</v>
      </c>
      <c r="Z453" s="32">
        <f t="shared" si="88"/>
        <v>0.81206041627470116</v>
      </c>
      <c r="AA453" s="32">
        <f t="shared" si="89"/>
        <v>0.80563658408767735</v>
      </c>
      <c r="AF453" s="40"/>
    </row>
    <row r="454" spans="1:32" customFormat="1" ht="14.25" hidden="1" customHeight="1" x14ac:dyDescent="0.35">
      <c r="A454" s="30">
        <f t="shared" si="81"/>
        <v>99</v>
      </c>
      <c r="B454">
        <v>2380</v>
      </c>
      <c r="C454">
        <v>4</v>
      </c>
      <c r="D454">
        <v>4</v>
      </c>
      <c r="E454">
        <v>5</v>
      </c>
      <c r="F454">
        <v>2</v>
      </c>
      <c r="G454">
        <v>1</v>
      </c>
      <c r="H454">
        <v>1</v>
      </c>
      <c r="I454">
        <v>4</v>
      </c>
      <c r="J454">
        <v>1</v>
      </c>
      <c r="K454">
        <v>1</v>
      </c>
      <c r="L454">
        <v>1</v>
      </c>
      <c r="O454">
        <v>6</v>
      </c>
      <c r="P454">
        <v>6</v>
      </c>
      <c r="Q454">
        <v>1</v>
      </c>
      <c r="R454">
        <v>4</v>
      </c>
      <c r="S454">
        <v>2</v>
      </c>
      <c r="T454" s="3">
        <f t="shared" si="82"/>
        <v>-0.35620066416010954</v>
      </c>
      <c r="U454" s="32">
        <f t="shared" si="83"/>
        <v>-5.6401471461296142E-2</v>
      </c>
      <c r="V454" s="32">
        <f t="shared" si="84"/>
        <v>-1.2927857385104427</v>
      </c>
      <c r="W454" s="32">
        <f t="shared" si="85"/>
        <v>0.80698132232978881</v>
      </c>
      <c r="X454" s="32">
        <f t="shared" si="86"/>
        <v>0.21586162773242673</v>
      </c>
      <c r="Y454" s="32">
        <f t="shared" si="87"/>
        <v>0.86866731645372852</v>
      </c>
      <c r="Z454" s="32">
        <f t="shared" si="88"/>
        <v>-2.9370783280215829</v>
      </c>
      <c r="AA454" s="32">
        <f t="shared" si="89"/>
        <v>-9.8649377643389324E-2</v>
      </c>
      <c r="AF454" s="40"/>
    </row>
    <row r="455" spans="1:32" customFormat="1" ht="14.25" hidden="1" customHeight="1" x14ac:dyDescent="0.35">
      <c r="A455" s="30">
        <f t="shared" si="81"/>
        <v>99</v>
      </c>
      <c r="B455">
        <v>2383</v>
      </c>
      <c r="C455">
        <v>5</v>
      </c>
      <c r="D455">
        <v>1</v>
      </c>
      <c r="E455">
        <v>5</v>
      </c>
      <c r="F455">
        <v>1</v>
      </c>
      <c r="G455">
        <v>1</v>
      </c>
      <c r="H455">
        <v>5</v>
      </c>
      <c r="I455">
        <v>5</v>
      </c>
      <c r="J455">
        <v>2</v>
      </c>
      <c r="L455">
        <v>1</v>
      </c>
      <c r="O455">
        <v>6</v>
      </c>
      <c r="P455">
        <v>6</v>
      </c>
      <c r="Q455">
        <v>2</v>
      </c>
      <c r="R455">
        <v>2</v>
      </c>
      <c r="S455">
        <v>2</v>
      </c>
      <c r="T455" s="3">
        <f t="shared" si="82"/>
        <v>0.88999895457577671</v>
      </c>
      <c r="U455" s="32">
        <f t="shared" si="83"/>
        <v>0.84420266961423651</v>
      </c>
      <c r="V455" s="32">
        <f t="shared" si="84"/>
        <v>1.0418053570413823</v>
      </c>
      <c r="W455" s="32">
        <f t="shared" si="85"/>
        <v>0.80698132232978881</v>
      </c>
      <c r="X455" s="32">
        <f t="shared" si="86"/>
        <v>1.0506390162289212</v>
      </c>
      <c r="Y455" s="32">
        <f t="shared" si="87"/>
        <v>0.86866731645372852</v>
      </c>
      <c r="Z455" s="32">
        <f t="shared" si="88"/>
        <v>0.81206041627470116</v>
      </c>
      <c r="AA455" s="32">
        <f t="shared" si="89"/>
        <v>0.80563658408767735</v>
      </c>
      <c r="AF455" s="40"/>
    </row>
    <row r="456" spans="1:32" customFormat="1" ht="14.25" hidden="1" customHeight="1" x14ac:dyDescent="0.35">
      <c r="A456" s="30">
        <f t="shared" si="81"/>
        <v>99</v>
      </c>
      <c r="B456">
        <v>2392</v>
      </c>
      <c r="C456">
        <v>5</v>
      </c>
      <c r="D456">
        <v>1</v>
      </c>
      <c r="E456">
        <v>4</v>
      </c>
      <c r="F456">
        <v>1</v>
      </c>
      <c r="G456">
        <v>1</v>
      </c>
      <c r="H456">
        <v>5</v>
      </c>
      <c r="I456">
        <v>5</v>
      </c>
      <c r="J456">
        <v>2</v>
      </c>
      <c r="L456">
        <v>1</v>
      </c>
      <c r="M456">
        <v>3</v>
      </c>
      <c r="N456">
        <v>0</v>
      </c>
      <c r="O456">
        <v>6</v>
      </c>
      <c r="P456">
        <v>2</v>
      </c>
      <c r="Q456">
        <v>1</v>
      </c>
      <c r="R456">
        <v>4</v>
      </c>
      <c r="S456">
        <v>2</v>
      </c>
      <c r="T456" s="3">
        <f t="shared" si="82"/>
        <v>0.76086102997878413</v>
      </c>
      <c r="U456" s="32">
        <f t="shared" si="83"/>
        <v>0.84420266961423651</v>
      </c>
      <c r="V456" s="32">
        <f t="shared" si="84"/>
        <v>1.0418053570413823</v>
      </c>
      <c r="W456" s="32">
        <f t="shared" si="85"/>
        <v>-9.6984149849158471E-2</v>
      </c>
      <c r="X456" s="32">
        <f t="shared" si="86"/>
        <v>1.0506390162289212</v>
      </c>
      <c r="Y456" s="32">
        <f t="shared" si="87"/>
        <v>0.86866731645372852</v>
      </c>
      <c r="Z456" s="32">
        <f t="shared" si="88"/>
        <v>0.81206041627470116</v>
      </c>
      <c r="AA456" s="32">
        <f t="shared" si="89"/>
        <v>0.80563658408767735</v>
      </c>
      <c r="AF456" s="40"/>
    </row>
    <row r="457" spans="1:32" customFormat="1" ht="14.25" hidden="1" customHeight="1" x14ac:dyDescent="0.35">
      <c r="A457" s="30">
        <f t="shared" si="81"/>
        <v>99</v>
      </c>
      <c r="B457">
        <v>2398</v>
      </c>
      <c r="C457">
        <v>5</v>
      </c>
      <c r="D457">
        <v>1</v>
      </c>
      <c r="E457">
        <v>5</v>
      </c>
      <c r="F457">
        <v>1</v>
      </c>
      <c r="G457">
        <v>1</v>
      </c>
      <c r="H457">
        <v>5</v>
      </c>
      <c r="I457">
        <v>5</v>
      </c>
      <c r="J457">
        <v>2</v>
      </c>
      <c r="O457">
        <v>6</v>
      </c>
      <c r="P457">
        <v>3</v>
      </c>
      <c r="Q457">
        <v>1</v>
      </c>
      <c r="R457">
        <v>1</v>
      </c>
      <c r="S457">
        <v>1</v>
      </c>
      <c r="T457" s="3">
        <f t="shared" si="82"/>
        <v>0.88999895457577671</v>
      </c>
      <c r="U457" s="32">
        <f t="shared" si="83"/>
        <v>0.84420266961423651</v>
      </c>
      <c r="V457" s="32">
        <f t="shared" si="84"/>
        <v>1.0418053570413823</v>
      </c>
      <c r="W457" s="32">
        <f t="shared" si="85"/>
        <v>0.80698132232978881</v>
      </c>
      <c r="X457" s="32">
        <f t="shared" si="86"/>
        <v>1.0506390162289212</v>
      </c>
      <c r="Y457" s="32">
        <f t="shared" si="87"/>
        <v>0.86866731645372852</v>
      </c>
      <c r="Z457" s="32">
        <f t="shared" si="88"/>
        <v>0.81206041627470116</v>
      </c>
      <c r="AA457" s="32">
        <f t="shared" si="89"/>
        <v>0.80563658408767735</v>
      </c>
      <c r="AF457" s="40"/>
    </row>
    <row r="458" spans="1:32" customFormat="1" ht="14.25" hidden="1" customHeight="1" x14ac:dyDescent="0.35">
      <c r="A458" s="30">
        <f t="shared" si="81"/>
        <v>99</v>
      </c>
      <c r="B458">
        <v>2422</v>
      </c>
      <c r="C458">
        <v>5</v>
      </c>
      <c r="D458">
        <v>1</v>
      </c>
      <c r="E458">
        <v>5</v>
      </c>
      <c r="F458">
        <v>1</v>
      </c>
      <c r="G458">
        <v>1</v>
      </c>
      <c r="H458">
        <v>5</v>
      </c>
      <c r="I458">
        <v>5</v>
      </c>
      <c r="J458">
        <v>3</v>
      </c>
      <c r="O458">
        <v>6</v>
      </c>
      <c r="P458">
        <v>4</v>
      </c>
      <c r="Q458">
        <v>1</v>
      </c>
      <c r="R458">
        <v>3</v>
      </c>
      <c r="S458">
        <v>1</v>
      </c>
      <c r="T458" s="3">
        <f t="shared" si="82"/>
        <v>0.88999895457577671</v>
      </c>
      <c r="U458" s="32">
        <f t="shared" si="83"/>
        <v>0.84420266961423651</v>
      </c>
      <c r="V458" s="32">
        <f t="shared" si="84"/>
        <v>1.0418053570413823</v>
      </c>
      <c r="W458" s="32">
        <f t="shared" si="85"/>
        <v>0.80698132232978881</v>
      </c>
      <c r="X458" s="32">
        <f t="shared" si="86"/>
        <v>1.0506390162289212</v>
      </c>
      <c r="Y458" s="32">
        <f t="shared" si="87"/>
        <v>0.86866731645372852</v>
      </c>
      <c r="Z458" s="32">
        <f t="shared" si="88"/>
        <v>0.81206041627470116</v>
      </c>
      <c r="AA458" s="32">
        <f t="shared" si="89"/>
        <v>0.80563658408767735</v>
      </c>
      <c r="AF458" s="40"/>
    </row>
    <row r="459" spans="1:32" customFormat="1" ht="14.25" hidden="1" customHeight="1" x14ac:dyDescent="0.35">
      <c r="A459" s="30">
        <f t="shared" si="81"/>
        <v>99</v>
      </c>
      <c r="B459">
        <v>2427</v>
      </c>
      <c r="C459">
        <v>5</v>
      </c>
      <c r="D459">
        <v>1</v>
      </c>
      <c r="E459">
        <v>5</v>
      </c>
      <c r="F459">
        <v>1</v>
      </c>
      <c r="G459">
        <v>1</v>
      </c>
      <c r="H459">
        <v>5</v>
      </c>
      <c r="I459">
        <v>5</v>
      </c>
      <c r="J459">
        <v>1</v>
      </c>
      <c r="L459">
        <v>1</v>
      </c>
      <c r="M459">
        <v>4</v>
      </c>
      <c r="N459">
        <v>0</v>
      </c>
      <c r="O459">
        <v>6</v>
      </c>
      <c r="P459">
        <v>3</v>
      </c>
      <c r="Q459">
        <v>1</v>
      </c>
      <c r="R459">
        <v>3</v>
      </c>
      <c r="S459">
        <v>1</v>
      </c>
      <c r="T459" s="3">
        <f t="shared" si="82"/>
        <v>0.88999895457577671</v>
      </c>
      <c r="U459" s="32">
        <f t="shared" si="83"/>
        <v>0.84420266961423651</v>
      </c>
      <c r="V459" s="32">
        <f t="shared" si="84"/>
        <v>1.0418053570413823</v>
      </c>
      <c r="W459" s="32">
        <f t="shared" si="85"/>
        <v>0.80698132232978881</v>
      </c>
      <c r="X459" s="32">
        <f t="shared" si="86"/>
        <v>1.0506390162289212</v>
      </c>
      <c r="Y459" s="32">
        <f t="shared" si="87"/>
        <v>0.86866731645372852</v>
      </c>
      <c r="Z459" s="32">
        <f t="shared" si="88"/>
        <v>0.81206041627470116</v>
      </c>
      <c r="AA459" s="32">
        <f t="shared" si="89"/>
        <v>0.80563658408767735</v>
      </c>
      <c r="AF459" s="40"/>
    </row>
    <row r="460" spans="1:32" customFormat="1" ht="14.25" hidden="1" customHeight="1" x14ac:dyDescent="0.35">
      <c r="A460" s="30">
        <f t="shared" si="81"/>
        <v>99</v>
      </c>
      <c r="B460">
        <v>2431</v>
      </c>
      <c r="C460">
        <v>5</v>
      </c>
      <c r="D460">
        <v>2</v>
      </c>
      <c r="E460">
        <v>5</v>
      </c>
      <c r="F460">
        <v>1</v>
      </c>
      <c r="G460">
        <v>1</v>
      </c>
      <c r="H460">
        <v>5</v>
      </c>
      <c r="I460">
        <v>5</v>
      </c>
      <c r="J460">
        <v>2</v>
      </c>
      <c r="O460">
        <v>6</v>
      </c>
      <c r="P460">
        <v>5</v>
      </c>
      <c r="Q460">
        <v>2</v>
      </c>
      <c r="R460">
        <v>4</v>
      </c>
      <c r="S460">
        <v>3</v>
      </c>
      <c r="T460" s="3">
        <f t="shared" si="82"/>
        <v>0.77882795002568961</v>
      </c>
      <c r="U460" s="32">
        <f t="shared" si="83"/>
        <v>0.84420266961423651</v>
      </c>
      <c r="V460" s="32">
        <f t="shared" si="84"/>
        <v>0.26360832519077404</v>
      </c>
      <c r="W460" s="32">
        <f t="shared" si="85"/>
        <v>0.80698132232978881</v>
      </c>
      <c r="X460" s="32">
        <f t="shared" si="86"/>
        <v>1.0506390162289212</v>
      </c>
      <c r="Y460" s="32">
        <f t="shared" si="87"/>
        <v>0.86866731645372852</v>
      </c>
      <c r="Z460" s="32">
        <f t="shared" si="88"/>
        <v>0.81206041627470116</v>
      </c>
      <c r="AA460" s="32">
        <f t="shared" si="89"/>
        <v>0.80563658408767735</v>
      </c>
      <c r="AF460" s="40"/>
    </row>
    <row r="461" spans="1:32" customFormat="1" ht="14.25" hidden="1" customHeight="1" x14ac:dyDescent="0.35">
      <c r="A461" s="30">
        <f t="shared" si="81"/>
        <v>99</v>
      </c>
      <c r="B461">
        <v>2448</v>
      </c>
      <c r="C461">
        <v>5</v>
      </c>
      <c r="D461">
        <v>1</v>
      </c>
      <c r="E461">
        <v>5</v>
      </c>
      <c r="F461">
        <v>3</v>
      </c>
      <c r="G461">
        <v>1</v>
      </c>
      <c r="H461">
        <v>5</v>
      </c>
      <c r="I461">
        <v>5</v>
      </c>
      <c r="J461">
        <v>1</v>
      </c>
      <c r="L461">
        <v>1</v>
      </c>
      <c r="M461">
        <v>2</v>
      </c>
      <c r="N461">
        <v>0</v>
      </c>
      <c r="O461">
        <v>6</v>
      </c>
      <c r="P461">
        <v>6</v>
      </c>
      <c r="Q461">
        <v>2</v>
      </c>
      <c r="R461">
        <v>4</v>
      </c>
      <c r="S461">
        <v>2</v>
      </c>
      <c r="T461" s="3">
        <f t="shared" si="82"/>
        <v>0.6514911292910639</v>
      </c>
      <c r="U461" s="32">
        <f t="shared" si="83"/>
        <v>0.84420266961423651</v>
      </c>
      <c r="V461" s="32">
        <f t="shared" si="84"/>
        <v>1.0418053570413823</v>
      </c>
      <c r="W461" s="32">
        <f t="shared" si="85"/>
        <v>0.80698132232978881</v>
      </c>
      <c r="X461" s="32">
        <f t="shared" si="86"/>
        <v>-0.61891576076406762</v>
      </c>
      <c r="Y461" s="32">
        <f t="shared" si="87"/>
        <v>0.86866731645372852</v>
      </c>
      <c r="Z461" s="32">
        <f t="shared" si="88"/>
        <v>0.81206041627470116</v>
      </c>
      <c r="AA461" s="32">
        <f t="shared" si="89"/>
        <v>0.80563658408767735</v>
      </c>
      <c r="AF461" s="40"/>
    </row>
    <row r="462" spans="1:32" customFormat="1" ht="14.25" hidden="1" customHeight="1" x14ac:dyDescent="0.35">
      <c r="A462" s="30">
        <f t="shared" si="81"/>
        <v>99</v>
      </c>
      <c r="B462">
        <v>2462</v>
      </c>
      <c r="C462">
        <v>5</v>
      </c>
      <c r="D462">
        <v>1</v>
      </c>
      <c r="E462">
        <v>5</v>
      </c>
      <c r="F462">
        <v>1</v>
      </c>
      <c r="G462">
        <v>1</v>
      </c>
      <c r="H462">
        <v>5</v>
      </c>
      <c r="I462">
        <v>5</v>
      </c>
      <c r="J462">
        <v>1</v>
      </c>
      <c r="K462">
        <v>1</v>
      </c>
      <c r="L462">
        <v>1</v>
      </c>
      <c r="O462">
        <v>6</v>
      </c>
      <c r="P462">
        <v>3</v>
      </c>
      <c r="Q462">
        <v>5</v>
      </c>
      <c r="R462">
        <v>1</v>
      </c>
      <c r="S462">
        <v>2</v>
      </c>
      <c r="T462" s="3">
        <f t="shared" si="82"/>
        <v>0.88999895457577671</v>
      </c>
      <c r="U462" s="32">
        <f t="shared" si="83"/>
        <v>0.84420266961423651</v>
      </c>
      <c r="V462" s="32">
        <f t="shared" si="84"/>
        <v>1.0418053570413823</v>
      </c>
      <c r="W462" s="32">
        <f t="shared" si="85"/>
        <v>0.80698132232978881</v>
      </c>
      <c r="X462" s="32">
        <f t="shared" si="86"/>
        <v>1.0506390162289212</v>
      </c>
      <c r="Y462" s="32">
        <f t="shared" si="87"/>
        <v>0.86866731645372852</v>
      </c>
      <c r="Z462" s="32">
        <f t="shared" si="88"/>
        <v>0.81206041627470116</v>
      </c>
      <c r="AA462" s="32">
        <f t="shared" si="89"/>
        <v>0.80563658408767735</v>
      </c>
      <c r="AF462" s="40"/>
    </row>
    <row r="463" spans="1:32" customFormat="1" ht="14.25" hidden="1" customHeight="1" x14ac:dyDescent="0.35">
      <c r="A463" s="30">
        <f t="shared" si="81"/>
        <v>99</v>
      </c>
      <c r="B463">
        <v>2471</v>
      </c>
      <c r="C463">
        <v>4</v>
      </c>
      <c r="D463">
        <v>4</v>
      </c>
      <c r="E463">
        <v>4</v>
      </c>
      <c r="F463">
        <v>2</v>
      </c>
      <c r="G463">
        <v>2</v>
      </c>
      <c r="H463">
        <v>4</v>
      </c>
      <c r="I463">
        <v>4</v>
      </c>
      <c r="J463">
        <v>2</v>
      </c>
      <c r="K463">
        <v>1</v>
      </c>
      <c r="O463">
        <v>6</v>
      </c>
      <c r="P463">
        <v>4</v>
      </c>
      <c r="Q463">
        <v>2</v>
      </c>
      <c r="R463">
        <v>3</v>
      </c>
      <c r="S463">
        <v>2</v>
      </c>
      <c r="T463" s="3">
        <f t="shared" si="82"/>
        <v>-0.20429339026456564</v>
      </c>
      <c r="U463" s="32">
        <f t="shared" si="83"/>
        <v>-5.6401471461296142E-2</v>
      </c>
      <c r="V463" s="32">
        <f t="shared" si="84"/>
        <v>-1.2927857385104427</v>
      </c>
      <c r="W463" s="32">
        <f t="shared" si="85"/>
        <v>-9.6984149849158471E-2</v>
      </c>
      <c r="X463" s="32">
        <f t="shared" si="86"/>
        <v>0.21586162773242673</v>
      </c>
      <c r="Y463" s="32">
        <f t="shared" si="87"/>
        <v>2.4129647679270151E-2</v>
      </c>
      <c r="Z463" s="32">
        <f t="shared" si="88"/>
        <v>-0.12522426979936985</v>
      </c>
      <c r="AA463" s="32">
        <f t="shared" si="89"/>
        <v>-9.8649377643389324E-2</v>
      </c>
      <c r="AF463" s="40"/>
    </row>
    <row r="464" spans="1:32" customFormat="1" ht="14.25" hidden="1" customHeight="1" x14ac:dyDescent="0.35">
      <c r="A464" s="30">
        <f t="shared" si="81"/>
        <v>99</v>
      </c>
      <c r="B464">
        <v>2489</v>
      </c>
      <c r="C464">
        <v>5</v>
      </c>
      <c r="D464">
        <v>4</v>
      </c>
      <c r="E464">
        <v>5</v>
      </c>
      <c r="F464">
        <v>3</v>
      </c>
      <c r="G464">
        <v>2</v>
      </c>
      <c r="H464">
        <v>5</v>
      </c>
      <c r="I464">
        <v>5</v>
      </c>
      <c r="J464">
        <v>3</v>
      </c>
      <c r="L464">
        <v>2</v>
      </c>
      <c r="M464">
        <v>2</v>
      </c>
      <c r="N464">
        <v>0</v>
      </c>
      <c r="O464">
        <v>5</v>
      </c>
      <c r="P464">
        <v>4</v>
      </c>
      <c r="Q464">
        <v>1</v>
      </c>
      <c r="R464">
        <v>4</v>
      </c>
      <c r="S464">
        <v>2</v>
      </c>
      <c r="T464" s="3">
        <f t="shared" si="82"/>
        <v>0.19732987724445197</v>
      </c>
      <c r="U464" s="32">
        <f t="shared" si="83"/>
        <v>0.84420266961423651</v>
      </c>
      <c r="V464" s="32">
        <f t="shared" si="84"/>
        <v>-1.2927857385104427</v>
      </c>
      <c r="W464" s="32">
        <f t="shared" si="85"/>
        <v>0.80698132232978881</v>
      </c>
      <c r="X464" s="32">
        <f t="shared" si="86"/>
        <v>-0.61891576076406762</v>
      </c>
      <c r="Y464" s="32">
        <f t="shared" si="87"/>
        <v>2.4129647679270151E-2</v>
      </c>
      <c r="Z464" s="32">
        <f t="shared" si="88"/>
        <v>0.81206041627470116</v>
      </c>
      <c r="AA464" s="32">
        <f t="shared" si="89"/>
        <v>0.80563658408767735</v>
      </c>
      <c r="AF464" s="40"/>
    </row>
    <row r="465" spans="1:32" customFormat="1" ht="14.25" hidden="1" customHeight="1" x14ac:dyDescent="0.35">
      <c r="A465" s="30">
        <f t="shared" si="81"/>
        <v>99</v>
      </c>
      <c r="B465">
        <v>2509</v>
      </c>
      <c r="C465">
        <v>4</v>
      </c>
      <c r="D465">
        <v>5</v>
      </c>
      <c r="E465">
        <v>5</v>
      </c>
      <c r="F465">
        <v>4</v>
      </c>
      <c r="G465">
        <v>3</v>
      </c>
      <c r="H465">
        <v>4</v>
      </c>
      <c r="I465">
        <v>4</v>
      </c>
      <c r="J465">
        <v>2</v>
      </c>
      <c r="L465">
        <v>1</v>
      </c>
      <c r="M465">
        <v>4</v>
      </c>
      <c r="N465">
        <v>0</v>
      </c>
      <c r="O465">
        <v>6</v>
      </c>
      <c r="P465">
        <v>6</v>
      </c>
      <c r="Q465">
        <v>3</v>
      </c>
      <c r="R465">
        <v>4</v>
      </c>
      <c r="S465">
        <v>4</v>
      </c>
      <c r="T465" s="3">
        <f t="shared" si="82"/>
        <v>-0.54548253389872392</v>
      </c>
      <c r="U465" s="32">
        <f t="shared" si="83"/>
        <v>-5.6401471461296142E-2</v>
      </c>
      <c r="V465" s="32">
        <f t="shared" si="84"/>
        <v>-2.0709827703610508</v>
      </c>
      <c r="W465" s="32">
        <f t="shared" si="85"/>
        <v>0.80698132232978881</v>
      </c>
      <c r="X465" s="32">
        <f t="shared" si="86"/>
        <v>-1.453693149260562</v>
      </c>
      <c r="Y465" s="32">
        <f t="shared" si="87"/>
        <v>-0.82040802109518818</v>
      </c>
      <c r="Z465" s="32">
        <f t="shared" si="88"/>
        <v>-0.12522426979936985</v>
      </c>
      <c r="AA465" s="32">
        <f t="shared" si="89"/>
        <v>-9.8649377643389324E-2</v>
      </c>
      <c r="AF465" s="40"/>
    </row>
    <row r="466" spans="1:32" customFormat="1" ht="14.25" hidden="1" customHeight="1" x14ac:dyDescent="0.35">
      <c r="A466" s="30">
        <f t="shared" ref="A466:A497" si="90">IF(COUNTBLANK(J466:T466)&gt;0,99,1)</f>
        <v>99</v>
      </c>
      <c r="B466">
        <v>2514</v>
      </c>
      <c r="C466">
        <v>4</v>
      </c>
      <c r="D466">
        <v>1</v>
      </c>
      <c r="E466">
        <v>2</v>
      </c>
      <c r="F466">
        <v>2</v>
      </c>
      <c r="G466">
        <v>2</v>
      </c>
      <c r="H466">
        <v>4</v>
      </c>
      <c r="I466">
        <v>4</v>
      </c>
      <c r="J466">
        <v>2</v>
      </c>
      <c r="K466">
        <v>1</v>
      </c>
      <c r="O466">
        <v>6</v>
      </c>
      <c r="P466">
        <v>6</v>
      </c>
      <c r="Q466">
        <v>2</v>
      </c>
      <c r="R466">
        <v>3</v>
      </c>
      <c r="S466">
        <v>2</v>
      </c>
      <c r="T466" s="3">
        <f t="shared" ref="T466:T497" si="91">AVERAGE(U466:AA466)</f>
        <v>-0.12905622580828985</v>
      </c>
      <c r="U466" s="32">
        <f t="shared" ref="U466:U497" si="92">IF(ISTEXT(C466),"",STANDARDIZE(C466,AVERAGE(C$2:C$497),STDEV(C$2:C$497)))</f>
        <v>-5.6401471461296142E-2</v>
      </c>
      <c r="V466" s="32">
        <f t="shared" ref="V466:V497" si="93">IF(ISTEXT(D466),"",-1*STANDARDIZE(D466,AVERAGE(D$2:D$497),STDEV(D$2:D$497)))</f>
        <v>1.0418053570413823</v>
      </c>
      <c r="W466" s="32">
        <f t="shared" ref="W466:W497" si="94">IF(ISTEXT(E466),"",STANDARDIZE(E466,AVERAGE(E$2:E$497),STDEV(E$2:E$497)))</f>
        <v>-1.904915094207053</v>
      </c>
      <c r="X466" s="32">
        <f t="shared" ref="X466:X497" si="95">IF(ISTEXT(F466),"",-1*STANDARDIZE(F466,AVERAGE(F$2:F$497),STDEV(F$2:F$497)))</f>
        <v>0.21586162773242673</v>
      </c>
      <c r="Y466" s="32">
        <f t="shared" ref="Y466:Y497" si="96">IF(ISTEXT(G466),"",-1*STANDARDIZE(G466,AVERAGE(G$2:G$497),STDEV(G$2:G$497)))</f>
        <v>2.4129647679270151E-2</v>
      </c>
      <c r="Z466" s="32">
        <f t="shared" ref="Z466:Z497" si="97">IF(ISTEXT(H466),"",STANDARDIZE(H466,AVERAGE(H$2:H$497),STDEV(H$2:H$497)))</f>
        <v>-0.12522426979936985</v>
      </c>
      <c r="AA466" s="32">
        <f t="shared" ref="AA466:AA497" si="98">IF(ISTEXT(I466),"",STANDARDIZE(I466,AVERAGE(I$2:I$497),STDEV(I$2:I$497)))</f>
        <v>-9.8649377643389324E-2</v>
      </c>
      <c r="AF466" s="40"/>
    </row>
    <row r="467" spans="1:32" customFormat="1" ht="14.25" hidden="1" customHeight="1" x14ac:dyDescent="0.35">
      <c r="A467" s="30">
        <f t="shared" si="90"/>
        <v>99</v>
      </c>
      <c r="B467">
        <v>2521</v>
      </c>
      <c r="C467">
        <v>3</v>
      </c>
      <c r="D467">
        <v>2</v>
      </c>
      <c r="E467">
        <v>4</v>
      </c>
      <c r="F467">
        <v>2</v>
      </c>
      <c r="G467">
        <v>2</v>
      </c>
      <c r="H467">
        <v>4</v>
      </c>
      <c r="I467">
        <v>4</v>
      </c>
      <c r="J467">
        <v>2</v>
      </c>
      <c r="O467">
        <v>6</v>
      </c>
      <c r="P467">
        <v>6</v>
      </c>
      <c r="Q467">
        <v>2</v>
      </c>
      <c r="R467">
        <v>2</v>
      </c>
      <c r="S467">
        <v>2</v>
      </c>
      <c r="T467" s="3">
        <f t="shared" si="91"/>
        <v>-0.11060911560375365</v>
      </c>
      <c r="U467" s="32">
        <f t="shared" si="92"/>
        <v>-0.95700561253682881</v>
      </c>
      <c r="V467" s="32">
        <f t="shared" si="93"/>
        <v>0.26360832519077404</v>
      </c>
      <c r="W467" s="32">
        <f t="shared" si="94"/>
        <v>-9.6984149849158471E-2</v>
      </c>
      <c r="X467" s="32">
        <f t="shared" si="95"/>
        <v>0.21586162773242673</v>
      </c>
      <c r="Y467" s="32">
        <f t="shared" si="96"/>
        <v>2.4129647679270151E-2</v>
      </c>
      <c r="Z467" s="32">
        <f t="shared" si="97"/>
        <v>-0.12522426979936985</v>
      </c>
      <c r="AA467" s="32">
        <f t="shared" si="98"/>
        <v>-9.8649377643389324E-2</v>
      </c>
      <c r="AF467" s="40"/>
    </row>
    <row r="468" spans="1:32" customFormat="1" ht="14.25" hidden="1" customHeight="1" x14ac:dyDescent="0.35">
      <c r="A468" s="30">
        <f t="shared" si="90"/>
        <v>99</v>
      </c>
      <c r="B468">
        <v>2532</v>
      </c>
      <c r="C468">
        <v>5</v>
      </c>
      <c r="D468">
        <v>2</v>
      </c>
      <c r="E468">
        <v>4</v>
      </c>
      <c r="F468">
        <v>1</v>
      </c>
      <c r="G468">
        <v>1</v>
      </c>
      <c r="H468">
        <v>5</v>
      </c>
      <c r="I468">
        <v>4</v>
      </c>
      <c r="J468">
        <v>2</v>
      </c>
      <c r="O468">
        <v>6</v>
      </c>
      <c r="P468">
        <v>6</v>
      </c>
      <c r="Q468">
        <v>1</v>
      </c>
      <c r="R468">
        <v>4</v>
      </c>
      <c r="S468">
        <v>1</v>
      </c>
      <c r="T468" s="3">
        <f t="shared" si="91"/>
        <v>0.52050631660997337</v>
      </c>
      <c r="U468" s="32">
        <f t="shared" si="92"/>
        <v>0.84420266961423651</v>
      </c>
      <c r="V468" s="32">
        <f t="shared" si="93"/>
        <v>0.26360832519077404</v>
      </c>
      <c r="W468" s="32">
        <f t="shared" si="94"/>
        <v>-9.6984149849158471E-2</v>
      </c>
      <c r="X468" s="32">
        <f t="shared" si="95"/>
        <v>1.0506390162289212</v>
      </c>
      <c r="Y468" s="32">
        <f t="shared" si="96"/>
        <v>0.86866731645372852</v>
      </c>
      <c r="Z468" s="32">
        <f t="shared" si="97"/>
        <v>0.81206041627470116</v>
      </c>
      <c r="AA468" s="32">
        <f t="shared" si="98"/>
        <v>-9.8649377643389324E-2</v>
      </c>
      <c r="AF468" s="40"/>
    </row>
    <row r="469" spans="1:32" customFormat="1" ht="14.25" hidden="1" customHeight="1" x14ac:dyDescent="0.35">
      <c r="A469" s="30">
        <f t="shared" si="90"/>
        <v>99</v>
      </c>
      <c r="B469">
        <v>2535</v>
      </c>
      <c r="C469">
        <v>5</v>
      </c>
      <c r="D469">
        <v>2</v>
      </c>
      <c r="E469">
        <v>5</v>
      </c>
      <c r="F469">
        <v>3</v>
      </c>
      <c r="G469">
        <v>1</v>
      </c>
      <c r="H469">
        <v>5</v>
      </c>
      <c r="I469">
        <v>5</v>
      </c>
      <c r="J469">
        <v>1</v>
      </c>
      <c r="L469">
        <v>1</v>
      </c>
      <c r="M469">
        <v>1</v>
      </c>
      <c r="N469">
        <v>0</v>
      </c>
      <c r="O469">
        <v>6</v>
      </c>
      <c r="P469">
        <v>4</v>
      </c>
      <c r="Q469">
        <v>2</v>
      </c>
      <c r="R469">
        <v>2</v>
      </c>
      <c r="S469">
        <v>2</v>
      </c>
      <c r="T469" s="3">
        <f t="shared" si="91"/>
        <v>0.54032012474097701</v>
      </c>
      <c r="U469" s="32">
        <f t="shared" si="92"/>
        <v>0.84420266961423651</v>
      </c>
      <c r="V469" s="32">
        <f t="shared" si="93"/>
        <v>0.26360832519077404</v>
      </c>
      <c r="W469" s="32">
        <f t="shared" si="94"/>
        <v>0.80698132232978881</v>
      </c>
      <c r="X469" s="32">
        <f t="shared" si="95"/>
        <v>-0.61891576076406762</v>
      </c>
      <c r="Y469" s="32">
        <f t="shared" si="96"/>
        <v>0.86866731645372852</v>
      </c>
      <c r="Z469" s="32">
        <f t="shared" si="97"/>
        <v>0.81206041627470116</v>
      </c>
      <c r="AA469" s="32">
        <f t="shared" si="98"/>
        <v>0.80563658408767735</v>
      </c>
      <c r="AF469" s="40"/>
    </row>
    <row r="470" spans="1:32" customFormat="1" ht="14.25" hidden="1" customHeight="1" x14ac:dyDescent="0.35">
      <c r="A470" s="30">
        <f t="shared" si="90"/>
        <v>99</v>
      </c>
      <c r="B470">
        <v>2544</v>
      </c>
      <c r="C470">
        <v>5</v>
      </c>
      <c r="D470">
        <v>2</v>
      </c>
      <c r="E470">
        <v>4</v>
      </c>
      <c r="F470">
        <v>3</v>
      </c>
      <c r="G470">
        <v>2</v>
      </c>
      <c r="H470">
        <v>3</v>
      </c>
      <c r="I470">
        <v>3</v>
      </c>
      <c r="J470">
        <v>2</v>
      </c>
      <c r="L470">
        <v>2</v>
      </c>
      <c r="M470">
        <v>2</v>
      </c>
      <c r="N470">
        <v>5</v>
      </c>
      <c r="O470">
        <v>6</v>
      </c>
      <c r="P470">
        <v>6</v>
      </c>
      <c r="Q470">
        <v>2</v>
      </c>
      <c r="R470">
        <v>3</v>
      </c>
      <c r="S470">
        <v>3</v>
      </c>
      <c r="T470" s="3">
        <f t="shared" si="91"/>
        <v>-0.23562908048240599</v>
      </c>
      <c r="U470" s="32">
        <f t="shared" si="92"/>
        <v>0.84420266961423651</v>
      </c>
      <c r="V470" s="32">
        <f t="shared" si="93"/>
        <v>0.26360832519077404</v>
      </c>
      <c r="W470" s="32">
        <f t="shared" si="94"/>
        <v>-9.6984149849158471E-2</v>
      </c>
      <c r="X470" s="32">
        <f t="shared" si="95"/>
        <v>-0.61891576076406762</v>
      </c>
      <c r="Y470" s="32">
        <f t="shared" si="96"/>
        <v>2.4129647679270151E-2</v>
      </c>
      <c r="Z470" s="32">
        <f t="shared" si="97"/>
        <v>-1.0625089558734409</v>
      </c>
      <c r="AA470" s="32">
        <f t="shared" si="98"/>
        <v>-1.002935339374456</v>
      </c>
      <c r="AF470" s="40"/>
    </row>
    <row r="471" spans="1:32" customFormat="1" ht="14.25" hidden="1" customHeight="1" x14ac:dyDescent="0.35">
      <c r="A471" s="30">
        <f t="shared" si="90"/>
        <v>99</v>
      </c>
      <c r="B471">
        <v>2557</v>
      </c>
      <c r="C471">
        <v>5</v>
      </c>
      <c r="D471">
        <v>1</v>
      </c>
      <c r="E471">
        <v>5</v>
      </c>
      <c r="F471">
        <v>1</v>
      </c>
      <c r="G471">
        <v>1</v>
      </c>
      <c r="H471">
        <v>5</v>
      </c>
      <c r="I471">
        <v>5</v>
      </c>
      <c r="J471">
        <v>3</v>
      </c>
      <c r="L471">
        <v>3</v>
      </c>
      <c r="M471">
        <v>5</v>
      </c>
      <c r="N471">
        <v>28</v>
      </c>
      <c r="O471">
        <v>6</v>
      </c>
      <c r="P471">
        <v>5</v>
      </c>
      <c r="Q471">
        <v>1</v>
      </c>
      <c r="R471">
        <v>1</v>
      </c>
      <c r="S471">
        <v>2</v>
      </c>
      <c r="T471" s="3">
        <f t="shared" si="91"/>
        <v>0.88999895457577671</v>
      </c>
      <c r="U471" s="32">
        <f t="shared" si="92"/>
        <v>0.84420266961423651</v>
      </c>
      <c r="V471" s="32">
        <f t="shared" si="93"/>
        <v>1.0418053570413823</v>
      </c>
      <c r="W471" s="32">
        <f t="shared" si="94"/>
        <v>0.80698132232978881</v>
      </c>
      <c r="X471" s="32">
        <f t="shared" si="95"/>
        <v>1.0506390162289212</v>
      </c>
      <c r="Y471" s="32">
        <f t="shared" si="96"/>
        <v>0.86866731645372852</v>
      </c>
      <c r="Z471" s="32">
        <f t="shared" si="97"/>
        <v>0.81206041627470116</v>
      </c>
      <c r="AA471" s="32">
        <f t="shared" si="98"/>
        <v>0.80563658408767735</v>
      </c>
      <c r="AF471" s="40"/>
    </row>
    <row r="472" spans="1:32" customFormat="1" ht="14.25" hidden="1" customHeight="1" x14ac:dyDescent="0.35">
      <c r="A472" s="30">
        <f t="shared" si="90"/>
        <v>99</v>
      </c>
      <c r="B472">
        <v>2561</v>
      </c>
      <c r="C472">
        <v>3</v>
      </c>
      <c r="D472">
        <v>1</v>
      </c>
      <c r="E472">
        <v>4</v>
      </c>
      <c r="F472">
        <v>1</v>
      </c>
      <c r="G472">
        <v>1</v>
      </c>
      <c r="H472">
        <v>4</v>
      </c>
      <c r="I472">
        <v>4</v>
      </c>
      <c r="J472">
        <v>2</v>
      </c>
      <c r="L472">
        <v>2</v>
      </c>
      <c r="O472">
        <v>6</v>
      </c>
      <c r="P472">
        <v>6</v>
      </c>
      <c r="Q472">
        <v>2</v>
      </c>
      <c r="R472">
        <v>3</v>
      </c>
      <c r="S472">
        <v>2</v>
      </c>
      <c r="T472" s="3">
        <f t="shared" si="91"/>
        <v>0.24046403998504079</v>
      </c>
      <c r="U472" s="32">
        <f t="shared" si="92"/>
        <v>-0.95700561253682881</v>
      </c>
      <c r="V472" s="32">
        <f t="shared" si="93"/>
        <v>1.0418053570413823</v>
      </c>
      <c r="W472" s="32">
        <f t="shared" si="94"/>
        <v>-9.6984149849158471E-2</v>
      </c>
      <c r="X472" s="32">
        <f t="shared" si="95"/>
        <v>1.0506390162289212</v>
      </c>
      <c r="Y472" s="32">
        <f t="shared" si="96"/>
        <v>0.86866731645372852</v>
      </c>
      <c r="Z472" s="32">
        <f t="shared" si="97"/>
        <v>-0.12522426979936985</v>
      </c>
      <c r="AA472" s="32">
        <f t="shared" si="98"/>
        <v>-9.8649377643389324E-2</v>
      </c>
      <c r="AF472" s="40"/>
    </row>
    <row r="473" spans="1:32" customFormat="1" ht="14.25" hidden="1" customHeight="1" x14ac:dyDescent="0.35">
      <c r="A473" s="30">
        <f t="shared" si="90"/>
        <v>99</v>
      </c>
      <c r="B473">
        <v>2562</v>
      </c>
      <c r="C473">
        <v>5</v>
      </c>
      <c r="D473">
        <v>1</v>
      </c>
      <c r="E473">
        <v>5</v>
      </c>
      <c r="F473">
        <v>5</v>
      </c>
      <c r="G473">
        <v>1</v>
      </c>
      <c r="H473">
        <v>4</v>
      </c>
      <c r="I473">
        <v>5</v>
      </c>
      <c r="J473">
        <v>3</v>
      </c>
      <c r="K473">
        <v>2</v>
      </c>
      <c r="O473">
        <v>6</v>
      </c>
      <c r="P473">
        <v>6</v>
      </c>
      <c r="Q473">
        <v>1</v>
      </c>
      <c r="R473">
        <v>3</v>
      </c>
      <c r="S473">
        <v>2</v>
      </c>
      <c r="T473" s="3">
        <f t="shared" si="91"/>
        <v>0.27908549171005531</v>
      </c>
      <c r="U473" s="32">
        <f t="shared" si="92"/>
        <v>0.84420266961423651</v>
      </c>
      <c r="V473" s="32">
        <f t="shared" si="93"/>
        <v>1.0418053570413823</v>
      </c>
      <c r="W473" s="32">
        <f t="shared" si="94"/>
        <v>0.80698132232978881</v>
      </c>
      <c r="X473" s="32">
        <f t="shared" si="95"/>
        <v>-2.2884705377570564</v>
      </c>
      <c r="Y473" s="32">
        <f t="shared" si="96"/>
        <v>0.86866731645372852</v>
      </c>
      <c r="Z473" s="32">
        <f t="shared" si="97"/>
        <v>-0.12522426979936985</v>
      </c>
      <c r="AA473" s="32">
        <f t="shared" si="98"/>
        <v>0.80563658408767735</v>
      </c>
      <c r="AF473" s="40"/>
    </row>
    <row r="474" spans="1:32" customFormat="1" ht="14.25" hidden="1" customHeight="1" x14ac:dyDescent="0.35">
      <c r="A474" s="30">
        <f t="shared" si="90"/>
        <v>99</v>
      </c>
      <c r="B474">
        <v>2573</v>
      </c>
      <c r="C474">
        <v>5</v>
      </c>
      <c r="D474">
        <v>2</v>
      </c>
      <c r="E474">
        <v>5</v>
      </c>
      <c r="F474">
        <v>1</v>
      </c>
      <c r="G474">
        <v>2</v>
      </c>
      <c r="H474">
        <v>5</v>
      </c>
      <c r="I474">
        <v>5</v>
      </c>
      <c r="J474">
        <v>2</v>
      </c>
      <c r="O474">
        <v>6</v>
      </c>
      <c r="P474">
        <v>6</v>
      </c>
      <c r="Q474">
        <v>1</v>
      </c>
      <c r="R474">
        <v>3</v>
      </c>
      <c r="S474">
        <v>2</v>
      </c>
      <c r="T474" s="3">
        <f t="shared" si="91"/>
        <v>0.65817971162933842</v>
      </c>
      <c r="U474" s="32">
        <f t="shared" si="92"/>
        <v>0.84420266961423651</v>
      </c>
      <c r="V474" s="32">
        <f t="shared" si="93"/>
        <v>0.26360832519077404</v>
      </c>
      <c r="W474" s="32">
        <f t="shared" si="94"/>
        <v>0.80698132232978881</v>
      </c>
      <c r="X474" s="32">
        <f t="shared" si="95"/>
        <v>1.0506390162289212</v>
      </c>
      <c r="Y474" s="32">
        <f t="shared" si="96"/>
        <v>2.4129647679270151E-2</v>
      </c>
      <c r="Z474" s="32">
        <f t="shared" si="97"/>
        <v>0.81206041627470116</v>
      </c>
      <c r="AA474" s="32">
        <f t="shared" si="98"/>
        <v>0.80563658408767735</v>
      </c>
      <c r="AF474" s="40"/>
    </row>
    <row r="475" spans="1:32" customFormat="1" ht="14.25" hidden="1" customHeight="1" x14ac:dyDescent="0.35">
      <c r="A475" s="30">
        <f t="shared" si="90"/>
        <v>99</v>
      </c>
      <c r="B475">
        <v>2576</v>
      </c>
      <c r="C475">
        <v>4</v>
      </c>
      <c r="D475">
        <v>3</v>
      </c>
      <c r="E475">
        <v>5</v>
      </c>
      <c r="F475">
        <v>3</v>
      </c>
      <c r="G475">
        <v>3</v>
      </c>
      <c r="H475">
        <v>5</v>
      </c>
      <c r="I475">
        <v>5</v>
      </c>
      <c r="J475">
        <v>1</v>
      </c>
      <c r="O475">
        <v>4</v>
      </c>
      <c r="P475">
        <v>4</v>
      </c>
      <c r="Q475">
        <v>2</v>
      </c>
      <c r="R475">
        <v>2</v>
      </c>
      <c r="S475">
        <v>2</v>
      </c>
      <c r="T475" s="3">
        <f t="shared" si="91"/>
        <v>5.9194908958825891E-2</v>
      </c>
      <c r="U475" s="32">
        <f t="shared" si="92"/>
        <v>-5.6401471461296142E-2</v>
      </c>
      <c r="V475" s="32">
        <f t="shared" si="93"/>
        <v>-0.51458870665983425</v>
      </c>
      <c r="W475" s="32">
        <f t="shared" si="94"/>
        <v>0.80698132232978881</v>
      </c>
      <c r="X475" s="32">
        <f t="shared" si="95"/>
        <v>-0.61891576076406762</v>
      </c>
      <c r="Y475" s="32">
        <f t="shared" si="96"/>
        <v>-0.82040802109518818</v>
      </c>
      <c r="Z475" s="32">
        <f t="shared" si="97"/>
        <v>0.81206041627470116</v>
      </c>
      <c r="AA475" s="32">
        <f t="shared" si="98"/>
        <v>0.80563658408767735</v>
      </c>
      <c r="AF475" s="40"/>
    </row>
    <row r="476" spans="1:32" customFormat="1" ht="14.25" hidden="1" customHeight="1" x14ac:dyDescent="0.35">
      <c r="A476" s="30">
        <f t="shared" si="90"/>
        <v>99</v>
      </c>
      <c r="B476">
        <v>2589</v>
      </c>
      <c r="C476">
        <v>4</v>
      </c>
      <c r="D476">
        <v>3</v>
      </c>
      <c r="E476">
        <v>4</v>
      </c>
      <c r="F476">
        <v>3</v>
      </c>
      <c r="G476">
        <v>2</v>
      </c>
      <c r="H476">
        <v>3</v>
      </c>
      <c r="I476">
        <v>3</v>
      </c>
      <c r="J476">
        <v>2</v>
      </c>
      <c r="L476">
        <v>2</v>
      </c>
      <c r="M476">
        <v>3</v>
      </c>
      <c r="N476">
        <v>0</v>
      </c>
      <c r="O476">
        <v>6</v>
      </c>
      <c r="P476">
        <v>5</v>
      </c>
      <c r="Q476">
        <v>1</v>
      </c>
      <c r="R476">
        <v>2</v>
      </c>
      <c r="S476">
        <v>2</v>
      </c>
      <c r="T476" s="3">
        <f t="shared" si="91"/>
        <v>-0.47545781947185473</v>
      </c>
      <c r="U476" s="32">
        <f t="shared" si="92"/>
        <v>-5.6401471461296142E-2</v>
      </c>
      <c r="V476" s="32">
        <f t="shared" si="93"/>
        <v>-0.51458870665983425</v>
      </c>
      <c r="W476" s="32">
        <f t="shared" si="94"/>
        <v>-9.6984149849158471E-2</v>
      </c>
      <c r="X476" s="32">
        <f t="shared" si="95"/>
        <v>-0.61891576076406762</v>
      </c>
      <c r="Y476" s="32">
        <f t="shared" si="96"/>
        <v>2.4129647679270151E-2</v>
      </c>
      <c r="Z476" s="32">
        <f t="shared" si="97"/>
        <v>-1.0625089558734409</v>
      </c>
      <c r="AA476" s="32">
        <f t="shared" si="98"/>
        <v>-1.002935339374456</v>
      </c>
      <c r="AF476" s="40"/>
    </row>
    <row r="477" spans="1:32" customFormat="1" ht="14.25" hidden="1" customHeight="1" x14ac:dyDescent="0.35">
      <c r="A477" s="30">
        <f t="shared" si="90"/>
        <v>99</v>
      </c>
      <c r="B477">
        <v>2608</v>
      </c>
      <c r="C477">
        <v>5</v>
      </c>
      <c r="D477">
        <v>1</v>
      </c>
      <c r="E477">
        <v>5</v>
      </c>
      <c r="F477">
        <v>2</v>
      </c>
      <c r="G477">
        <v>2</v>
      </c>
      <c r="H477">
        <v>5</v>
      </c>
      <c r="I477">
        <v>4</v>
      </c>
      <c r="J477">
        <v>1</v>
      </c>
      <c r="O477">
        <v>6</v>
      </c>
      <c r="P477">
        <v>5</v>
      </c>
      <c r="Q477">
        <v>2</v>
      </c>
      <c r="R477">
        <v>4</v>
      </c>
      <c r="S477">
        <v>2</v>
      </c>
      <c r="T477" s="3">
        <f t="shared" si="91"/>
        <v>0.52091309471834513</v>
      </c>
      <c r="U477" s="32">
        <f t="shared" si="92"/>
        <v>0.84420266961423651</v>
      </c>
      <c r="V477" s="32">
        <f t="shared" si="93"/>
        <v>1.0418053570413823</v>
      </c>
      <c r="W477" s="32">
        <f t="shared" si="94"/>
        <v>0.80698132232978881</v>
      </c>
      <c r="X477" s="32">
        <f t="shared" si="95"/>
        <v>0.21586162773242673</v>
      </c>
      <c r="Y477" s="32">
        <f t="shared" si="96"/>
        <v>2.4129647679270151E-2</v>
      </c>
      <c r="Z477" s="32">
        <f t="shared" si="97"/>
        <v>0.81206041627470116</v>
      </c>
      <c r="AA477" s="32">
        <f t="shared" si="98"/>
        <v>-9.8649377643389324E-2</v>
      </c>
      <c r="AF477" s="40"/>
    </row>
    <row r="478" spans="1:32" customFormat="1" ht="14.25" hidden="1" customHeight="1" x14ac:dyDescent="0.35">
      <c r="A478" s="30">
        <f t="shared" si="90"/>
        <v>99</v>
      </c>
      <c r="B478">
        <v>2613</v>
      </c>
      <c r="C478">
        <v>5</v>
      </c>
      <c r="D478">
        <v>1</v>
      </c>
      <c r="E478">
        <v>5</v>
      </c>
      <c r="F478">
        <v>1</v>
      </c>
      <c r="G478">
        <v>1</v>
      </c>
      <c r="H478">
        <v>5</v>
      </c>
      <c r="I478">
        <v>4</v>
      </c>
      <c r="J478">
        <v>2</v>
      </c>
      <c r="L478">
        <v>1</v>
      </c>
      <c r="M478">
        <v>1</v>
      </c>
      <c r="N478">
        <v>0</v>
      </c>
      <c r="O478">
        <v>6</v>
      </c>
      <c r="P478">
        <v>3</v>
      </c>
      <c r="Q478">
        <v>1</v>
      </c>
      <c r="R478">
        <v>3</v>
      </c>
      <c r="S478">
        <v>1</v>
      </c>
      <c r="T478" s="3">
        <f t="shared" si="91"/>
        <v>0.76081524575705284</v>
      </c>
      <c r="U478" s="32">
        <f t="shared" si="92"/>
        <v>0.84420266961423651</v>
      </c>
      <c r="V478" s="32">
        <f t="shared" si="93"/>
        <v>1.0418053570413823</v>
      </c>
      <c r="W478" s="32">
        <f t="shared" si="94"/>
        <v>0.80698132232978881</v>
      </c>
      <c r="X478" s="32">
        <f t="shared" si="95"/>
        <v>1.0506390162289212</v>
      </c>
      <c r="Y478" s="32">
        <f t="shared" si="96"/>
        <v>0.86866731645372852</v>
      </c>
      <c r="Z478" s="32">
        <f t="shared" si="97"/>
        <v>0.81206041627470116</v>
      </c>
      <c r="AA478" s="32">
        <f t="shared" si="98"/>
        <v>-9.8649377643389324E-2</v>
      </c>
      <c r="AF478" s="40"/>
    </row>
    <row r="479" spans="1:32" customFormat="1" ht="14.25" hidden="1" customHeight="1" x14ac:dyDescent="0.35">
      <c r="A479" s="30">
        <f t="shared" si="90"/>
        <v>99</v>
      </c>
      <c r="B479">
        <v>2625</v>
      </c>
      <c r="C479">
        <v>5</v>
      </c>
      <c r="D479">
        <v>1</v>
      </c>
      <c r="E479">
        <v>5</v>
      </c>
      <c r="F479">
        <v>2</v>
      </c>
      <c r="G479">
        <v>1</v>
      </c>
      <c r="H479">
        <v>2</v>
      </c>
      <c r="I479">
        <v>5</v>
      </c>
      <c r="J479">
        <v>1</v>
      </c>
      <c r="O479">
        <v>6</v>
      </c>
      <c r="P479">
        <v>3</v>
      </c>
      <c r="Q479">
        <v>1</v>
      </c>
      <c r="R479">
        <v>2</v>
      </c>
      <c r="S479">
        <v>2</v>
      </c>
      <c r="T479" s="3">
        <f t="shared" si="91"/>
        <v>0.3690516050445326</v>
      </c>
      <c r="U479" s="32">
        <f t="shared" si="92"/>
        <v>0.84420266961423651</v>
      </c>
      <c r="V479" s="32">
        <f t="shared" si="93"/>
        <v>1.0418053570413823</v>
      </c>
      <c r="W479" s="32">
        <f t="shared" si="94"/>
        <v>0.80698132232978881</v>
      </c>
      <c r="X479" s="32">
        <f t="shared" si="95"/>
        <v>0.21586162773242673</v>
      </c>
      <c r="Y479" s="32">
        <f t="shared" si="96"/>
        <v>0.86866731645372852</v>
      </c>
      <c r="Z479" s="32">
        <f t="shared" si="97"/>
        <v>-1.9997936419475117</v>
      </c>
      <c r="AA479" s="32">
        <f t="shared" si="98"/>
        <v>0.80563658408767735</v>
      </c>
      <c r="AF479" s="40"/>
    </row>
    <row r="480" spans="1:32" customFormat="1" ht="14.25" hidden="1" customHeight="1" x14ac:dyDescent="0.35">
      <c r="A480" s="30">
        <f t="shared" si="90"/>
        <v>99</v>
      </c>
      <c r="B480">
        <v>2634</v>
      </c>
      <c r="C480">
        <v>4</v>
      </c>
      <c r="D480">
        <v>3</v>
      </c>
      <c r="E480">
        <v>5</v>
      </c>
      <c r="F480">
        <v>4</v>
      </c>
      <c r="G480">
        <v>1</v>
      </c>
      <c r="H480">
        <v>5</v>
      </c>
      <c r="I480">
        <v>5</v>
      </c>
      <c r="J480">
        <v>2</v>
      </c>
      <c r="K480">
        <v>1</v>
      </c>
      <c r="O480">
        <v>6</v>
      </c>
      <c r="P480">
        <v>3</v>
      </c>
      <c r="Q480">
        <v>1</v>
      </c>
      <c r="R480">
        <v>4</v>
      </c>
      <c r="S480">
        <v>3</v>
      </c>
      <c r="T480" s="3">
        <f t="shared" si="91"/>
        <v>0.1812374731091719</v>
      </c>
      <c r="U480" s="32">
        <f t="shared" si="92"/>
        <v>-5.6401471461296142E-2</v>
      </c>
      <c r="V480" s="32">
        <f t="shared" si="93"/>
        <v>-0.51458870665983425</v>
      </c>
      <c r="W480" s="32">
        <f t="shared" si="94"/>
        <v>0.80698132232978881</v>
      </c>
      <c r="X480" s="32">
        <f t="shared" si="95"/>
        <v>-1.453693149260562</v>
      </c>
      <c r="Y480" s="32">
        <f t="shared" si="96"/>
        <v>0.86866731645372852</v>
      </c>
      <c r="Z480" s="32">
        <f t="shared" si="97"/>
        <v>0.81206041627470116</v>
      </c>
      <c r="AA480" s="32">
        <f t="shared" si="98"/>
        <v>0.80563658408767735</v>
      </c>
      <c r="AF480" s="40"/>
    </row>
    <row r="481" spans="1:32" customFormat="1" ht="14.25" hidden="1" customHeight="1" x14ac:dyDescent="0.35">
      <c r="A481" s="30">
        <f t="shared" si="90"/>
        <v>99</v>
      </c>
      <c r="B481">
        <v>2637</v>
      </c>
      <c r="C481">
        <v>4</v>
      </c>
      <c r="D481">
        <v>2</v>
      </c>
      <c r="E481">
        <v>3</v>
      </c>
      <c r="F481">
        <v>2</v>
      </c>
      <c r="G481">
        <v>2</v>
      </c>
      <c r="H481">
        <v>4</v>
      </c>
      <c r="I481">
        <v>4</v>
      </c>
      <c r="J481">
        <v>2</v>
      </c>
      <c r="K481">
        <v>2</v>
      </c>
      <c r="L481">
        <v>1</v>
      </c>
      <c r="O481">
        <v>6</v>
      </c>
      <c r="P481">
        <v>6</v>
      </c>
      <c r="Q481">
        <v>1</v>
      </c>
      <c r="R481">
        <v>2</v>
      </c>
      <c r="S481">
        <v>3</v>
      </c>
      <c r="T481" s="3">
        <f t="shared" si="91"/>
        <v>-0.11108930576138432</v>
      </c>
      <c r="U481" s="32">
        <f t="shared" si="92"/>
        <v>-5.6401471461296142E-2</v>
      </c>
      <c r="V481" s="32">
        <f t="shared" si="93"/>
        <v>0.26360832519077404</v>
      </c>
      <c r="W481" s="32">
        <f t="shared" si="94"/>
        <v>-1.0009496220281058</v>
      </c>
      <c r="X481" s="32">
        <f t="shared" si="95"/>
        <v>0.21586162773242673</v>
      </c>
      <c r="Y481" s="32">
        <f t="shared" si="96"/>
        <v>2.4129647679270151E-2</v>
      </c>
      <c r="Z481" s="32">
        <f t="shared" si="97"/>
        <v>-0.12522426979936985</v>
      </c>
      <c r="AA481" s="32">
        <f t="shared" si="98"/>
        <v>-9.8649377643389324E-2</v>
      </c>
      <c r="AF481" s="40"/>
    </row>
    <row r="482" spans="1:32" customFormat="1" ht="14.25" hidden="1" customHeight="1" x14ac:dyDescent="0.35">
      <c r="A482" s="30">
        <f t="shared" si="90"/>
        <v>99</v>
      </c>
      <c r="B482">
        <v>2662</v>
      </c>
      <c r="C482">
        <v>2</v>
      </c>
      <c r="D482">
        <v>3</v>
      </c>
      <c r="E482">
        <v>2</v>
      </c>
      <c r="F482">
        <v>3</v>
      </c>
      <c r="G482">
        <v>3</v>
      </c>
      <c r="H482">
        <v>3</v>
      </c>
      <c r="I482">
        <v>2</v>
      </c>
      <c r="J482">
        <v>1</v>
      </c>
      <c r="L482">
        <v>1</v>
      </c>
      <c r="M482">
        <v>1</v>
      </c>
      <c r="N482">
        <v>0</v>
      </c>
      <c r="O482">
        <v>6</v>
      </c>
      <c r="P482">
        <v>6</v>
      </c>
      <c r="Q482">
        <v>2</v>
      </c>
      <c r="R482">
        <v>2</v>
      </c>
      <c r="S482">
        <v>2</v>
      </c>
      <c r="T482" s="3">
        <f t="shared" si="91"/>
        <v>-1.2408810847596381</v>
      </c>
      <c r="U482" s="32">
        <f t="shared" si="92"/>
        <v>-1.8576097536123615</v>
      </c>
      <c r="V482" s="32">
        <f t="shared" si="93"/>
        <v>-0.51458870665983425</v>
      </c>
      <c r="W482" s="32">
        <f t="shared" si="94"/>
        <v>-1.904915094207053</v>
      </c>
      <c r="X482" s="32">
        <f t="shared" si="95"/>
        <v>-0.61891576076406762</v>
      </c>
      <c r="Y482" s="32">
        <f t="shared" si="96"/>
        <v>-0.82040802109518818</v>
      </c>
      <c r="Z482" s="32">
        <f t="shared" si="97"/>
        <v>-1.0625089558734409</v>
      </c>
      <c r="AA482" s="32">
        <f t="shared" si="98"/>
        <v>-1.9072213011055226</v>
      </c>
      <c r="AF482" s="40"/>
    </row>
    <row r="483" spans="1:32" customFormat="1" ht="14.25" hidden="1" customHeight="1" x14ac:dyDescent="0.35">
      <c r="A483" s="30">
        <f t="shared" si="90"/>
        <v>99</v>
      </c>
      <c r="B483">
        <v>2664</v>
      </c>
      <c r="C483">
        <v>5</v>
      </c>
      <c r="D483">
        <v>1</v>
      </c>
      <c r="E483">
        <v>5</v>
      </c>
      <c r="F483">
        <v>1</v>
      </c>
      <c r="G483">
        <v>1</v>
      </c>
      <c r="H483">
        <v>5</v>
      </c>
      <c r="I483">
        <v>5</v>
      </c>
      <c r="J483">
        <v>2</v>
      </c>
      <c r="O483">
        <v>6</v>
      </c>
      <c r="P483">
        <v>4</v>
      </c>
      <c r="Q483">
        <v>1</v>
      </c>
      <c r="R483">
        <v>1</v>
      </c>
      <c r="S483">
        <v>1</v>
      </c>
      <c r="T483" s="3">
        <f t="shared" si="91"/>
        <v>0.88999895457577671</v>
      </c>
      <c r="U483" s="32">
        <f t="shared" si="92"/>
        <v>0.84420266961423651</v>
      </c>
      <c r="V483" s="32">
        <f t="shared" si="93"/>
        <v>1.0418053570413823</v>
      </c>
      <c r="W483" s="32">
        <f t="shared" si="94"/>
        <v>0.80698132232978881</v>
      </c>
      <c r="X483" s="32">
        <f t="shared" si="95"/>
        <v>1.0506390162289212</v>
      </c>
      <c r="Y483" s="32">
        <f t="shared" si="96"/>
        <v>0.86866731645372852</v>
      </c>
      <c r="Z483" s="32">
        <f t="shared" si="97"/>
        <v>0.81206041627470116</v>
      </c>
      <c r="AA483" s="32">
        <f t="shared" si="98"/>
        <v>0.80563658408767735</v>
      </c>
      <c r="AF483" s="40"/>
    </row>
    <row r="484" spans="1:32" customFormat="1" ht="14.25" hidden="1" customHeight="1" x14ac:dyDescent="0.35">
      <c r="A484" s="30">
        <f t="shared" si="90"/>
        <v>99</v>
      </c>
      <c r="B484">
        <v>2670</v>
      </c>
      <c r="C484">
        <v>3</v>
      </c>
      <c r="D484">
        <v>4</v>
      </c>
      <c r="E484">
        <v>3</v>
      </c>
      <c r="F484">
        <v>4</v>
      </c>
      <c r="G484">
        <v>2</v>
      </c>
      <c r="H484">
        <v>3</v>
      </c>
      <c r="I484">
        <v>1</v>
      </c>
      <c r="J484">
        <v>1</v>
      </c>
      <c r="L484">
        <v>2</v>
      </c>
      <c r="M484">
        <v>3</v>
      </c>
      <c r="N484">
        <v>0</v>
      </c>
      <c r="O484">
        <v>6</v>
      </c>
      <c r="P484">
        <v>6</v>
      </c>
      <c r="Q484">
        <v>3</v>
      </c>
      <c r="R484">
        <v>3</v>
      </c>
      <c r="S484">
        <v>4</v>
      </c>
      <c r="T484" s="3">
        <f t="shared" si="91"/>
        <v>-1.2220458133381</v>
      </c>
      <c r="U484" s="32">
        <f t="shared" si="92"/>
        <v>-0.95700561253682881</v>
      </c>
      <c r="V484" s="32">
        <f t="shared" si="93"/>
        <v>-1.2927857385104427</v>
      </c>
      <c r="W484" s="32">
        <f t="shared" si="94"/>
        <v>-1.0009496220281058</v>
      </c>
      <c r="X484" s="32">
        <f t="shared" si="95"/>
        <v>-1.453693149260562</v>
      </c>
      <c r="Y484" s="32">
        <f t="shared" si="96"/>
        <v>2.4129647679270151E-2</v>
      </c>
      <c r="Z484" s="32">
        <f t="shared" si="97"/>
        <v>-1.0625089558734409</v>
      </c>
      <c r="AA484" s="32">
        <f t="shared" si="98"/>
        <v>-2.8115072628365891</v>
      </c>
      <c r="AF484" s="40"/>
    </row>
    <row r="485" spans="1:32" customFormat="1" ht="14.25" hidden="1" customHeight="1" x14ac:dyDescent="0.35">
      <c r="A485" s="30">
        <f t="shared" si="90"/>
        <v>99</v>
      </c>
      <c r="B485">
        <v>2672</v>
      </c>
      <c r="C485">
        <v>2</v>
      </c>
      <c r="D485">
        <v>3</v>
      </c>
      <c r="E485">
        <v>3</v>
      </c>
      <c r="F485">
        <v>3</v>
      </c>
      <c r="G485">
        <v>3</v>
      </c>
      <c r="H485">
        <v>2</v>
      </c>
      <c r="I485">
        <v>2</v>
      </c>
      <c r="J485">
        <v>1</v>
      </c>
      <c r="K485">
        <v>1</v>
      </c>
      <c r="L485">
        <v>2</v>
      </c>
      <c r="O485">
        <v>6</v>
      </c>
      <c r="P485">
        <v>5</v>
      </c>
      <c r="Q485">
        <v>2</v>
      </c>
      <c r="R485">
        <v>2</v>
      </c>
      <c r="S485">
        <v>4</v>
      </c>
      <c r="T485" s="3">
        <f t="shared" si="91"/>
        <v>-1.2456409724589415</v>
      </c>
      <c r="U485" s="32">
        <f t="shared" si="92"/>
        <v>-1.8576097536123615</v>
      </c>
      <c r="V485" s="32">
        <f t="shared" si="93"/>
        <v>-0.51458870665983425</v>
      </c>
      <c r="W485" s="32">
        <f t="shared" si="94"/>
        <v>-1.0009496220281058</v>
      </c>
      <c r="X485" s="32">
        <f t="shared" si="95"/>
        <v>-0.61891576076406762</v>
      </c>
      <c r="Y485" s="32">
        <f t="shared" si="96"/>
        <v>-0.82040802109518818</v>
      </c>
      <c r="Z485" s="32">
        <f t="shared" si="97"/>
        <v>-1.9997936419475117</v>
      </c>
      <c r="AA485" s="32">
        <f t="shared" si="98"/>
        <v>-1.9072213011055226</v>
      </c>
      <c r="AF485" s="40"/>
    </row>
    <row r="486" spans="1:32" customFormat="1" ht="14.25" hidden="1" customHeight="1" x14ac:dyDescent="0.35">
      <c r="A486" s="30">
        <f t="shared" si="90"/>
        <v>99</v>
      </c>
      <c r="B486">
        <v>2696</v>
      </c>
      <c r="C486">
        <v>5</v>
      </c>
      <c r="D486">
        <v>4</v>
      </c>
      <c r="E486">
        <v>5</v>
      </c>
      <c r="F486">
        <v>1</v>
      </c>
      <c r="G486">
        <v>1</v>
      </c>
      <c r="H486">
        <v>5</v>
      </c>
      <c r="I486">
        <v>5</v>
      </c>
      <c r="J486">
        <v>2</v>
      </c>
      <c r="K486">
        <v>2</v>
      </c>
      <c r="O486">
        <v>6</v>
      </c>
      <c r="P486">
        <v>6</v>
      </c>
      <c r="Q486">
        <v>1</v>
      </c>
      <c r="R486">
        <v>2</v>
      </c>
      <c r="S486">
        <v>2</v>
      </c>
      <c r="T486" s="3">
        <f t="shared" si="91"/>
        <v>0.55648594092551584</v>
      </c>
      <c r="U486" s="32">
        <f t="shared" si="92"/>
        <v>0.84420266961423651</v>
      </c>
      <c r="V486" s="32">
        <f t="shared" si="93"/>
        <v>-1.2927857385104427</v>
      </c>
      <c r="W486" s="32">
        <f t="shared" si="94"/>
        <v>0.80698132232978881</v>
      </c>
      <c r="X486" s="32">
        <f t="shared" si="95"/>
        <v>1.0506390162289212</v>
      </c>
      <c r="Y486" s="32">
        <f t="shared" si="96"/>
        <v>0.86866731645372852</v>
      </c>
      <c r="Z486" s="32">
        <f t="shared" si="97"/>
        <v>0.81206041627470116</v>
      </c>
      <c r="AA486" s="32">
        <f t="shared" si="98"/>
        <v>0.80563658408767735</v>
      </c>
      <c r="AF486" s="40"/>
    </row>
    <row r="487" spans="1:32" customFormat="1" ht="14.25" hidden="1" customHeight="1" x14ac:dyDescent="0.35">
      <c r="A487" s="30">
        <f t="shared" si="90"/>
        <v>99</v>
      </c>
      <c r="B487">
        <v>2698</v>
      </c>
      <c r="C487">
        <v>3</v>
      </c>
      <c r="D487">
        <v>1</v>
      </c>
      <c r="E487">
        <v>4</v>
      </c>
      <c r="F487">
        <v>3</v>
      </c>
      <c r="G487">
        <v>1</v>
      </c>
      <c r="H487">
        <v>5</v>
      </c>
      <c r="I487">
        <v>4</v>
      </c>
      <c r="J487">
        <v>1</v>
      </c>
      <c r="L487">
        <v>1</v>
      </c>
      <c r="M487">
        <v>2</v>
      </c>
      <c r="N487">
        <v>2</v>
      </c>
      <c r="O487">
        <v>6</v>
      </c>
      <c r="P487">
        <v>5</v>
      </c>
      <c r="Q487">
        <v>2</v>
      </c>
      <c r="R487">
        <v>1</v>
      </c>
      <c r="S487">
        <v>2</v>
      </c>
      <c r="T487" s="3">
        <f t="shared" si="91"/>
        <v>0.13585402699662394</v>
      </c>
      <c r="U487" s="32">
        <f t="shared" si="92"/>
        <v>-0.95700561253682881</v>
      </c>
      <c r="V487" s="32">
        <f t="shared" si="93"/>
        <v>1.0418053570413823</v>
      </c>
      <c r="W487" s="32">
        <f t="shared" si="94"/>
        <v>-9.6984149849158471E-2</v>
      </c>
      <c r="X487" s="32">
        <f t="shared" si="95"/>
        <v>-0.61891576076406762</v>
      </c>
      <c r="Y487" s="32">
        <f t="shared" si="96"/>
        <v>0.86866731645372852</v>
      </c>
      <c r="Z487" s="32">
        <f t="shared" si="97"/>
        <v>0.81206041627470116</v>
      </c>
      <c r="AA487" s="32">
        <f t="shared" si="98"/>
        <v>-9.8649377643389324E-2</v>
      </c>
      <c r="AF487" s="40"/>
    </row>
    <row r="488" spans="1:32" customFormat="1" ht="14.25" hidden="1" customHeight="1" x14ac:dyDescent="0.35">
      <c r="A488" s="30">
        <f t="shared" si="90"/>
        <v>99</v>
      </c>
      <c r="B488">
        <v>2705</v>
      </c>
      <c r="C488">
        <v>4</v>
      </c>
      <c r="D488">
        <v>3</v>
      </c>
      <c r="E488">
        <v>2</v>
      </c>
      <c r="F488">
        <v>3</v>
      </c>
      <c r="G488">
        <v>2</v>
      </c>
      <c r="H488">
        <v>4</v>
      </c>
      <c r="I488">
        <v>4</v>
      </c>
      <c r="J488">
        <v>2</v>
      </c>
      <c r="O488">
        <v>6</v>
      </c>
      <c r="P488">
        <v>6</v>
      </c>
      <c r="Q488">
        <v>1</v>
      </c>
      <c r="R488">
        <v>3</v>
      </c>
      <c r="S488">
        <v>2</v>
      </c>
      <c r="T488" s="3">
        <f t="shared" si="91"/>
        <v>-0.47065214755081997</v>
      </c>
      <c r="U488" s="32">
        <f t="shared" si="92"/>
        <v>-5.6401471461296142E-2</v>
      </c>
      <c r="V488" s="32">
        <f t="shared" si="93"/>
        <v>-0.51458870665983425</v>
      </c>
      <c r="W488" s="32">
        <f t="shared" si="94"/>
        <v>-1.904915094207053</v>
      </c>
      <c r="X488" s="32">
        <f t="shared" si="95"/>
        <v>-0.61891576076406762</v>
      </c>
      <c r="Y488" s="32">
        <f t="shared" si="96"/>
        <v>2.4129647679270151E-2</v>
      </c>
      <c r="Z488" s="32">
        <f t="shared" si="97"/>
        <v>-0.12522426979936985</v>
      </c>
      <c r="AA488" s="32">
        <f t="shared" si="98"/>
        <v>-9.8649377643389324E-2</v>
      </c>
      <c r="AF488" s="40"/>
    </row>
    <row r="489" spans="1:32" customFormat="1" ht="14.25" hidden="1" customHeight="1" x14ac:dyDescent="0.35">
      <c r="A489" s="30">
        <f t="shared" si="90"/>
        <v>99</v>
      </c>
      <c r="B489">
        <v>2708</v>
      </c>
      <c r="C489">
        <v>5</v>
      </c>
      <c r="D489">
        <v>5</v>
      </c>
      <c r="E489">
        <v>5</v>
      </c>
      <c r="F489">
        <v>1</v>
      </c>
      <c r="G489">
        <v>1</v>
      </c>
      <c r="H489">
        <v>5</v>
      </c>
      <c r="I489">
        <v>5</v>
      </c>
      <c r="J489">
        <v>2</v>
      </c>
      <c r="O489">
        <v>6</v>
      </c>
      <c r="P489">
        <v>5</v>
      </c>
      <c r="Q489">
        <v>1</v>
      </c>
      <c r="R489">
        <v>5</v>
      </c>
      <c r="S489">
        <v>2</v>
      </c>
      <c r="T489" s="3">
        <f t="shared" si="91"/>
        <v>0.44531493637542902</v>
      </c>
      <c r="U489" s="32">
        <f t="shared" si="92"/>
        <v>0.84420266961423651</v>
      </c>
      <c r="V489" s="32">
        <f t="shared" si="93"/>
        <v>-2.0709827703610508</v>
      </c>
      <c r="W489" s="32">
        <f t="shared" si="94"/>
        <v>0.80698132232978881</v>
      </c>
      <c r="X489" s="32">
        <f t="shared" si="95"/>
        <v>1.0506390162289212</v>
      </c>
      <c r="Y489" s="32">
        <f t="shared" si="96"/>
        <v>0.86866731645372852</v>
      </c>
      <c r="Z489" s="32">
        <f t="shared" si="97"/>
        <v>0.81206041627470116</v>
      </c>
      <c r="AA489" s="32">
        <f t="shared" si="98"/>
        <v>0.80563658408767735</v>
      </c>
      <c r="AF489" s="40"/>
    </row>
    <row r="490" spans="1:32" customFormat="1" ht="14.25" hidden="1" customHeight="1" x14ac:dyDescent="0.35">
      <c r="A490" s="30">
        <f t="shared" si="90"/>
        <v>99</v>
      </c>
      <c r="B490">
        <v>2715</v>
      </c>
      <c r="C490">
        <v>4</v>
      </c>
      <c r="D490">
        <v>4</v>
      </c>
      <c r="E490">
        <v>4</v>
      </c>
      <c r="F490">
        <v>2</v>
      </c>
      <c r="G490">
        <v>2</v>
      </c>
      <c r="H490">
        <v>3</v>
      </c>
      <c r="I490">
        <v>3</v>
      </c>
      <c r="J490">
        <v>2</v>
      </c>
      <c r="L490">
        <v>1</v>
      </c>
      <c r="M490">
        <v>2</v>
      </c>
      <c r="N490">
        <v>0</v>
      </c>
      <c r="O490">
        <v>6</v>
      </c>
      <c r="P490">
        <v>5</v>
      </c>
      <c r="Q490">
        <v>2</v>
      </c>
      <c r="R490">
        <v>2</v>
      </c>
      <c r="S490">
        <v>2</v>
      </c>
      <c r="T490" s="3">
        <f t="shared" si="91"/>
        <v>-0.46737491137958537</v>
      </c>
      <c r="U490" s="32">
        <f t="shared" si="92"/>
        <v>-5.6401471461296142E-2</v>
      </c>
      <c r="V490" s="32">
        <f t="shared" si="93"/>
        <v>-1.2927857385104427</v>
      </c>
      <c r="W490" s="32">
        <f t="shared" si="94"/>
        <v>-9.6984149849158471E-2</v>
      </c>
      <c r="X490" s="32">
        <f t="shared" si="95"/>
        <v>0.21586162773242673</v>
      </c>
      <c r="Y490" s="32">
        <f t="shared" si="96"/>
        <v>2.4129647679270151E-2</v>
      </c>
      <c r="Z490" s="32">
        <f t="shared" si="97"/>
        <v>-1.0625089558734409</v>
      </c>
      <c r="AA490" s="32">
        <f t="shared" si="98"/>
        <v>-1.002935339374456</v>
      </c>
      <c r="AF490" s="40"/>
    </row>
    <row r="491" spans="1:32" customFormat="1" ht="14.25" hidden="1" customHeight="1" x14ac:dyDescent="0.35">
      <c r="A491" s="30">
        <f t="shared" si="90"/>
        <v>99</v>
      </c>
      <c r="B491">
        <v>2722</v>
      </c>
      <c r="C491">
        <v>5</v>
      </c>
      <c r="D491">
        <v>4</v>
      </c>
      <c r="E491">
        <v>4</v>
      </c>
      <c r="F491">
        <v>1</v>
      </c>
      <c r="G491">
        <v>1</v>
      </c>
      <c r="H491">
        <v>4</v>
      </c>
      <c r="I491">
        <v>5</v>
      </c>
      <c r="J491">
        <v>2</v>
      </c>
      <c r="L491">
        <v>4</v>
      </c>
      <c r="M491">
        <v>3</v>
      </c>
      <c r="N491">
        <v>2</v>
      </c>
      <c r="O491">
        <v>6</v>
      </c>
      <c r="P491">
        <v>6</v>
      </c>
      <c r="Q491">
        <v>2</v>
      </c>
      <c r="R491">
        <v>3</v>
      </c>
      <c r="S491">
        <v>2</v>
      </c>
      <c r="T491" s="3">
        <f t="shared" si="91"/>
        <v>0.29345020403222755</v>
      </c>
      <c r="U491" s="32">
        <f t="shared" si="92"/>
        <v>0.84420266961423651</v>
      </c>
      <c r="V491" s="32">
        <f t="shared" si="93"/>
        <v>-1.2927857385104427</v>
      </c>
      <c r="W491" s="32">
        <f t="shared" si="94"/>
        <v>-9.6984149849158471E-2</v>
      </c>
      <c r="X491" s="32">
        <f t="shared" si="95"/>
        <v>1.0506390162289212</v>
      </c>
      <c r="Y491" s="32">
        <f t="shared" si="96"/>
        <v>0.86866731645372852</v>
      </c>
      <c r="Z491" s="32">
        <f t="shared" si="97"/>
        <v>-0.12522426979936985</v>
      </c>
      <c r="AA491" s="32">
        <f t="shared" si="98"/>
        <v>0.80563658408767735</v>
      </c>
      <c r="AF491" s="40"/>
    </row>
    <row r="492" spans="1:32" customFormat="1" ht="14.25" hidden="1" customHeight="1" x14ac:dyDescent="0.35">
      <c r="A492" s="30">
        <f t="shared" si="90"/>
        <v>99</v>
      </c>
      <c r="B492">
        <v>2727</v>
      </c>
      <c r="C492">
        <v>5</v>
      </c>
      <c r="D492">
        <v>1</v>
      </c>
      <c r="E492">
        <v>5</v>
      </c>
      <c r="F492">
        <v>1</v>
      </c>
      <c r="G492">
        <v>1</v>
      </c>
      <c r="H492">
        <v>5</v>
      </c>
      <c r="I492">
        <v>5</v>
      </c>
      <c r="J492">
        <v>1</v>
      </c>
      <c r="L492">
        <v>1</v>
      </c>
      <c r="M492">
        <v>1</v>
      </c>
      <c r="N492">
        <v>0</v>
      </c>
      <c r="O492">
        <v>5</v>
      </c>
      <c r="P492">
        <v>6</v>
      </c>
      <c r="Q492">
        <v>1</v>
      </c>
      <c r="R492">
        <v>1</v>
      </c>
      <c r="S492">
        <v>1</v>
      </c>
      <c r="T492" s="3">
        <f t="shared" si="91"/>
        <v>0.88999895457577671</v>
      </c>
      <c r="U492" s="32">
        <f t="shared" si="92"/>
        <v>0.84420266961423651</v>
      </c>
      <c r="V492" s="32">
        <f t="shared" si="93"/>
        <v>1.0418053570413823</v>
      </c>
      <c r="W492" s="32">
        <f t="shared" si="94"/>
        <v>0.80698132232978881</v>
      </c>
      <c r="X492" s="32">
        <f t="shared" si="95"/>
        <v>1.0506390162289212</v>
      </c>
      <c r="Y492" s="32">
        <f t="shared" si="96"/>
        <v>0.86866731645372852</v>
      </c>
      <c r="Z492" s="32">
        <f t="shared" si="97"/>
        <v>0.81206041627470116</v>
      </c>
      <c r="AA492" s="32">
        <f t="shared" si="98"/>
        <v>0.80563658408767735</v>
      </c>
      <c r="AF492" s="40"/>
    </row>
    <row r="493" spans="1:32" customFormat="1" ht="14.25" hidden="1" customHeight="1" x14ac:dyDescent="0.35">
      <c r="A493" s="30">
        <f t="shared" si="90"/>
        <v>99</v>
      </c>
      <c r="B493">
        <v>2730</v>
      </c>
      <c r="C493">
        <v>5</v>
      </c>
      <c r="D493">
        <v>1</v>
      </c>
      <c r="E493">
        <v>5</v>
      </c>
      <c r="F493">
        <v>2</v>
      </c>
      <c r="G493">
        <v>1</v>
      </c>
      <c r="H493">
        <v>5</v>
      </c>
      <c r="I493">
        <v>5</v>
      </c>
      <c r="J493">
        <v>2</v>
      </c>
      <c r="L493">
        <v>1</v>
      </c>
      <c r="M493">
        <v>1</v>
      </c>
      <c r="N493">
        <v>1</v>
      </c>
      <c r="O493">
        <v>6</v>
      </c>
      <c r="P493">
        <v>5</v>
      </c>
      <c r="Q493">
        <v>1</v>
      </c>
      <c r="R493">
        <v>3</v>
      </c>
      <c r="S493">
        <v>2</v>
      </c>
      <c r="T493" s="3">
        <f t="shared" si="91"/>
        <v>0.77074504193342019</v>
      </c>
      <c r="U493" s="32">
        <f t="shared" si="92"/>
        <v>0.84420266961423651</v>
      </c>
      <c r="V493" s="32">
        <f t="shared" si="93"/>
        <v>1.0418053570413823</v>
      </c>
      <c r="W493" s="32">
        <f t="shared" si="94"/>
        <v>0.80698132232978881</v>
      </c>
      <c r="X493" s="32">
        <f t="shared" si="95"/>
        <v>0.21586162773242673</v>
      </c>
      <c r="Y493" s="32">
        <f t="shared" si="96"/>
        <v>0.86866731645372852</v>
      </c>
      <c r="Z493" s="32">
        <f t="shared" si="97"/>
        <v>0.81206041627470116</v>
      </c>
      <c r="AA493" s="32">
        <f t="shared" si="98"/>
        <v>0.80563658408767735</v>
      </c>
      <c r="AF493" s="40"/>
    </row>
    <row r="494" spans="1:32" customFormat="1" ht="14.25" hidden="1" customHeight="1" x14ac:dyDescent="0.35">
      <c r="A494" s="30">
        <f t="shared" si="90"/>
        <v>99</v>
      </c>
      <c r="B494">
        <v>2731</v>
      </c>
      <c r="C494">
        <v>5</v>
      </c>
      <c r="D494">
        <v>1</v>
      </c>
      <c r="E494">
        <v>5</v>
      </c>
      <c r="F494">
        <v>1</v>
      </c>
      <c r="G494">
        <v>1</v>
      </c>
      <c r="H494">
        <v>5</v>
      </c>
      <c r="I494">
        <v>5</v>
      </c>
      <c r="J494">
        <v>1</v>
      </c>
      <c r="O494">
        <v>6</v>
      </c>
      <c r="P494">
        <v>6</v>
      </c>
      <c r="Q494">
        <v>1</v>
      </c>
      <c r="R494">
        <v>2</v>
      </c>
      <c r="S494">
        <v>4</v>
      </c>
      <c r="T494" s="3">
        <f t="shared" si="91"/>
        <v>0.88999895457577671</v>
      </c>
      <c r="U494" s="32">
        <f t="shared" si="92"/>
        <v>0.84420266961423651</v>
      </c>
      <c r="V494" s="32">
        <f t="shared" si="93"/>
        <v>1.0418053570413823</v>
      </c>
      <c r="W494" s="32">
        <f t="shared" si="94"/>
        <v>0.80698132232978881</v>
      </c>
      <c r="X494" s="32">
        <f t="shared" si="95"/>
        <v>1.0506390162289212</v>
      </c>
      <c r="Y494" s="32">
        <f t="shared" si="96"/>
        <v>0.86866731645372852</v>
      </c>
      <c r="Z494" s="32">
        <f t="shared" si="97"/>
        <v>0.81206041627470116</v>
      </c>
      <c r="AA494" s="32">
        <f t="shared" si="98"/>
        <v>0.80563658408767735</v>
      </c>
      <c r="AF494" s="40"/>
    </row>
    <row r="495" spans="1:32" customFormat="1" ht="14.25" hidden="1" customHeight="1" x14ac:dyDescent="0.35">
      <c r="A495" s="30">
        <f t="shared" si="90"/>
        <v>99</v>
      </c>
      <c r="B495">
        <v>2746</v>
      </c>
      <c r="C495">
        <v>4</v>
      </c>
      <c r="D495">
        <v>1</v>
      </c>
      <c r="E495">
        <v>5</v>
      </c>
      <c r="F495">
        <v>1</v>
      </c>
      <c r="G495">
        <v>1</v>
      </c>
      <c r="H495">
        <v>3</v>
      </c>
      <c r="I495">
        <v>5</v>
      </c>
      <c r="J495">
        <v>2</v>
      </c>
      <c r="K495">
        <v>2</v>
      </c>
      <c r="O495">
        <v>6</v>
      </c>
      <c r="P495">
        <v>6</v>
      </c>
      <c r="Q495">
        <v>1</v>
      </c>
      <c r="R495">
        <v>3</v>
      </c>
      <c r="S495">
        <v>2</v>
      </c>
      <c r="T495" s="3">
        <f t="shared" si="91"/>
        <v>0.49354559554382299</v>
      </c>
      <c r="U495" s="32">
        <f t="shared" si="92"/>
        <v>-5.6401471461296142E-2</v>
      </c>
      <c r="V495" s="32">
        <f t="shared" si="93"/>
        <v>1.0418053570413823</v>
      </c>
      <c r="W495" s="32">
        <f t="shared" si="94"/>
        <v>0.80698132232978881</v>
      </c>
      <c r="X495" s="32">
        <f t="shared" si="95"/>
        <v>1.0506390162289212</v>
      </c>
      <c r="Y495" s="32">
        <f t="shared" si="96"/>
        <v>0.86866731645372852</v>
      </c>
      <c r="Z495" s="32">
        <f t="shared" si="97"/>
        <v>-1.0625089558734409</v>
      </c>
      <c r="AA495" s="32">
        <f t="shared" si="98"/>
        <v>0.80563658408767735</v>
      </c>
      <c r="AF495" s="40"/>
    </row>
    <row r="496" spans="1:32" customFormat="1" ht="14.25" hidden="1" customHeight="1" x14ac:dyDescent="0.35">
      <c r="A496" s="30">
        <f t="shared" si="90"/>
        <v>99</v>
      </c>
      <c r="B496">
        <v>2748</v>
      </c>
      <c r="C496">
        <v>5</v>
      </c>
      <c r="D496">
        <v>1</v>
      </c>
      <c r="E496">
        <v>5</v>
      </c>
      <c r="F496">
        <v>1</v>
      </c>
      <c r="G496">
        <v>1</v>
      </c>
      <c r="H496">
        <v>5</v>
      </c>
      <c r="I496">
        <v>5</v>
      </c>
      <c r="J496">
        <v>1</v>
      </c>
      <c r="O496">
        <v>5</v>
      </c>
      <c r="P496">
        <v>6</v>
      </c>
      <c r="Q496">
        <v>1</v>
      </c>
      <c r="R496">
        <v>3</v>
      </c>
      <c r="S496">
        <v>1</v>
      </c>
      <c r="T496" s="3">
        <f t="shared" si="91"/>
        <v>0.88999895457577671</v>
      </c>
      <c r="U496" s="32">
        <f t="shared" si="92"/>
        <v>0.84420266961423651</v>
      </c>
      <c r="V496" s="32">
        <f t="shared" si="93"/>
        <v>1.0418053570413823</v>
      </c>
      <c r="W496" s="32">
        <f t="shared" si="94"/>
        <v>0.80698132232978881</v>
      </c>
      <c r="X496" s="32">
        <f t="shared" si="95"/>
        <v>1.0506390162289212</v>
      </c>
      <c r="Y496" s="32">
        <f t="shared" si="96"/>
        <v>0.86866731645372852</v>
      </c>
      <c r="Z496" s="32">
        <f t="shared" si="97"/>
        <v>0.81206041627470116</v>
      </c>
      <c r="AA496" s="32">
        <f t="shared" si="98"/>
        <v>0.80563658408767735</v>
      </c>
      <c r="AF496" s="40"/>
    </row>
    <row r="497" spans="1:32" customFormat="1" ht="14.25" hidden="1" customHeight="1" x14ac:dyDescent="0.35">
      <c r="A497" s="30">
        <f t="shared" si="90"/>
        <v>99</v>
      </c>
      <c r="B497">
        <v>2754</v>
      </c>
      <c r="C497">
        <v>4</v>
      </c>
      <c r="D497">
        <v>4</v>
      </c>
      <c r="E497">
        <v>4</v>
      </c>
      <c r="F497">
        <v>3</v>
      </c>
      <c r="G497">
        <v>2</v>
      </c>
      <c r="H497">
        <v>4</v>
      </c>
      <c r="I497">
        <v>4</v>
      </c>
      <c r="J497">
        <v>1</v>
      </c>
      <c r="L497">
        <v>1</v>
      </c>
      <c r="M497">
        <v>1</v>
      </c>
      <c r="N497">
        <v>0</v>
      </c>
      <c r="O497">
        <v>6</v>
      </c>
      <c r="P497">
        <v>4</v>
      </c>
      <c r="Q497">
        <v>2</v>
      </c>
      <c r="R497">
        <v>1</v>
      </c>
      <c r="S497">
        <v>2</v>
      </c>
      <c r="T497" s="3">
        <f t="shared" si="91"/>
        <v>-0.32354730290692196</v>
      </c>
      <c r="U497" s="32">
        <f t="shared" si="92"/>
        <v>-5.6401471461296142E-2</v>
      </c>
      <c r="V497" s="32">
        <f t="shared" si="93"/>
        <v>-1.2927857385104427</v>
      </c>
      <c r="W497" s="32">
        <f t="shared" si="94"/>
        <v>-9.6984149849158471E-2</v>
      </c>
      <c r="X497" s="32">
        <f t="shared" si="95"/>
        <v>-0.61891576076406762</v>
      </c>
      <c r="Y497" s="32">
        <f t="shared" si="96"/>
        <v>2.4129647679270151E-2</v>
      </c>
      <c r="Z497" s="32">
        <f t="shared" si="97"/>
        <v>-0.12522426979936985</v>
      </c>
      <c r="AA497" s="32">
        <f t="shared" si="98"/>
        <v>-9.8649377643389324E-2</v>
      </c>
      <c r="AF497" s="40"/>
    </row>
    <row r="498" spans="1:32" ht="14.25" customHeight="1" x14ac:dyDescent="0.35">
      <c r="A498"/>
      <c r="B498"/>
      <c r="C498"/>
      <c r="D498"/>
      <c r="E498"/>
      <c r="F498"/>
      <c r="G498"/>
      <c r="H498"/>
      <c r="I498"/>
      <c r="J498"/>
      <c r="K498"/>
      <c r="L498"/>
    </row>
    <row r="499" spans="1:32" customFormat="1" ht="14.25" customHeight="1" x14ac:dyDescent="0.35"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M499" s="3"/>
    </row>
    <row r="500" spans="1:32" customFormat="1" ht="14.25" customHeight="1" x14ac:dyDescent="0.35">
      <c r="M500" s="3"/>
    </row>
    <row r="501" spans="1:32" customFormat="1" ht="14.25" customHeight="1" x14ac:dyDescent="0.35">
      <c r="M501" s="3"/>
    </row>
    <row r="502" spans="1:32" customFormat="1" ht="14.25" customHeight="1" x14ac:dyDescent="0.35"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32" customFormat="1" x14ac:dyDescent="0.35">
      <c r="D503" s="3"/>
      <c r="E503" t="s">
        <v>8</v>
      </c>
      <c r="F503" t="s">
        <v>9</v>
      </c>
      <c r="G503" t="s">
        <v>10</v>
      </c>
      <c r="H503" t="s">
        <v>11</v>
      </c>
      <c r="I503" t="s">
        <v>12</v>
      </c>
      <c r="J503" t="s">
        <v>13</v>
      </c>
      <c r="K503" t="s">
        <v>14</v>
      </c>
      <c r="L503" t="s">
        <v>15</v>
      </c>
      <c r="M503" t="s">
        <v>16</v>
      </c>
      <c r="N503" t="s">
        <v>17</v>
      </c>
      <c r="O503" t="s">
        <v>68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32" customFormat="1" x14ac:dyDescent="0.35">
      <c r="D504" s="3" t="s">
        <v>8</v>
      </c>
      <c r="E504">
        <v>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32" customFormat="1" x14ac:dyDescent="0.35">
      <c r="D505" s="3" t="s">
        <v>9</v>
      </c>
      <c r="E505">
        <v>0.43046073737675</v>
      </c>
      <c r="F505">
        <v>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32" customFormat="1" x14ac:dyDescent="0.35">
      <c r="A506" s="14" t="s">
        <v>102</v>
      </c>
      <c r="B506" s="14" t="s">
        <v>103</v>
      </c>
      <c r="C506" s="14" t="s">
        <v>93</v>
      </c>
      <c r="D506" s="3" t="s">
        <v>10</v>
      </c>
      <c r="E506">
        <v>0.35051819400849599</v>
      </c>
      <c r="F506">
        <v>0.22614064979006901</v>
      </c>
      <c r="G506">
        <v>1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32" customFormat="1" x14ac:dyDescent="0.35">
      <c r="A507">
        <v>143</v>
      </c>
      <c r="B507">
        <v>0.05</v>
      </c>
      <c r="C507">
        <f>A507-2</f>
        <v>141</v>
      </c>
      <c r="D507" s="3" t="s">
        <v>11</v>
      </c>
      <c r="E507">
        <v>0.22705927770491599</v>
      </c>
      <c r="F507">
        <v>0.20503336024626101</v>
      </c>
      <c r="G507">
        <v>2.8836689623219999E-2</v>
      </c>
      <c r="H507">
        <v>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32" customFormat="1" x14ac:dyDescent="0.35">
      <c r="D508" s="3" t="s">
        <v>12</v>
      </c>
      <c r="E508">
        <v>0.25592765606819501</v>
      </c>
      <c r="F508">
        <v>7.4082220436610099E-2</v>
      </c>
      <c r="G508">
        <v>0.26428443777779898</v>
      </c>
      <c r="H508">
        <v>0.30478715796257999</v>
      </c>
      <c r="I508">
        <v>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32" customFormat="1" x14ac:dyDescent="0.35">
      <c r="A509" s="15" t="s">
        <v>104</v>
      </c>
      <c r="B509" s="33">
        <f>(_xlfn.T.INV(1-B507,C507))/SQRT((_xlfn.T.INV(1-B507,C507))^2+C507)</f>
        <v>0.13810172645952171</v>
      </c>
      <c r="C509" s="6"/>
      <c r="D509" s="3" t="s">
        <v>13</v>
      </c>
      <c r="E509">
        <v>2.3785063172891498E-2</v>
      </c>
      <c r="F509">
        <v>6.4677111881370805E-2</v>
      </c>
      <c r="G509">
        <v>1.5772336112298901E-2</v>
      </c>
      <c r="H509">
        <v>5.8796341758901001E-3</v>
      </c>
      <c r="I509">
        <v>2.1175040857461799E-2</v>
      </c>
      <c r="J509">
        <v>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32" customFormat="1" x14ac:dyDescent="0.35">
      <c r="D510" s="3" t="s">
        <v>14</v>
      </c>
      <c r="E510">
        <v>3.5355647619054E-3</v>
      </c>
      <c r="F510">
        <v>0.19498733630516599</v>
      </c>
      <c r="G510">
        <v>-2.0746509108448E-2</v>
      </c>
      <c r="H510">
        <v>3.1733267942677001E-2</v>
      </c>
      <c r="I510">
        <v>-2.49833439773003E-3</v>
      </c>
      <c r="J510">
        <v>9.7527746194662701E-2</v>
      </c>
      <c r="K510">
        <v>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32" customFormat="1" x14ac:dyDescent="0.35">
      <c r="A511" s="3"/>
      <c r="B511" s="3"/>
      <c r="C511" s="3"/>
      <c r="D511" s="3" t="s">
        <v>15</v>
      </c>
      <c r="E511">
        <v>0.112693090568607</v>
      </c>
      <c r="F511">
        <v>7.1767663045295194E-2</v>
      </c>
      <c r="G511">
        <v>4.8451896621898402E-2</v>
      </c>
      <c r="H511">
        <v>1.6060680510765198E-2</v>
      </c>
      <c r="I511">
        <v>-0.17087581796002199</v>
      </c>
      <c r="J511">
        <v>-7.0465432816736895E-2</v>
      </c>
      <c r="K511">
        <v>0.18361920536857701</v>
      </c>
      <c r="L511">
        <v>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32" customFormat="1" x14ac:dyDescent="0.35">
      <c r="C512" s="3"/>
      <c r="D512" s="3" t="s">
        <v>16</v>
      </c>
      <c r="E512">
        <v>5.3585499769171603E-2</v>
      </c>
      <c r="F512">
        <v>7.3274698476314307E-2</v>
      </c>
      <c r="G512">
        <v>5.16189624981611E-2</v>
      </c>
      <c r="H512">
        <v>-7.2820141723066695E-2</v>
      </c>
      <c r="I512">
        <v>4.3662447607006001E-2</v>
      </c>
      <c r="J512">
        <v>-8.0335468170871893E-2</v>
      </c>
      <c r="K512">
        <v>-0.198341722303949</v>
      </c>
      <c r="L512">
        <v>1.03573263982635E-2</v>
      </c>
      <c r="M512">
        <v>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3:25" customFormat="1" x14ac:dyDescent="0.35">
      <c r="D513" s="3" t="s">
        <v>17</v>
      </c>
      <c r="E513">
        <v>0.11316089544312501</v>
      </c>
      <c r="F513">
        <v>0.206759499649314</v>
      </c>
      <c r="G513">
        <v>7.7250825166250495E-2</v>
      </c>
      <c r="H513">
        <v>0.119058056937447</v>
      </c>
      <c r="I513">
        <v>-2.37927007521383E-2</v>
      </c>
      <c r="J513">
        <v>-4.4657997192432602E-2</v>
      </c>
      <c r="K513">
        <v>0.27651543529392397</v>
      </c>
      <c r="L513">
        <v>0.48265503570655699</v>
      </c>
      <c r="M513">
        <v>-3.1054720706789801E-2</v>
      </c>
      <c r="N513">
        <v>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3:25" customFormat="1" x14ac:dyDescent="0.35">
      <c r="D514" s="3" t="s">
        <v>68</v>
      </c>
      <c r="E514" s="6">
        <v>0.13461151177039399</v>
      </c>
      <c r="F514" s="6">
        <v>3.2388466554833698E-2</v>
      </c>
      <c r="G514" s="6">
        <v>2.2984907925080799E-2</v>
      </c>
      <c r="H514" s="43">
        <v>0.203367014587542</v>
      </c>
      <c r="I514" s="43">
        <v>0.19012331219759801</v>
      </c>
      <c r="J514" s="35">
        <v>9.9204166190397403E-2</v>
      </c>
      <c r="K514" s="44">
        <v>-0.19107833592155499</v>
      </c>
      <c r="L514" s="44">
        <v>-0.422414395436432</v>
      </c>
      <c r="M514" s="35">
        <v>0.13333717497532699</v>
      </c>
      <c r="N514" s="44">
        <v>-0.307223363775185</v>
      </c>
      <c r="O514">
        <v>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3:25" customFormat="1" x14ac:dyDescent="0.35">
      <c r="D515" s="3"/>
      <c r="H515">
        <f>H514*-1</f>
        <v>-0.203367014587542</v>
      </c>
      <c r="I515">
        <f>I514*-1</f>
        <v>-0.19012331219759801</v>
      </c>
      <c r="J515">
        <f>J514*-1</f>
        <v>-9.9204166190397403E-2</v>
      </c>
      <c r="K515">
        <f>K514*-1</f>
        <v>0.19107833592155499</v>
      </c>
      <c r="L515">
        <f>L514*-1</f>
        <v>0.422414395436432</v>
      </c>
      <c r="N515">
        <f>N514*-1</f>
        <v>0.307223363775185</v>
      </c>
    </row>
    <row r="516" spans="3:25" customFormat="1" x14ac:dyDescent="0.35">
      <c r="M516" s="3"/>
    </row>
    <row r="517" spans="3:25" customFormat="1" x14ac:dyDescent="0.35">
      <c r="M517" s="3"/>
    </row>
    <row r="518" spans="3:25" customFormat="1" x14ac:dyDescent="0.35">
      <c r="M518" s="3"/>
    </row>
    <row r="519" spans="3:25" customFormat="1" x14ac:dyDescent="0.35">
      <c r="C519" s="34"/>
      <c r="M519" s="3"/>
    </row>
    <row r="520" spans="3:25" customFormat="1" x14ac:dyDescent="0.35">
      <c r="M520" s="3"/>
    </row>
    <row r="521" spans="3:25" customFormat="1" x14ac:dyDescent="0.35">
      <c r="M521" s="3"/>
    </row>
    <row r="522" spans="3:25" customFormat="1" x14ac:dyDescent="0.35">
      <c r="M522" s="3"/>
    </row>
    <row r="523" spans="3:25" customFormat="1" x14ac:dyDescent="0.35">
      <c r="M523" s="3"/>
    </row>
    <row r="524" spans="3:25" customFormat="1" x14ac:dyDescent="0.35">
      <c r="M524" s="3"/>
    </row>
    <row r="525" spans="3:25" customFormat="1" x14ac:dyDescent="0.35">
      <c r="M525" s="3"/>
    </row>
    <row r="526" spans="3:25" customFormat="1" x14ac:dyDescent="0.35">
      <c r="M526" s="3"/>
    </row>
    <row r="527" spans="3:25" customFormat="1" x14ac:dyDescent="0.35">
      <c r="M527" s="3"/>
    </row>
    <row r="528" spans="3:25" customFormat="1" x14ac:dyDescent="0.35">
      <c r="M528" s="3"/>
    </row>
    <row r="529" spans="13:13" customFormat="1" x14ac:dyDescent="0.35">
      <c r="M529" s="49"/>
    </row>
    <row r="530" spans="13:13" customFormat="1" x14ac:dyDescent="0.35">
      <c r="M530" s="3"/>
    </row>
    <row r="531" spans="13:13" customFormat="1" x14ac:dyDescent="0.35">
      <c r="M531" s="3"/>
    </row>
    <row r="532" spans="13:13" customFormat="1" x14ac:dyDescent="0.35">
      <c r="M532" s="3"/>
    </row>
    <row r="533" spans="13:13" customFormat="1" x14ac:dyDescent="0.35">
      <c r="M533" s="3"/>
    </row>
    <row r="534" spans="13:13" customFormat="1" x14ac:dyDescent="0.35">
      <c r="M534" s="3"/>
    </row>
    <row r="535" spans="13:13" customFormat="1" x14ac:dyDescent="0.35">
      <c r="M535" s="3"/>
    </row>
    <row r="536" spans="13:13" customFormat="1" x14ac:dyDescent="0.35">
      <c r="M536" s="3"/>
    </row>
    <row r="537" spans="13:13" customFormat="1" x14ac:dyDescent="0.35">
      <c r="M537" s="3"/>
    </row>
    <row r="538" spans="13:13" customFormat="1" x14ac:dyDescent="0.35">
      <c r="M538" s="3"/>
    </row>
    <row r="539" spans="13:13" customFormat="1" x14ac:dyDescent="0.35">
      <c r="M539" s="3"/>
    </row>
    <row r="540" spans="13:13" customFormat="1" x14ac:dyDescent="0.35">
      <c r="M540" s="3"/>
    </row>
    <row r="541" spans="13:13" customFormat="1" x14ac:dyDescent="0.35">
      <c r="M541" s="3"/>
    </row>
    <row r="542" spans="13:13" customFormat="1" x14ac:dyDescent="0.35">
      <c r="M542" s="3"/>
    </row>
    <row r="543" spans="13:13" customFormat="1" x14ac:dyDescent="0.35">
      <c r="M543" s="3"/>
    </row>
    <row r="544" spans="13:13" customFormat="1" x14ac:dyDescent="0.35">
      <c r="M544" s="3"/>
    </row>
    <row r="545" spans="13:13" customFormat="1" x14ac:dyDescent="0.35">
      <c r="M545" s="3"/>
    </row>
    <row r="546" spans="13:13" customFormat="1" x14ac:dyDescent="0.35">
      <c r="M546" s="3"/>
    </row>
    <row r="547" spans="13:13" customFormat="1" x14ac:dyDescent="0.35">
      <c r="M547" s="3"/>
    </row>
    <row r="548" spans="13:13" customFormat="1" x14ac:dyDescent="0.35">
      <c r="M548" s="3"/>
    </row>
    <row r="549" spans="13:13" customFormat="1" x14ac:dyDescent="0.35">
      <c r="M549" s="3"/>
    </row>
    <row r="550" spans="13:13" customFormat="1" x14ac:dyDescent="0.35">
      <c r="M550" s="3"/>
    </row>
    <row r="551" spans="13:13" customFormat="1" x14ac:dyDescent="0.35">
      <c r="M551" s="3"/>
    </row>
    <row r="552" spans="13:13" customFormat="1" x14ac:dyDescent="0.35">
      <c r="M552" s="3"/>
    </row>
    <row r="553" spans="13:13" customFormat="1" x14ac:dyDescent="0.35">
      <c r="M553" s="3"/>
    </row>
    <row r="554" spans="13:13" customFormat="1" x14ac:dyDescent="0.35">
      <c r="M554" s="3"/>
    </row>
    <row r="555" spans="13:13" customFormat="1" x14ac:dyDescent="0.35">
      <c r="M555" s="3"/>
    </row>
    <row r="556" spans="13:13" customFormat="1" x14ac:dyDescent="0.35">
      <c r="M556" s="3"/>
    </row>
    <row r="557" spans="13:13" customFormat="1" x14ac:dyDescent="0.35">
      <c r="M557" s="3"/>
    </row>
    <row r="558" spans="13:13" customFormat="1" x14ac:dyDescent="0.35">
      <c r="M558" s="3"/>
    </row>
    <row r="559" spans="13:13" customFormat="1" x14ac:dyDescent="0.35">
      <c r="M559" s="3"/>
    </row>
    <row r="560" spans="13:13" customFormat="1" x14ac:dyDescent="0.35">
      <c r="M560" s="3"/>
    </row>
    <row r="561" spans="13:13" customFormat="1" x14ac:dyDescent="0.35">
      <c r="M561" s="3"/>
    </row>
    <row r="562" spans="13:13" customFormat="1" x14ac:dyDescent="0.35">
      <c r="M562" s="3"/>
    </row>
    <row r="563" spans="13:13" customFormat="1" x14ac:dyDescent="0.35">
      <c r="M563" s="3"/>
    </row>
    <row r="564" spans="13:13" customFormat="1" x14ac:dyDescent="0.35">
      <c r="M564" s="3"/>
    </row>
    <row r="565" spans="13:13" customFormat="1" x14ac:dyDescent="0.35">
      <c r="M565" s="3"/>
    </row>
    <row r="566" spans="13:13" customFormat="1" x14ac:dyDescent="0.35">
      <c r="M566" s="3"/>
    </row>
    <row r="567" spans="13:13" customFormat="1" x14ac:dyDescent="0.35">
      <c r="M567" s="3"/>
    </row>
    <row r="568" spans="13:13" customFormat="1" x14ac:dyDescent="0.35">
      <c r="M568" s="3"/>
    </row>
    <row r="569" spans="13:13" customFormat="1" x14ac:dyDescent="0.35">
      <c r="M569" s="3"/>
    </row>
    <row r="570" spans="13:13" customFormat="1" x14ac:dyDescent="0.35">
      <c r="M570" s="3"/>
    </row>
    <row r="571" spans="13:13" customFormat="1" x14ac:dyDescent="0.35">
      <c r="M571" s="3"/>
    </row>
    <row r="572" spans="13:13" customFormat="1" x14ac:dyDescent="0.35">
      <c r="M572" s="3"/>
    </row>
    <row r="573" spans="13:13" customFormat="1" x14ac:dyDescent="0.35">
      <c r="M573" s="3"/>
    </row>
    <row r="574" spans="13:13" customFormat="1" x14ac:dyDescent="0.35">
      <c r="M574" s="3"/>
    </row>
    <row r="575" spans="13:13" customFormat="1" x14ac:dyDescent="0.35">
      <c r="M575" s="3"/>
    </row>
    <row r="576" spans="13:13" customFormat="1" x14ac:dyDescent="0.35">
      <c r="M576" s="3"/>
    </row>
    <row r="577" spans="13:13" customFormat="1" x14ac:dyDescent="0.35">
      <c r="M577" s="3"/>
    </row>
    <row r="578" spans="13:13" customFormat="1" x14ac:dyDescent="0.35">
      <c r="M578" s="3"/>
    </row>
    <row r="579" spans="13:13" customFormat="1" x14ac:dyDescent="0.35">
      <c r="M579" s="3"/>
    </row>
    <row r="580" spans="13:13" customFormat="1" x14ac:dyDescent="0.35">
      <c r="M580" s="3"/>
    </row>
    <row r="581" spans="13:13" customFormat="1" x14ac:dyDescent="0.35">
      <c r="M581" s="3"/>
    </row>
    <row r="582" spans="13:13" customFormat="1" x14ac:dyDescent="0.35">
      <c r="M582" s="3"/>
    </row>
    <row r="583" spans="13:13" customFormat="1" x14ac:dyDescent="0.35">
      <c r="M583" s="3"/>
    </row>
    <row r="584" spans="13:13" customFormat="1" x14ac:dyDescent="0.35">
      <c r="M584" s="3"/>
    </row>
    <row r="585" spans="13:13" customFormat="1" x14ac:dyDescent="0.35">
      <c r="M585" s="3"/>
    </row>
    <row r="586" spans="13:13" customFormat="1" x14ac:dyDescent="0.35">
      <c r="M586" s="3"/>
    </row>
    <row r="587" spans="13:13" customFormat="1" x14ac:dyDescent="0.35">
      <c r="M587" s="3"/>
    </row>
    <row r="588" spans="13:13" customFormat="1" x14ac:dyDescent="0.35">
      <c r="M588" s="3"/>
    </row>
    <row r="589" spans="13:13" customFormat="1" x14ac:dyDescent="0.35">
      <c r="M589" s="3"/>
    </row>
    <row r="590" spans="13:13" customFormat="1" x14ac:dyDescent="0.35">
      <c r="M590" s="3"/>
    </row>
    <row r="591" spans="13:13" customFormat="1" x14ac:dyDescent="0.35">
      <c r="M591" s="3"/>
    </row>
    <row r="592" spans="13:13" customFormat="1" x14ac:dyDescent="0.35">
      <c r="M592" s="3"/>
    </row>
    <row r="593" spans="13:13" customFormat="1" x14ac:dyDescent="0.35">
      <c r="M593" s="3"/>
    </row>
    <row r="594" spans="13:13" customFormat="1" x14ac:dyDescent="0.35">
      <c r="M594" s="3"/>
    </row>
    <row r="595" spans="13:13" customFormat="1" x14ac:dyDescent="0.35">
      <c r="M595" s="3"/>
    </row>
    <row r="596" spans="13:13" customFormat="1" x14ac:dyDescent="0.35">
      <c r="M596" s="3"/>
    </row>
    <row r="597" spans="13:13" customFormat="1" x14ac:dyDescent="0.35">
      <c r="M597" s="3"/>
    </row>
    <row r="598" spans="13:13" customFormat="1" x14ac:dyDescent="0.35">
      <c r="M598" s="3"/>
    </row>
    <row r="599" spans="13:13" customFormat="1" x14ac:dyDescent="0.35">
      <c r="M599" s="3"/>
    </row>
    <row r="600" spans="13:13" customFormat="1" x14ac:dyDescent="0.35">
      <c r="M600" s="3"/>
    </row>
    <row r="601" spans="13:13" customFormat="1" x14ac:dyDescent="0.35">
      <c r="M601" s="3"/>
    </row>
    <row r="602" spans="13:13" customFormat="1" x14ac:dyDescent="0.35">
      <c r="M602" s="3"/>
    </row>
    <row r="603" spans="13:13" customFormat="1" x14ac:dyDescent="0.35">
      <c r="M603" s="3"/>
    </row>
    <row r="604" spans="13:13" customFormat="1" x14ac:dyDescent="0.35">
      <c r="M604" s="3"/>
    </row>
    <row r="605" spans="13:13" customFormat="1" x14ac:dyDescent="0.35">
      <c r="M605" s="3"/>
    </row>
    <row r="606" spans="13:13" customFormat="1" x14ac:dyDescent="0.35">
      <c r="M606" s="3"/>
    </row>
    <row r="607" spans="13:13" customFormat="1" x14ac:dyDescent="0.35">
      <c r="M607" s="3"/>
    </row>
    <row r="608" spans="13:13" customFormat="1" x14ac:dyDescent="0.35">
      <c r="M608" s="3"/>
    </row>
    <row r="609" spans="13:13" customFormat="1" x14ac:dyDescent="0.35">
      <c r="M609" s="3"/>
    </row>
    <row r="610" spans="13:13" customFormat="1" x14ac:dyDescent="0.35">
      <c r="M610" s="3"/>
    </row>
    <row r="611" spans="13:13" customFormat="1" x14ac:dyDescent="0.35">
      <c r="M611" s="3"/>
    </row>
    <row r="612" spans="13:13" customFormat="1" x14ac:dyDescent="0.35">
      <c r="M612" s="3"/>
    </row>
    <row r="613" spans="13:13" customFormat="1" x14ac:dyDescent="0.35">
      <c r="M613" s="3"/>
    </row>
    <row r="614" spans="13:13" customFormat="1" x14ac:dyDescent="0.35">
      <c r="M614" s="3"/>
    </row>
    <row r="615" spans="13:13" customFormat="1" x14ac:dyDescent="0.35">
      <c r="M615" s="3"/>
    </row>
    <row r="616" spans="13:13" customFormat="1" x14ac:dyDescent="0.35">
      <c r="M616" s="3"/>
    </row>
    <row r="617" spans="13:13" customFormat="1" x14ac:dyDescent="0.35">
      <c r="M617" s="3"/>
    </row>
    <row r="618" spans="13:13" customFormat="1" x14ac:dyDescent="0.35">
      <c r="M618" s="3"/>
    </row>
    <row r="619" spans="13:13" customFormat="1" x14ac:dyDescent="0.35">
      <c r="M619" s="3"/>
    </row>
    <row r="620" spans="13:13" customFormat="1" x14ac:dyDescent="0.35">
      <c r="M620" s="3"/>
    </row>
    <row r="621" spans="13:13" customFormat="1" x14ac:dyDescent="0.35">
      <c r="M621" s="3"/>
    </row>
    <row r="622" spans="13:13" customFormat="1" x14ac:dyDescent="0.35">
      <c r="M622" s="3"/>
    </row>
    <row r="623" spans="13:13" customFormat="1" x14ac:dyDescent="0.35">
      <c r="M623" s="3"/>
    </row>
    <row r="624" spans="13:13" customFormat="1" x14ac:dyDescent="0.35">
      <c r="M624" s="3"/>
    </row>
    <row r="625" spans="13:13" customFormat="1" x14ac:dyDescent="0.35">
      <c r="M625" s="3"/>
    </row>
    <row r="626" spans="13:13" customFormat="1" x14ac:dyDescent="0.35">
      <c r="M626" s="3"/>
    </row>
    <row r="627" spans="13:13" customFormat="1" x14ac:dyDescent="0.35">
      <c r="M627" s="3"/>
    </row>
    <row r="628" spans="13:13" customFormat="1" x14ac:dyDescent="0.35">
      <c r="M628" s="3"/>
    </row>
    <row r="629" spans="13:13" customFormat="1" x14ac:dyDescent="0.35">
      <c r="M629" s="3"/>
    </row>
    <row r="630" spans="13:13" customFormat="1" x14ac:dyDescent="0.35">
      <c r="M630" s="3"/>
    </row>
    <row r="631" spans="13:13" customFormat="1" x14ac:dyDescent="0.35">
      <c r="M631" s="3"/>
    </row>
    <row r="632" spans="13:13" customFormat="1" x14ac:dyDescent="0.35">
      <c r="M632" s="3"/>
    </row>
    <row r="633" spans="13:13" customFormat="1" x14ac:dyDescent="0.35">
      <c r="M633" s="3"/>
    </row>
    <row r="634" spans="13:13" customFormat="1" x14ac:dyDescent="0.35">
      <c r="M634" s="3"/>
    </row>
    <row r="635" spans="13:13" customFormat="1" x14ac:dyDescent="0.35">
      <c r="M635" s="3"/>
    </row>
    <row r="636" spans="13:13" customFormat="1" x14ac:dyDescent="0.35">
      <c r="M636" s="3"/>
    </row>
    <row r="637" spans="13:13" customFormat="1" x14ac:dyDescent="0.35">
      <c r="M637" s="3"/>
    </row>
    <row r="638" spans="13:13" customFormat="1" x14ac:dyDescent="0.35">
      <c r="M638" s="3"/>
    </row>
    <row r="639" spans="13:13" customFormat="1" x14ac:dyDescent="0.35">
      <c r="M639" s="3"/>
    </row>
    <row r="640" spans="13:13" customFormat="1" x14ac:dyDescent="0.35">
      <c r="M640" s="3"/>
    </row>
    <row r="641" spans="4:13" customFormat="1" x14ac:dyDescent="0.35">
      <c r="M641" s="3"/>
    </row>
    <row r="642" spans="4:13" customFormat="1" x14ac:dyDescent="0.35">
      <c r="M642" s="3"/>
    </row>
    <row r="643" spans="4:13" customFormat="1" x14ac:dyDescent="0.35">
      <c r="M643" s="3"/>
    </row>
    <row r="644" spans="4:13" customFormat="1" x14ac:dyDescent="0.35">
      <c r="M644" s="3"/>
    </row>
    <row r="645" spans="4:13" customFormat="1" x14ac:dyDescent="0.35">
      <c r="M645" s="3"/>
    </row>
    <row r="646" spans="4:13" customFormat="1" x14ac:dyDescent="0.35">
      <c r="M646" s="3"/>
    </row>
    <row r="647" spans="4:13" customFormat="1" x14ac:dyDescent="0.35">
      <c r="M647" s="3"/>
    </row>
    <row r="648" spans="4:13" customFormat="1" x14ac:dyDescent="0.35">
      <c r="M648" s="3"/>
    </row>
    <row r="649" spans="4:13" customFormat="1" x14ac:dyDescent="0.35">
      <c r="M649" s="3"/>
    </row>
    <row r="650" spans="4:13" customFormat="1" x14ac:dyDescent="0.35">
      <c r="D650" t="s">
        <v>9</v>
      </c>
      <c r="E650">
        <v>143</v>
      </c>
      <c r="F650">
        <v>201</v>
      </c>
      <c r="G650">
        <v>1.4055944055944001</v>
      </c>
      <c r="H650">
        <v>0.327292425883974</v>
      </c>
      <c r="M650" s="3"/>
    </row>
    <row r="651" spans="4:13" customFormat="1" x14ac:dyDescent="0.35">
      <c r="D651" t="s">
        <v>10</v>
      </c>
      <c r="E651">
        <v>143</v>
      </c>
      <c r="F651">
        <v>226</v>
      </c>
      <c r="G651">
        <v>1.58041958041958</v>
      </c>
      <c r="H651">
        <v>0.52693785088151301</v>
      </c>
      <c r="M651" s="3"/>
    </row>
    <row r="652" spans="4:13" customFormat="1" x14ac:dyDescent="0.35">
      <c r="D652" t="s">
        <v>11</v>
      </c>
      <c r="E652">
        <v>143</v>
      </c>
      <c r="F652">
        <v>322</v>
      </c>
      <c r="G652">
        <v>2.2517482517482499</v>
      </c>
      <c r="H652">
        <v>1.0911060770215699</v>
      </c>
      <c r="M652" s="3"/>
    </row>
    <row r="653" spans="4:13" customFormat="1" x14ac:dyDescent="0.35">
      <c r="D653" t="s">
        <v>12</v>
      </c>
      <c r="E653">
        <v>143</v>
      </c>
      <c r="F653">
        <v>448</v>
      </c>
      <c r="G653">
        <v>3.1328671328671298</v>
      </c>
      <c r="H653">
        <v>51.749827637151498</v>
      </c>
      <c r="M653" s="3"/>
    </row>
    <row r="654" spans="4:13" customFormat="1" x14ac:dyDescent="0.35">
      <c r="D654" t="s">
        <v>13</v>
      </c>
      <c r="E654">
        <v>143</v>
      </c>
      <c r="F654">
        <v>820</v>
      </c>
      <c r="G654">
        <v>5.7342657342657297</v>
      </c>
      <c r="H654">
        <v>0.42184575987392797</v>
      </c>
      <c r="M654" s="3"/>
    </row>
    <row r="655" spans="4:13" customFormat="1" x14ac:dyDescent="0.35">
      <c r="D655" t="s">
        <v>14</v>
      </c>
      <c r="E655">
        <v>143</v>
      </c>
      <c r="F655">
        <v>687</v>
      </c>
      <c r="G655">
        <v>4.8041958041957997</v>
      </c>
      <c r="H655">
        <v>1.6515315670245201</v>
      </c>
      <c r="M655" s="3"/>
    </row>
    <row r="656" spans="4:13" customFormat="1" x14ac:dyDescent="0.35">
      <c r="D656" t="s">
        <v>15</v>
      </c>
      <c r="E656">
        <v>143</v>
      </c>
      <c r="F656">
        <v>232</v>
      </c>
      <c r="G656">
        <v>1.6223776223776201</v>
      </c>
      <c r="H656">
        <v>0.44794641977740501</v>
      </c>
      <c r="M656" s="3"/>
    </row>
    <row r="657" spans="4:13" customFormat="1" x14ac:dyDescent="0.35">
      <c r="D657" t="s">
        <v>16</v>
      </c>
      <c r="E657">
        <v>143</v>
      </c>
      <c r="F657">
        <v>347</v>
      </c>
      <c r="G657">
        <v>2.42657342657342</v>
      </c>
      <c r="H657">
        <v>1.1054860632325401</v>
      </c>
      <c r="M657" s="3"/>
    </row>
    <row r="658" spans="4:13" customFormat="1" x14ac:dyDescent="0.35">
      <c r="D658" t="s">
        <v>17</v>
      </c>
      <c r="E658">
        <v>143</v>
      </c>
      <c r="F658">
        <v>291</v>
      </c>
      <c r="G658">
        <v>2.0349650349650301</v>
      </c>
      <c r="H658">
        <v>0.79454348468432801</v>
      </c>
      <c r="M658" s="3"/>
    </row>
    <row r="659" spans="4:13" customFormat="1" x14ac:dyDescent="0.35">
      <c r="D659" t="s">
        <v>68</v>
      </c>
      <c r="E659">
        <v>143</v>
      </c>
      <c r="F659">
        <v>-5.4045277799769602</v>
      </c>
      <c r="G659">
        <v>-3.7793900559279399E-2</v>
      </c>
      <c r="H659">
        <v>0.399356768447794</v>
      </c>
      <c r="M659" s="3"/>
    </row>
    <row r="660" spans="4:13" customFormat="1" x14ac:dyDescent="0.35">
      <c r="M660" s="3"/>
    </row>
    <row r="661" spans="4:13" customFormat="1" x14ac:dyDescent="0.35">
      <c r="M661" s="3"/>
    </row>
    <row r="662" spans="4:13" customFormat="1" x14ac:dyDescent="0.35">
      <c r="D662" t="s">
        <v>90</v>
      </c>
      <c r="M662" s="3"/>
    </row>
    <row r="663" spans="4:13" customFormat="1" x14ac:dyDescent="0.35">
      <c r="D663" t="s">
        <v>91</v>
      </c>
      <c r="E663" t="s">
        <v>92</v>
      </c>
      <c r="F663" t="s">
        <v>93</v>
      </c>
      <c r="G663" t="s">
        <v>94</v>
      </c>
      <c r="H663" t="s">
        <v>95</v>
      </c>
      <c r="I663" t="s">
        <v>96</v>
      </c>
      <c r="J663" t="s">
        <v>97</v>
      </c>
      <c r="M663" s="3"/>
    </row>
    <row r="664" spans="4:13" customFormat="1" x14ac:dyDescent="0.35">
      <c r="D664" t="s">
        <v>98</v>
      </c>
      <c r="E664">
        <v>980.43764886208101</v>
      </c>
      <c r="F664">
        <v>142</v>
      </c>
      <c r="G664">
        <v>6.9044904849442297</v>
      </c>
      <c r="H664">
        <v>1.2040059782815</v>
      </c>
      <c r="I664">
        <v>6.0124772481925201E-2</v>
      </c>
      <c r="J664">
        <v>1.2171319782226899</v>
      </c>
      <c r="M664" s="3"/>
    </row>
    <row r="665" spans="4:13" customFormat="1" x14ac:dyDescent="0.35">
      <c r="D665" t="s">
        <v>99</v>
      </c>
      <c r="E665">
        <v>3676.15275864055</v>
      </c>
      <c r="F665">
        <v>9</v>
      </c>
      <c r="G665">
        <v>408.46141762672801</v>
      </c>
      <c r="H665">
        <v>71.227556876543503</v>
      </c>
      <c r="I665">
        <v>0</v>
      </c>
      <c r="J665">
        <v>1.8871918535482399</v>
      </c>
      <c r="M665" s="3"/>
    </row>
    <row r="666" spans="4:13" customFormat="1" x14ac:dyDescent="0.35">
      <c r="D666" t="s">
        <v>100</v>
      </c>
      <c r="E666">
        <v>7328.8164668029904</v>
      </c>
      <c r="F666">
        <v>1278</v>
      </c>
      <c r="G666">
        <v>5.7345981743372301</v>
      </c>
      <c r="M666" s="3"/>
    </row>
    <row r="667" spans="4:13" customFormat="1" x14ac:dyDescent="0.35">
      <c r="M667" s="3"/>
    </row>
    <row r="668" spans="4:13" customFormat="1" x14ac:dyDescent="0.35">
      <c r="D668" t="s">
        <v>101</v>
      </c>
      <c r="E668">
        <v>11985.4068743056</v>
      </c>
      <c r="F668">
        <v>1429</v>
      </c>
      <c r="M668" s="3"/>
    </row>
    <row r="669" spans="4:13" customFormat="1" x14ac:dyDescent="0.35">
      <c r="M669" s="3"/>
    </row>
    <row r="670" spans="4:13" customFormat="1" x14ac:dyDescent="0.35">
      <c r="M670" s="3"/>
    </row>
    <row r="671" spans="4:13" customFormat="1" x14ac:dyDescent="0.35">
      <c r="M671" s="3"/>
    </row>
    <row r="672" spans="4:13" customFormat="1" x14ac:dyDescent="0.35">
      <c r="M672" s="3"/>
    </row>
    <row r="673" spans="13:13" customFormat="1" x14ac:dyDescent="0.35">
      <c r="M673" s="3"/>
    </row>
    <row r="674" spans="13:13" customFormat="1" x14ac:dyDescent="0.35">
      <c r="M674" s="3"/>
    </row>
    <row r="675" spans="13:13" customFormat="1" x14ac:dyDescent="0.35">
      <c r="M675" s="3"/>
    </row>
    <row r="676" spans="13:13" customFormat="1" x14ac:dyDescent="0.35">
      <c r="M676" s="3"/>
    </row>
    <row r="677" spans="13:13" customFormat="1" x14ac:dyDescent="0.35">
      <c r="M677" s="3"/>
    </row>
    <row r="678" spans="13:13" customFormat="1" x14ac:dyDescent="0.35">
      <c r="M678" s="3"/>
    </row>
    <row r="679" spans="13:13" customFormat="1" x14ac:dyDescent="0.35">
      <c r="M679" s="3"/>
    </row>
    <row r="680" spans="13:13" customFormat="1" x14ac:dyDescent="0.35">
      <c r="M680" s="3"/>
    </row>
    <row r="681" spans="13:13" customFormat="1" x14ac:dyDescent="0.35">
      <c r="M681" s="3"/>
    </row>
    <row r="682" spans="13:13" customFormat="1" x14ac:dyDescent="0.35">
      <c r="M682" s="3"/>
    </row>
    <row r="683" spans="13:13" customFormat="1" x14ac:dyDescent="0.35">
      <c r="M683" s="3"/>
    </row>
    <row r="684" spans="13:13" customFormat="1" x14ac:dyDescent="0.35">
      <c r="M684" s="3"/>
    </row>
    <row r="685" spans="13:13" customFormat="1" x14ac:dyDescent="0.35">
      <c r="M685" s="3"/>
    </row>
    <row r="686" spans="13:13" customFormat="1" x14ac:dyDescent="0.35">
      <c r="M686" s="3"/>
    </row>
    <row r="687" spans="13:13" customFormat="1" x14ac:dyDescent="0.35">
      <c r="M687" s="3"/>
    </row>
    <row r="688" spans="13:13" customFormat="1" x14ac:dyDescent="0.35">
      <c r="M688" s="3"/>
    </row>
    <row r="689" spans="13:13" customFormat="1" x14ac:dyDescent="0.35">
      <c r="M689" s="3"/>
    </row>
    <row r="690" spans="13:13" customFormat="1" x14ac:dyDescent="0.35">
      <c r="M690" s="3"/>
    </row>
    <row r="691" spans="13:13" customFormat="1" x14ac:dyDescent="0.35">
      <c r="M691" s="3"/>
    </row>
    <row r="692" spans="13:13" customFormat="1" x14ac:dyDescent="0.35">
      <c r="M692" s="3"/>
    </row>
    <row r="693" spans="13:13" customFormat="1" x14ac:dyDescent="0.35">
      <c r="M693" s="3"/>
    </row>
    <row r="694" spans="13:13" customFormat="1" x14ac:dyDescent="0.35">
      <c r="M694" s="3"/>
    </row>
    <row r="695" spans="13:13" customFormat="1" x14ac:dyDescent="0.35">
      <c r="M695" s="3"/>
    </row>
    <row r="696" spans="13:13" customFormat="1" x14ac:dyDescent="0.35">
      <c r="M696" s="3"/>
    </row>
    <row r="697" spans="13:13" customFormat="1" x14ac:dyDescent="0.35">
      <c r="M697" s="3"/>
    </row>
    <row r="698" spans="13:13" customFormat="1" x14ac:dyDescent="0.35">
      <c r="M698" s="3"/>
    </row>
    <row r="699" spans="13:13" customFormat="1" x14ac:dyDescent="0.35">
      <c r="M699" s="3"/>
    </row>
    <row r="700" spans="13:13" customFormat="1" x14ac:dyDescent="0.35">
      <c r="M700" s="3"/>
    </row>
    <row r="701" spans="13:13" customFormat="1" x14ac:dyDescent="0.35">
      <c r="M701" s="3"/>
    </row>
    <row r="702" spans="13:13" customFormat="1" x14ac:dyDescent="0.35">
      <c r="M702" s="3"/>
    </row>
    <row r="703" spans="13:13" customFormat="1" x14ac:dyDescent="0.35">
      <c r="M703" s="3"/>
    </row>
    <row r="704" spans="13:13" customFormat="1" x14ac:dyDescent="0.35">
      <c r="M704" s="3"/>
    </row>
    <row r="705" spans="13:13" customFormat="1" x14ac:dyDescent="0.35">
      <c r="M705" s="3"/>
    </row>
    <row r="706" spans="13:13" customFormat="1" x14ac:dyDescent="0.35">
      <c r="M706" s="3"/>
    </row>
    <row r="707" spans="13:13" customFormat="1" x14ac:dyDescent="0.35">
      <c r="M707" s="3"/>
    </row>
    <row r="708" spans="13:13" customFormat="1" x14ac:dyDescent="0.35">
      <c r="M708" s="3"/>
    </row>
    <row r="709" spans="13:13" customFormat="1" x14ac:dyDescent="0.35">
      <c r="M709" s="3"/>
    </row>
    <row r="710" spans="13:13" customFormat="1" x14ac:dyDescent="0.35">
      <c r="M710" s="3"/>
    </row>
    <row r="711" spans="13:13" customFormat="1" x14ac:dyDescent="0.35">
      <c r="M711" s="3"/>
    </row>
    <row r="712" spans="13:13" customFormat="1" x14ac:dyDescent="0.35">
      <c r="M712" s="3"/>
    </row>
    <row r="713" spans="13:13" customFormat="1" x14ac:dyDescent="0.35">
      <c r="M713" s="3"/>
    </row>
    <row r="714" spans="13:13" customFormat="1" x14ac:dyDescent="0.35">
      <c r="M714" s="3"/>
    </row>
    <row r="715" spans="13:13" customFormat="1" x14ac:dyDescent="0.35">
      <c r="M715" s="3"/>
    </row>
    <row r="716" spans="13:13" customFormat="1" x14ac:dyDescent="0.35">
      <c r="M716" s="3"/>
    </row>
    <row r="717" spans="13:13" customFormat="1" x14ac:dyDescent="0.35">
      <c r="M717" s="3"/>
    </row>
    <row r="718" spans="13:13" customFormat="1" x14ac:dyDescent="0.35">
      <c r="M718" s="3"/>
    </row>
    <row r="719" spans="13:13" customFormat="1" x14ac:dyDescent="0.35">
      <c r="M719" s="3"/>
    </row>
    <row r="720" spans="13:13" customFormat="1" x14ac:dyDescent="0.35">
      <c r="M720" s="3"/>
    </row>
    <row r="721" spans="13:13" customFormat="1" x14ac:dyDescent="0.35">
      <c r="M721" s="3"/>
    </row>
    <row r="722" spans="13:13" customFormat="1" x14ac:dyDescent="0.35">
      <c r="M722" s="3"/>
    </row>
    <row r="723" spans="13:13" customFormat="1" x14ac:dyDescent="0.35">
      <c r="M723" s="3"/>
    </row>
    <row r="724" spans="13:13" customFormat="1" x14ac:dyDescent="0.35">
      <c r="M724" s="3"/>
    </row>
    <row r="725" spans="13:13" customFormat="1" x14ac:dyDescent="0.35">
      <c r="M725" s="3"/>
    </row>
    <row r="726" spans="13:13" customFormat="1" x14ac:dyDescent="0.35">
      <c r="M726" s="3"/>
    </row>
    <row r="727" spans="13:13" customFormat="1" x14ac:dyDescent="0.35">
      <c r="M727" s="3"/>
    </row>
    <row r="728" spans="13:13" customFormat="1" x14ac:dyDescent="0.35">
      <c r="M728" s="3"/>
    </row>
    <row r="729" spans="13:13" customFormat="1" x14ac:dyDescent="0.35">
      <c r="M729" s="3"/>
    </row>
    <row r="730" spans="13:13" customFormat="1" x14ac:dyDescent="0.35">
      <c r="M730" s="3"/>
    </row>
    <row r="731" spans="13:13" customFormat="1" x14ac:dyDescent="0.35">
      <c r="M731" s="3"/>
    </row>
    <row r="732" spans="13:13" customFormat="1" x14ac:dyDescent="0.35">
      <c r="M732" s="3"/>
    </row>
    <row r="733" spans="13:13" customFormat="1" x14ac:dyDescent="0.35">
      <c r="M733" s="3"/>
    </row>
    <row r="734" spans="13:13" customFormat="1" x14ac:dyDescent="0.35">
      <c r="M734" s="3"/>
    </row>
    <row r="735" spans="13:13" customFormat="1" x14ac:dyDescent="0.35">
      <c r="M735" s="3"/>
    </row>
    <row r="736" spans="13:13" customFormat="1" x14ac:dyDescent="0.35">
      <c r="M736" s="3"/>
    </row>
    <row r="737" spans="13:13" customFormat="1" x14ac:dyDescent="0.35">
      <c r="M737" s="3"/>
    </row>
    <row r="738" spans="13:13" customFormat="1" x14ac:dyDescent="0.35">
      <c r="M738" s="3"/>
    </row>
    <row r="739" spans="13:13" customFormat="1" x14ac:dyDescent="0.35">
      <c r="M739" s="3"/>
    </row>
    <row r="740" spans="13:13" customFormat="1" x14ac:dyDescent="0.35">
      <c r="M740" s="3"/>
    </row>
    <row r="741" spans="13:13" customFormat="1" x14ac:dyDescent="0.35">
      <c r="M741" s="3"/>
    </row>
    <row r="742" spans="13:13" customFormat="1" x14ac:dyDescent="0.35">
      <c r="M742" s="3"/>
    </row>
    <row r="743" spans="13:13" customFormat="1" x14ac:dyDescent="0.35">
      <c r="M743" s="3"/>
    </row>
    <row r="744" spans="13:13" customFormat="1" x14ac:dyDescent="0.35">
      <c r="M744" s="3"/>
    </row>
    <row r="745" spans="13:13" customFormat="1" x14ac:dyDescent="0.35">
      <c r="M745" s="3"/>
    </row>
    <row r="746" spans="13:13" customFormat="1" x14ac:dyDescent="0.35">
      <c r="M746" s="3"/>
    </row>
    <row r="747" spans="13:13" customFormat="1" x14ac:dyDescent="0.35">
      <c r="M747" s="3"/>
    </row>
    <row r="748" spans="13:13" customFormat="1" x14ac:dyDescent="0.35">
      <c r="M748" s="3"/>
    </row>
    <row r="749" spans="13:13" customFormat="1" x14ac:dyDescent="0.35">
      <c r="M749" s="3"/>
    </row>
    <row r="750" spans="13:13" customFormat="1" x14ac:dyDescent="0.35">
      <c r="M750" s="3"/>
    </row>
    <row r="751" spans="13:13" customFormat="1" x14ac:dyDescent="0.35">
      <c r="M751" s="3"/>
    </row>
    <row r="752" spans="13:13" customFormat="1" x14ac:dyDescent="0.35">
      <c r="M752" s="3"/>
    </row>
    <row r="753" spans="13:13" customFormat="1" x14ac:dyDescent="0.35">
      <c r="M753" s="3"/>
    </row>
    <row r="754" spans="13:13" customFormat="1" x14ac:dyDescent="0.35">
      <c r="M754" s="3"/>
    </row>
    <row r="755" spans="13:13" customFormat="1" x14ac:dyDescent="0.35">
      <c r="M755" s="3"/>
    </row>
    <row r="756" spans="13:13" customFormat="1" x14ac:dyDescent="0.35">
      <c r="M756" s="3"/>
    </row>
    <row r="757" spans="13:13" customFormat="1" x14ac:dyDescent="0.35">
      <c r="M757" s="3"/>
    </row>
    <row r="758" spans="13:13" customFormat="1" x14ac:dyDescent="0.35">
      <c r="M758" s="3"/>
    </row>
    <row r="759" spans="13:13" customFormat="1" x14ac:dyDescent="0.35">
      <c r="M759" s="3"/>
    </row>
    <row r="760" spans="13:13" customFormat="1" x14ac:dyDescent="0.35">
      <c r="M760" s="3"/>
    </row>
    <row r="761" spans="13:13" customFormat="1" x14ac:dyDescent="0.35">
      <c r="M761" s="3"/>
    </row>
    <row r="762" spans="13:13" customFormat="1" x14ac:dyDescent="0.35">
      <c r="M762" s="3"/>
    </row>
    <row r="763" spans="13:13" customFormat="1" x14ac:dyDescent="0.35">
      <c r="M763" s="3"/>
    </row>
    <row r="764" spans="13:13" customFormat="1" x14ac:dyDescent="0.35">
      <c r="M764" s="3"/>
    </row>
    <row r="765" spans="13:13" customFormat="1" x14ac:dyDescent="0.35">
      <c r="M765" s="3"/>
    </row>
    <row r="766" spans="13:13" customFormat="1" x14ac:dyDescent="0.35">
      <c r="M766" s="3"/>
    </row>
    <row r="767" spans="13:13" customFormat="1" x14ac:dyDescent="0.35">
      <c r="M767" s="3"/>
    </row>
    <row r="768" spans="13:13" customFormat="1" x14ac:dyDescent="0.35">
      <c r="M768" s="3"/>
    </row>
    <row r="769" spans="13:13" customFormat="1" x14ac:dyDescent="0.35">
      <c r="M769" s="3"/>
    </row>
    <row r="770" spans="13:13" customFormat="1" x14ac:dyDescent="0.35">
      <c r="M770" s="3"/>
    </row>
    <row r="771" spans="13:13" customFormat="1" x14ac:dyDescent="0.35">
      <c r="M771" s="3"/>
    </row>
    <row r="772" spans="13:13" customFormat="1" x14ac:dyDescent="0.35">
      <c r="M772" s="3"/>
    </row>
    <row r="773" spans="13:13" customFormat="1" x14ac:dyDescent="0.35">
      <c r="M773" s="3"/>
    </row>
    <row r="774" spans="13:13" customFormat="1" x14ac:dyDescent="0.35">
      <c r="M774" s="3"/>
    </row>
    <row r="775" spans="13:13" customFormat="1" x14ac:dyDescent="0.35">
      <c r="M775" s="3"/>
    </row>
    <row r="776" spans="13:13" customFormat="1" x14ac:dyDescent="0.35">
      <c r="M776" s="3"/>
    </row>
    <row r="777" spans="13:13" customFormat="1" x14ac:dyDescent="0.35">
      <c r="M777" s="3"/>
    </row>
    <row r="778" spans="13:13" customFormat="1" x14ac:dyDescent="0.35">
      <c r="M778" s="3"/>
    </row>
    <row r="779" spans="13:13" customFormat="1" x14ac:dyDescent="0.35">
      <c r="M779" s="3"/>
    </row>
    <row r="780" spans="13:13" customFormat="1" x14ac:dyDescent="0.35">
      <c r="M780" s="3"/>
    </row>
    <row r="781" spans="13:13" customFormat="1" x14ac:dyDescent="0.35">
      <c r="M781" s="3"/>
    </row>
    <row r="782" spans="13:13" customFormat="1" x14ac:dyDescent="0.35">
      <c r="M782" s="3"/>
    </row>
    <row r="783" spans="13:13" customFormat="1" x14ac:dyDescent="0.35">
      <c r="M783" s="3"/>
    </row>
    <row r="784" spans="13:13" customFormat="1" x14ac:dyDescent="0.35">
      <c r="M784" s="3"/>
    </row>
    <row r="785" spans="13:13" customFormat="1" x14ac:dyDescent="0.35">
      <c r="M785" s="3"/>
    </row>
    <row r="786" spans="13:13" customFormat="1" x14ac:dyDescent="0.35">
      <c r="M786" s="3"/>
    </row>
    <row r="787" spans="13:13" customFormat="1" x14ac:dyDescent="0.35">
      <c r="M787" s="3"/>
    </row>
    <row r="788" spans="13:13" customFormat="1" x14ac:dyDescent="0.35">
      <c r="M788" s="3"/>
    </row>
    <row r="789" spans="13:13" customFormat="1" x14ac:dyDescent="0.35">
      <c r="M789" s="3"/>
    </row>
    <row r="790" spans="13:13" customFormat="1" x14ac:dyDescent="0.35">
      <c r="M790" s="3"/>
    </row>
    <row r="791" spans="13:13" customFormat="1" x14ac:dyDescent="0.35">
      <c r="M791" s="3"/>
    </row>
    <row r="792" spans="13:13" customFormat="1" x14ac:dyDescent="0.35">
      <c r="M792" s="3"/>
    </row>
    <row r="793" spans="13:13" customFormat="1" x14ac:dyDescent="0.35">
      <c r="M793" s="3"/>
    </row>
    <row r="794" spans="13:13" customFormat="1" x14ac:dyDescent="0.35">
      <c r="M794" s="3"/>
    </row>
    <row r="795" spans="13:13" customFormat="1" x14ac:dyDescent="0.35">
      <c r="M795" s="3"/>
    </row>
    <row r="796" spans="13:13" customFormat="1" x14ac:dyDescent="0.35">
      <c r="M796" s="3"/>
    </row>
    <row r="797" spans="13:13" customFormat="1" x14ac:dyDescent="0.35">
      <c r="M797" s="3"/>
    </row>
    <row r="798" spans="13:13" customFormat="1" x14ac:dyDescent="0.35">
      <c r="M798" s="3"/>
    </row>
    <row r="799" spans="13:13" customFormat="1" x14ac:dyDescent="0.35">
      <c r="M799" s="3"/>
    </row>
    <row r="800" spans="13:13" customFormat="1" x14ac:dyDescent="0.35">
      <c r="M800" s="3"/>
    </row>
    <row r="801" spans="13:13" customFormat="1" x14ac:dyDescent="0.35">
      <c r="M801" s="3"/>
    </row>
    <row r="802" spans="13:13" customFormat="1" x14ac:dyDescent="0.35">
      <c r="M802" s="3"/>
    </row>
    <row r="803" spans="13:13" customFormat="1" x14ac:dyDescent="0.35">
      <c r="M803" s="3"/>
    </row>
    <row r="804" spans="13:13" customFormat="1" x14ac:dyDescent="0.35">
      <c r="M804" s="3"/>
    </row>
    <row r="805" spans="13:13" customFormat="1" x14ac:dyDescent="0.35">
      <c r="M805" s="3"/>
    </row>
    <row r="806" spans="13:13" customFormat="1" x14ac:dyDescent="0.35">
      <c r="M806" s="3"/>
    </row>
    <row r="807" spans="13:13" customFormat="1" x14ac:dyDescent="0.35">
      <c r="M807" s="3"/>
    </row>
    <row r="808" spans="13:13" customFormat="1" x14ac:dyDescent="0.35">
      <c r="M808" s="3"/>
    </row>
    <row r="809" spans="13:13" customFormat="1" x14ac:dyDescent="0.35">
      <c r="M809" s="3"/>
    </row>
    <row r="810" spans="13:13" customFormat="1" x14ac:dyDescent="0.35">
      <c r="M810" s="3"/>
    </row>
    <row r="811" spans="13:13" customFormat="1" x14ac:dyDescent="0.35">
      <c r="M811" s="3"/>
    </row>
    <row r="812" spans="13:13" customFormat="1" x14ac:dyDescent="0.35">
      <c r="M812" s="3"/>
    </row>
    <row r="813" spans="13:13" customFormat="1" x14ac:dyDescent="0.35">
      <c r="M813" s="3"/>
    </row>
    <row r="814" spans="13:13" customFormat="1" x14ac:dyDescent="0.35">
      <c r="M814" s="3"/>
    </row>
    <row r="815" spans="13:13" customFormat="1" x14ac:dyDescent="0.35">
      <c r="M815" s="3"/>
    </row>
    <row r="816" spans="13:13" customFormat="1" x14ac:dyDescent="0.35">
      <c r="M816" s="3"/>
    </row>
    <row r="817" spans="13:13" customFormat="1" x14ac:dyDescent="0.35">
      <c r="M817" s="3"/>
    </row>
    <row r="818" spans="13:13" customFormat="1" x14ac:dyDescent="0.35">
      <c r="M818" s="3"/>
    </row>
    <row r="819" spans="13:13" customFormat="1" x14ac:dyDescent="0.35">
      <c r="M819" s="3"/>
    </row>
    <row r="820" spans="13:13" customFormat="1" x14ac:dyDescent="0.35">
      <c r="M820" s="3"/>
    </row>
    <row r="821" spans="13:13" customFormat="1" x14ac:dyDescent="0.35">
      <c r="M821" s="3"/>
    </row>
    <row r="822" spans="13:13" customFormat="1" x14ac:dyDescent="0.35">
      <c r="M822" s="3"/>
    </row>
    <row r="823" spans="13:13" customFormat="1" x14ac:dyDescent="0.35">
      <c r="M823" s="3"/>
    </row>
    <row r="824" spans="13:13" customFormat="1" x14ac:dyDescent="0.35">
      <c r="M824" s="3"/>
    </row>
    <row r="825" spans="13:13" customFormat="1" x14ac:dyDescent="0.35">
      <c r="M825" s="3"/>
    </row>
    <row r="826" spans="13:13" customFormat="1" x14ac:dyDescent="0.35">
      <c r="M826" s="3"/>
    </row>
    <row r="827" spans="13:13" customFormat="1" x14ac:dyDescent="0.35">
      <c r="M827" s="3"/>
    </row>
    <row r="828" spans="13:13" customFormat="1" x14ac:dyDescent="0.35">
      <c r="M828" s="3"/>
    </row>
    <row r="829" spans="13:13" customFormat="1" x14ac:dyDescent="0.35">
      <c r="M829" s="3"/>
    </row>
    <row r="830" spans="13:13" customFormat="1" x14ac:dyDescent="0.35">
      <c r="M830" s="3"/>
    </row>
    <row r="831" spans="13:13" customFormat="1" x14ac:dyDescent="0.35">
      <c r="M831" s="3"/>
    </row>
    <row r="832" spans="13:13" customFormat="1" x14ac:dyDescent="0.35">
      <c r="M832" s="3"/>
    </row>
    <row r="833" spans="13:13" customFormat="1" x14ac:dyDescent="0.35">
      <c r="M833" s="3"/>
    </row>
    <row r="834" spans="13:13" customFormat="1" x14ac:dyDescent="0.35">
      <c r="M834" s="3"/>
    </row>
    <row r="835" spans="13:13" customFormat="1" x14ac:dyDescent="0.35">
      <c r="M835" s="3"/>
    </row>
    <row r="836" spans="13:13" customFormat="1" x14ac:dyDescent="0.35">
      <c r="M836" s="3"/>
    </row>
    <row r="837" spans="13:13" customFormat="1" x14ac:dyDescent="0.35">
      <c r="M837" s="3"/>
    </row>
    <row r="838" spans="13:13" customFormat="1" x14ac:dyDescent="0.35">
      <c r="M838" s="3"/>
    </row>
    <row r="839" spans="13:13" customFormat="1" x14ac:dyDescent="0.35">
      <c r="M839" s="3"/>
    </row>
    <row r="840" spans="13:13" customFormat="1" x14ac:dyDescent="0.35">
      <c r="M840" s="3"/>
    </row>
    <row r="841" spans="13:13" customFormat="1" x14ac:dyDescent="0.35">
      <c r="M841" s="3"/>
    </row>
    <row r="842" spans="13:13" customFormat="1" x14ac:dyDescent="0.35">
      <c r="M842" s="3"/>
    </row>
    <row r="843" spans="13:13" customFormat="1" x14ac:dyDescent="0.35">
      <c r="M843" s="3"/>
    </row>
    <row r="844" spans="13:13" customFormat="1" x14ac:dyDescent="0.35">
      <c r="M844" s="3"/>
    </row>
    <row r="845" spans="13:13" customFormat="1" x14ac:dyDescent="0.35">
      <c r="M845" s="3"/>
    </row>
    <row r="846" spans="13:13" customFormat="1" x14ac:dyDescent="0.35">
      <c r="M846" s="3"/>
    </row>
    <row r="847" spans="13:13" customFormat="1" x14ac:dyDescent="0.35">
      <c r="M847" s="3"/>
    </row>
    <row r="848" spans="13:13" customFormat="1" x14ac:dyDescent="0.35">
      <c r="M848" s="3"/>
    </row>
    <row r="849" spans="13:13" customFormat="1" x14ac:dyDescent="0.35">
      <c r="M849" s="3"/>
    </row>
    <row r="850" spans="13:13" customFormat="1" x14ac:dyDescent="0.35">
      <c r="M850" s="3"/>
    </row>
    <row r="851" spans="13:13" customFormat="1" x14ac:dyDescent="0.35">
      <c r="M851" s="3"/>
    </row>
    <row r="852" spans="13:13" customFormat="1" x14ac:dyDescent="0.35">
      <c r="M852" s="3"/>
    </row>
    <row r="853" spans="13:13" customFormat="1" x14ac:dyDescent="0.35">
      <c r="M853" s="3"/>
    </row>
    <row r="854" spans="13:13" customFormat="1" x14ac:dyDescent="0.35">
      <c r="M854" s="3"/>
    </row>
    <row r="855" spans="13:13" customFormat="1" x14ac:dyDescent="0.35">
      <c r="M855" s="3"/>
    </row>
    <row r="856" spans="13:13" customFormat="1" x14ac:dyDescent="0.35">
      <c r="M856" s="3"/>
    </row>
    <row r="857" spans="13:13" customFormat="1" x14ac:dyDescent="0.35">
      <c r="M857" s="3"/>
    </row>
    <row r="858" spans="13:13" customFormat="1" x14ac:dyDescent="0.35">
      <c r="M858" s="3"/>
    </row>
    <row r="859" spans="13:13" customFormat="1" x14ac:dyDescent="0.35">
      <c r="M859" s="3"/>
    </row>
    <row r="860" spans="13:13" customFormat="1" x14ac:dyDescent="0.35">
      <c r="M860" s="3"/>
    </row>
    <row r="861" spans="13:13" customFormat="1" x14ac:dyDescent="0.35">
      <c r="M861" s="3"/>
    </row>
    <row r="862" spans="13:13" customFormat="1" x14ac:dyDescent="0.35">
      <c r="M862" s="3"/>
    </row>
    <row r="863" spans="13:13" customFormat="1" x14ac:dyDescent="0.35">
      <c r="M863" s="3"/>
    </row>
    <row r="864" spans="13:13" customFormat="1" x14ac:dyDescent="0.35">
      <c r="M864" s="3"/>
    </row>
    <row r="865" spans="13:13" customFormat="1" x14ac:dyDescent="0.35">
      <c r="M865" s="3"/>
    </row>
    <row r="866" spans="13:13" customFormat="1" x14ac:dyDescent="0.35">
      <c r="M866" s="3"/>
    </row>
    <row r="867" spans="13:13" customFormat="1" x14ac:dyDescent="0.35">
      <c r="M867" s="3"/>
    </row>
    <row r="868" spans="13:13" customFormat="1" x14ac:dyDescent="0.35">
      <c r="M868" s="3"/>
    </row>
    <row r="869" spans="13:13" customFormat="1" x14ac:dyDescent="0.35">
      <c r="M869" s="3"/>
    </row>
    <row r="870" spans="13:13" customFormat="1" x14ac:dyDescent="0.35">
      <c r="M870" s="3"/>
    </row>
    <row r="871" spans="13:13" customFormat="1" x14ac:dyDescent="0.35">
      <c r="M871" s="3"/>
    </row>
    <row r="872" spans="13:13" customFormat="1" x14ac:dyDescent="0.35">
      <c r="M872" s="3"/>
    </row>
    <row r="873" spans="13:13" customFormat="1" x14ac:dyDescent="0.35">
      <c r="M873" s="3"/>
    </row>
    <row r="874" spans="13:13" customFormat="1" x14ac:dyDescent="0.35">
      <c r="M874" s="3"/>
    </row>
    <row r="875" spans="13:13" customFormat="1" x14ac:dyDescent="0.35">
      <c r="M875" s="3"/>
    </row>
    <row r="876" spans="13:13" customFormat="1" x14ac:dyDescent="0.35">
      <c r="M876" s="3"/>
    </row>
    <row r="877" spans="13:13" customFormat="1" x14ac:dyDescent="0.35">
      <c r="M877" s="3"/>
    </row>
    <row r="878" spans="13:13" customFormat="1" x14ac:dyDescent="0.35">
      <c r="M878" s="3"/>
    </row>
    <row r="879" spans="13:13" customFormat="1" x14ac:dyDescent="0.35">
      <c r="M879" s="3"/>
    </row>
    <row r="880" spans="13:13" customFormat="1" x14ac:dyDescent="0.35">
      <c r="M880" s="3"/>
    </row>
    <row r="881" spans="13:13" customFormat="1" x14ac:dyDescent="0.35">
      <c r="M881" s="3"/>
    </row>
    <row r="882" spans="13:13" customFormat="1" x14ac:dyDescent="0.35">
      <c r="M882" s="3"/>
    </row>
    <row r="883" spans="13:13" customFormat="1" x14ac:dyDescent="0.35">
      <c r="M883" s="3"/>
    </row>
    <row r="884" spans="13:13" customFormat="1" x14ac:dyDescent="0.35">
      <c r="M884" s="3"/>
    </row>
    <row r="885" spans="13:13" customFormat="1" x14ac:dyDescent="0.35">
      <c r="M885" s="3"/>
    </row>
    <row r="886" spans="13:13" customFormat="1" x14ac:dyDescent="0.35">
      <c r="M886" s="3"/>
    </row>
    <row r="887" spans="13:13" customFormat="1" x14ac:dyDescent="0.35">
      <c r="M887" s="3"/>
    </row>
    <row r="888" spans="13:13" customFormat="1" x14ac:dyDescent="0.35">
      <c r="M888" s="3"/>
    </row>
    <row r="889" spans="13:13" customFormat="1" x14ac:dyDescent="0.35">
      <c r="M889" s="3"/>
    </row>
    <row r="890" spans="13:13" customFormat="1" x14ac:dyDescent="0.35">
      <c r="M890" s="3"/>
    </row>
    <row r="891" spans="13:13" customFormat="1" x14ac:dyDescent="0.35">
      <c r="M891" s="3"/>
    </row>
    <row r="892" spans="13:13" customFormat="1" x14ac:dyDescent="0.35">
      <c r="M892" s="3"/>
    </row>
    <row r="893" spans="13:13" customFormat="1" x14ac:dyDescent="0.35">
      <c r="M893" s="3"/>
    </row>
    <row r="894" spans="13:13" customFormat="1" x14ac:dyDescent="0.35">
      <c r="M894" s="3"/>
    </row>
    <row r="895" spans="13:13" customFormat="1" x14ac:dyDescent="0.35">
      <c r="M895" s="3"/>
    </row>
    <row r="896" spans="13:13" customFormat="1" x14ac:dyDescent="0.35">
      <c r="M896" s="3"/>
    </row>
    <row r="897" spans="13:13" customFormat="1" x14ac:dyDescent="0.35">
      <c r="M897" s="3"/>
    </row>
    <row r="898" spans="13:13" customFormat="1" x14ac:dyDescent="0.35">
      <c r="M898" s="3"/>
    </row>
    <row r="899" spans="13:13" customFormat="1" x14ac:dyDescent="0.35">
      <c r="M899" s="3"/>
    </row>
    <row r="900" spans="13:13" customFormat="1" x14ac:dyDescent="0.35">
      <c r="M900" s="3"/>
    </row>
    <row r="901" spans="13:13" customFormat="1" x14ac:dyDescent="0.35">
      <c r="M901" s="3"/>
    </row>
    <row r="902" spans="13:13" customFormat="1" x14ac:dyDescent="0.35">
      <c r="M902" s="3"/>
    </row>
    <row r="903" spans="13:13" customFormat="1" x14ac:dyDescent="0.35">
      <c r="M903" s="3"/>
    </row>
    <row r="904" spans="13:13" customFormat="1" x14ac:dyDescent="0.35">
      <c r="M904" s="3"/>
    </row>
    <row r="905" spans="13:13" customFormat="1" x14ac:dyDescent="0.35">
      <c r="M905" s="3"/>
    </row>
    <row r="906" spans="13:13" customFormat="1" x14ac:dyDescent="0.35">
      <c r="M906" s="3"/>
    </row>
    <row r="907" spans="13:13" customFormat="1" x14ac:dyDescent="0.35">
      <c r="M907" s="3"/>
    </row>
    <row r="908" spans="13:13" customFormat="1" x14ac:dyDescent="0.35">
      <c r="M908" s="3"/>
    </row>
    <row r="909" spans="13:13" customFormat="1" x14ac:dyDescent="0.35">
      <c r="M909" s="3"/>
    </row>
    <row r="910" spans="13:13" customFormat="1" x14ac:dyDescent="0.35">
      <c r="M910" s="3"/>
    </row>
    <row r="911" spans="13:13" customFormat="1" x14ac:dyDescent="0.35">
      <c r="M911" s="3"/>
    </row>
    <row r="912" spans="13:13" customFormat="1" x14ac:dyDescent="0.35">
      <c r="M912" s="3"/>
    </row>
    <row r="913" spans="13:13" customFormat="1" x14ac:dyDescent="0.35">
      <c r="M913" s="3"/>
    </row>
    <row r="914" spans="13:13" customFormat="1" x14ac:dyDescent="0.35">
      <c r="M914" s="3"/>
    </row>
    <row r="915" spans="13:13" customFormat="1" x14ac:dyDescent="0.35">
      <c r="M915" s="3"/>
    </row>
    <row r="916" spans="13:13" customFormat="1" x14ac:dyDescent="0.35">
      <c r="M916" s="3"/>
    </row>
    <row r="917" spans="13:13" customFormat="1" x14ac:dyDescent="0.35">
      <c r="M917" s="3"/>
    </row>
    <row r="918" spans="13:13" customFormat="1" x14ac:dyDescent="0.35">
      <c r="M918" s="3"/>
    </row>
    <row r="919" spans="13:13" customFormat="1" x14ac:dyDescent="0.35">
      <c r="M919" s="3"/>
    </row>
    <row r="920" spans="13:13" customFormat="1" x14ac:dyDescent="0.35">
      <c r="M920" s="3"/>
    </row>
    <row r="921" spans="13:13" customFormat="1" x14ac:dyDescent="0.35">
      <c r="M921" s="3"/>
    </row>
    <row r="922" spans="13:13" customFormat="1" x14ac:dyDescent="0.35">
      <c r="M922" s="3"/>
    </row>
    <row r="923" spans="13:13" customFormat="1" x14ac:dyDescent="0.35">
      <c r="M923" s="3"/>
    </row>
    <row r="924" spans="13:13" customFormat="1" x14ac:dyDescent="0.35">
      <c r="M924" s="3"/>
    </row>
    <row r="925" spans="13:13" customFormat="1" x14ac:dyDescent="0.35">
      <c r="M925" s="3"/>
    </row>
    <row r="926" spans="13:13" customFormat="1" x14ac:dyDescent="0.35">
      <c r="M926" s="3"/>
    </row>
    <row r="927" spans="13:13" customFormat="1" x14ac:dyDescent="0.35">
      <c r="M927" s="3"/>
    </row>
    <row r="928" spans="13:13" customFormat="1" x14ac:dyDescent="0.35">
      <c r="M928" s="3"/>
    </row>
    <row r="929" spans="13:13" customFormat="1" x14ac:dyDescent="0.35">
      <c r="M929" s="3"/>
    </row>
    <row r="930" spans="13:13" customFormat="1" x14ac:dyDescent="0.35">
      <c r="M930" s="3"/>
    </row>
    <row r="931" spans="13:13" customFormat="1" x14ac:dyDescent="0.35">
      <c r="M931" s="3"/>
    </row>
    <row r="932" spans="13:13" customFormat="1" x14ac:dyDescent="0.35">
      <c r="M932" s="3"/>
    </row>
    <row r="933" spans="13:13" customFormat="1" x14ac:dyDescent="0.35">
      <c r="M933" s="3"/>
    </row>
    <row r="934" spans="13:13" customFormat="1" x14ac:dyDescent="0.35">
      <c r="M934" s="3"/>
    </row>
    <row r="935" spans="13:13" customFormat="1" x14ac:dyDescent="0.35">
      <c r="M935" s="3"/>
    </row>
    <row r="936" spans="13:13" customFormat="1" x14ac:dyDescent="0.35">
      <c r="M936" s="3"/>
    </row>
    <row r="937" spans="13:13" customFormat="1" x14ac:dyDescent="0.35">
      <c r="M937" s="3"/>
    </row>
    <row r="938" spans="13:13" customFormat="1" x14ac:dyDescent="0.35">
      <c r="M938" s="3"/>
    </row>
    <row r="939" spans="13:13" customFormat="1" x14ac:dyDescent="0.35">
      <c r="M939" s="3"/>
    </row>
    <row r="940" spans="13:13" customFormat="1" x14ac:dyDescent="0.35">
      <c r="M940" s="3"/>
    </row>
    <row r="941" spans="13:13" customFormat="1" x14ac:dyDescent="0.35">
      <c r="M941" s="3"/>
    </row>
    <row r="942" spans="13:13" customFormat="1" x14ac:dyDescent="0.35">
      <c r="M942" s="3"/>
    </row>
    <row r="943" spans="13:13" customFormat="1" x14ac:dyDescent="0.35">
      <c r="M943" s="3"/>
    </row>
    <row r="944" spans="13:13" customFormat="1" x14ac:dyDescent="0.35">
      <c r="M944" s="3"/>
    </row>
    <row r="945" spans="13:13" customFormat="1" x14ac:dyDescent="0.35">
      <c r="M945" s="3"/>
    </row>
    <row r="946" spans="13:13" customFormat="1" x14ac:dyDescent="0.35">
      <c r="M946" s="3"/>
    </row>
    <row r="947" spans="13:13" customFormat="1" x14ac:dyDescent="0.35">
      <c r="M947" s="3"/>
    </row>
    <row r="948" spans="13:13" customFormat="1" x14ac:dyDescent="0.35">
      <c r="M948" s="3"/>
    </row>
    <row r="949" spans="13:13" customFormat="1" x14ac:dyDescent="0.35">
      <c r="M949" s="3"/>
    </row>
    <row r="950" spans="13:13" customFormat="1" x14ac:dyDescent="0.35">
      <c r="M950" s="3"/>
    </row>
    <row r="951" spans="13:13" customFormat="1" x14ac:dyDescent="0.35">
      <c r="M951" s="3"/>
    </row>
    <row r="952" spans="13:13" customFormat="1" x14ac:dyDescent="0.35">
      <c r="M952" s="3"/>
    </row>
    <row r="953" spans="13:13" customFormat="1" x14ac:dyDescent="0.35">
      <c r="M953" s="3"/>
    </row>
    <row r="954" spans="13:13" customFormat="1" x14ac:dyDescent="0.35">
      <c r="M954" s="3"/>
    </row>
    <row r="955" spans="13:13" customFormat="1" x14ac:dyDescent="0.35">
      <c r="M955" s="3"/>
    </row>
    <row r="956" spans="13:13" customFormat="1" x14ac:dyDescent="0.35">
      <c r="M956" s="3"/>
    </row>
    <row r="957" spans="13:13" customFormat="1" x14ac:dyDescent="0.35">
      <c r="M957" s="3"/>
    </row>
    <row r="958" spans="13:13" customFormat="1" x14ac:dyDescent="0.35">
      <c r="M958" s="3"/>
    </row>
    <row r="959" spans="13:13" customFormat="1" x14ac:dyDescent="0.35">
      <c r="M959" s="3"/>
    </row>
    <row r="960" spans="13:13" customFormat="1" x14ac:dyDescent="0.35">
      <c r="M960" s="3"/>
    </row>
    <row r="961" spans="13:13" customFormat="1" x14ac:dyDescent="0.35">
      <c r="M961" s="3"/>
    </row>
    <row r="962" spans="13:13" customFormat="1" x14ac:dyDescent="0.35">
      <c r="M962" s="3"/>
    </row>
    <row r="963" spans="13:13" customFormat="1" x14ac:dyDescent="0.35">
      <c r="M963" s="3"/>
    </row>
    <row r="964" spans="13:13" customFormat="1" x14ac:dyDescent="0.35">
      <c r="M964" s="3"/>
    </row>
    <row r="965" spans="13:13" customFormat="1" x14ac:dyDescent="0.35">
      <c r="M965" s="3"/>
    </row>
    <row r="966" spans="13:13" customFormat="1" x14ac:dyDescent="0.35">
      <c r="M966" s="3"/>
    </row>
    <row r="967" spans="13:13" customFormat="1" x14ac:dyDescent="0.35">
      <c r="M967" s="3"/>
    </row>
    <row r="968" spans="13:13" customFormat="1" x14ac:dyDescent="0.35">
      <c r="M968" s="3"/>
    </row>
    <row r="969" spans="13:13" customFormat="1" x14ac:dyDescent="0.35">
      <c r="M969" s="3"/>
    </row>
    <row r="970" spans="13:13" customFormat="1" x14ac:dyDescent="0.35">
      <c r="M970" s="3"/>
    </row>
    <row r="971" spans="13:13" customFormat="1" x14ac:dyDescent="0.35">
      <c r="M971" s="3"/>
    </row>
    <row r="972" spans="13:13" customFormat="1" x14ac:dyDescent="0.35">
      <c r="M972" s="3"/>
    </row>
    <row r="973" spans="13:13" customFormat="1" x14ac:dyDescent="0.35">
      <c r="M973" s="3"/>
    </row>
    <row r="974" spans="13:13" customFormat="1" x14ac:dyDescent="0.35">
      <c r="M974" s="3"/>
    </row>
    <row r="975" spans="13:13" customFormat="1" x14ac:dyDescent="0.35">
      <c r="M975" s="3"/>
    </row>
    <row r="976" spans="13:13" customFormat="1" x14ac:dyDescent="0.35">
      <c r="M976" s="3"/>
    </row>
    <row r="977" spans="13:13" customFormat="1" x14ac:dyDescent="0.35">
      <c r="M977" s="3"/>
    </row>
    <row r="978" spans="13:13" customFormat="1" x14ac:dyDescent="0.35">
      <c r="M978" s="3"/>
    </row>
    <row r="979" spans="13:13" customFormat="1" x14ac:dyDescent="0.35">
      <c r="M979" s="3"/>
    </row>
    <row r="980" spans="13:13" customFormat="1" x14ac:dyDescent="0.35">
      <c r="M980" s="3"/>
    </row>
    <row r="981" spans="13:13" customFormat="1" x14ac:dyDescent="0.35">
      <c r="M981" s="3"/>
    </row>
    <row r="982" spans="13:13" customFormat="1" x14ac:dyDescent="0.35">
      <c r="M982" s="3"/>
    </row>
    <row r="983" spans="13:13" customFormat="1" x14ac:dyDescent="0.35">
      <c r="M983" s="3"/>
    </row>
    <row r="984" spans="13:13" customFormat="1" x14ac:dyDescent="0.35">
      <c r="M984" s="3"/>
    </row>
    <row r="985" spans="13:13" customFormat="1" x14ac:dyDescent="0.35">
      <c r="M985" s="3"/>
    </row>
    <row r="986" spans="13:13" customFormat="1" x14ac:dyDescent="0.35">
      <c r="M986" s="3"/>
    </row>
    <row r="987" spans="13:13" customFormat="1" x14ac:dyDescent="0.35">
      <c r="M987" s="3"/>
    </row>
    <row r="988" spans="13:13" customFormat="1" x14ac:dyDescent="0.35">
      <c r="M988" s="3"/>
    </row>
    <row r="989" spans="13:13" customFormat="1" x14ac:dyDescent="0.35">
      <c r="M989" s="3"/>
    </row>
    <row r="990" spans="13:13" customFormat="1" x14ac:dyDescent="0.35">
      <c r="M990" s="3"/>
    </row>
    <row r="991" spans="13:13" customFormat="1" x14ac:dyDescent="0.35">
      <c r="M991" s="3"/>
    </row>
    <row r="992" spans="13:13" customFormat="1" x14ac:dyDescent="0.35">
      <c r="M992" s="3"/>
    </row>
    <row r="993" spans="13:13" customFormat="1" x14ac:dyDescent="0.35">
      <c r="M993" s="3"/>
    </row>
    <row r="994" spans="13:13" customFormat="1" x14ac:dyDescent="0.35">
      <c r="M994" s="3"/>
    </row>
    <row r="995" spans="13:13" customFormat="1" x14ac:dyDescent="0.35">
      <c r="M995" s="3"/>
    </row>
    <row r="996" spans="13:13" customFormat="1" x14ac:dyDescent="0.35">
      <c r="M996" s="3"/>
    </row>
    <row r="997" spans="13:13" customFormat="1" x14ac:dyDescent="0.35">
      <c r="M997" s="3"/>
    </row>
    <row r="998" spans="13:13" customFormat="1" x14ac:dyDescent="0.35">
      <c r="M998" s="3"/>
    </row>
    <row r="999" spans="13:13" customFormat="1" x14ac:dyDescent="0.35">
      <c r="M999" s="3"/>
    </row>
    <row r="1000" spans="13:13" customFormat="1" x14ac:dyDescent="0.35">
      <c r="M1000" s="3"/>
    </row>
    <row r="1001" spans="13:13" customFormat="1" x14ac:dyDescent="0.35">
      <c r="M1001" s="3"/>
    </row>
    <row r="1002" spans="13:13" customFormat="1" x14ac:dyDescent="0.35">
      <c r="M1002" s="3"/>
    </row>
    <row r="1003" spans="13:13" customFormat="1" x14ac:dyDescent="0.35">
      <c r="M1003" s="3"/>
    </row>
    <row r="1004" spans="13:13" customFormat="1" x14ac:dyDescent="0.35">
      <c r="M1004" s="3"/>
    </row>
    <row r="1005" spans="13:13" customFormat="1" x14ac:dyDescent="0.35">
      <c r="M1005" s="3"/>
    </row>
    <row r="1006" spans="13:13" customFormat="1" x14ac:dyDescent="0.35">
      <c r="M1006" s="3"/>
    </row>
    <row r="1007" spans="13:13" customFormat="1" x14ac:dyDescent="0.35">
      <c r="M1007" s="3"/>
    </row>
    <row r="1008" spans="13:13" customFormat="1" x14ac:dyDescent="0.35">
      <c r="M1008" s="3"/>
    </row>
    <row r="1009" spans="13:13" customFormat="1" x14ac:dyDescent="0.35">
      <c r="M1009" s="3"/>
    </row>
    <row r="1010" spans="13:13" customFormat="1" x14ac:dyDescent="0.35">
      <c r="M1010" s="3"/>
    </row>
    <row r="1011" spans="13:13" customFormat="1" x14ac:dyDescent="0.35">
      <c r="M1011" s="3"/>
    </row>
    <row r="1012" spans="13:13" customFormat="1" x14ac:dyDescent="0.35">
      <c r="M1012" s="3"/>
    </row>
    <row r="1013" spans="13:13" customFormat="1" x14ac:dyDescent="0.35">
      <c r="M1013" s="3"/>
    </row>
    <row r="1014" spans="13:13" customFormat="1" x14ac:dyDescent="0.35">
      <c r="M1014" s="3"/>
    </row>
    <row r="1015" spans="13:13" customFormat="1" x14ac:dyDescent="0.35">
      <c r="M1015" s="3"/>
    </row>
    <row r="1016" spans="13:13" customFormat="1" x14ac:dyDescent="0.35">
      <c r="M1016" s="3"/>
    </row>
    <row r="1017" spans="13:13" customFormat="1" x14ac:dyDescent="0.35">
      <c r="M1017" s="3"/>
    </row>
    <row r="1018" spans="13:13" customFormat="1" x14ac:dyDescent="0.35">
      <c r="M1018" s="3"/>
    </row>
    <row r="1019" spans="13:13" customFormat="1" x14ac:dyDescent="0.35">
      <c r="M1019" s="3"/>
    </row>
    <row r="1020" spans="13:13" customFormat="1" x14ac:dyDescent="0.35">
      <c r="M1020" s="3"/>
    </row>
    <row r="1021" spans="13:13" customFormat="1" x14ac:dyDescent="0.35">
      <c r="M1021" s="3"/>
    </row>
    <row r="1022" spans="13:13" customFormat="1" x14ac:dyDescent="0.35">
      <c r="M1022" s="3"/>
    </row>
    <row r="1023" spans="13:13" customFormat="1" x14ac:dyDescent="0.35">
      <c r="M1023" s="3"/>
    </row>
    <row r="1024" spans="13:13" customFormat="1" x14ac:dyDescent="0.35">
      <c r="M1024" s="3"/>
    </row>
    <row r="1025" spans="13:13" customFormat="1" x14ac:dyDescent="0.35">
      <c r="M1025" s="3"/>
    </row>
    <row r="1026" spans="13:13" customFormat="1" x14ac:dyDescent="0.35">
      <c r="M1026" s="3"/>
    </row>
    <row r="1027" spans="13:13" customFormat="1" x14ac:dyDescent="0.35">
      <c r="M1027" s="3"/>
    </row>
    <row r="1028" spans="13:13" customFormat="1" x14ac:dyDescent="0.35">
      <c r="M1028" s="3"/>
    </row>
    <row r="1029" spans="13:13" customFormat="1" x14ac:dyDescent="0.35">
      <c r="M1029" s="3"/>
    </row>
    <row r="1030" spans="13:13" customFormat="1" x14ac:dyDescent="0.35">
      <c r="M1030" s="3"/>
    </row>
    <row r="1031" spans="13:13" customFormat="1" x14ac:dyDescent="0.35">
      <c r="M1031" s="3"/>
    </row>
    <row r="1032" spans="13:13" customFormat="1" x14ac:dyDescent="0.35">
      <c r="M1032" s="3"/>
    </row>
    <row r="1033" spans="13:13" customFormat="1" x14ac:dyDescent="0.35">
      <c r="M1033" s="3"/>
    </row>
    <row r="1034" spans="13:13" customFormat="1" x14ac:dyDescent="0.35">
      <c r="M1034" s="3"/>
    </row>
    <row r="1035" spans="13:13" customFormat="1" x14ac:dyDescent="0.35">
      <c r="M1035" s="3"/>
    </row>
    <row r="1036" spans="13:13" customFormat="1" x14ac:dyDescent="0.35">
      <c r="M1036" s="3"/>
    </row>
    <row r="1037" spans="13:13" customFormat="1" x14ac:dyDescent="0.35">
      <c r="M1037" s="3"/>
    </row>
    <row r="1038" spans="13:13" customFormat="1" x14ac:dyDescent="0.35">
      <c r="M1038" s="3"/>
    </row>
    <row r="1039" spans="13:13" customFormat="1" x14ac:dyDescent="0.35">
      <c r="M1039" s="3"/>
    </row>
    <row r="1040" spans="13:13" customFormat="1" x14ac:dyDescent="0.35">
      <c r="M1040" s="3"/>
    </row>
    <row r="1041" spans="13:13" customFormat="1" x14ac:dyDescent="0.35">
      <c r="M1041" s="3"/>
    </row>
    <row r="1042" spans="13:13" customFormat="1" x14ac:dyDescent="0.35">
      <c r="M1042" s="3"/>
    </row>
    <row r="1043" spans="13:13" customFormat="1" x14ac:dyDescent="0.35">
      <c r="M1043" s="3"/>
    </row>
    <row r="1044" spans="13:13" customFormat="1" x14ac:dyDescent="0.35">
      <c r="M1044" s="3"/>
    </row>
    <row r="1045" spans="13:13" customFormat="1" x14ac:dyDescent="0.35">
      <c r="M1045" s="3"/>
    </row>
    <row r="1046" spans="13:13" customFormat="1" x14ac:dyDescent="0.35">
      <c r="M1046" s="3"/>
    </row>
    <row r="1047" spans="13:13" customFormat="1" x14ac:dyDescent="0.35">
      <c r="M1047" s="3"/>
    </row>
    <row r="1048" spans="13:13" customFormat="1" x14ac:dyDescent="0.35">
      <c r="M1048" s="3"/>
    </row>
    <row r="1049" spans="13:13" customFormat="1" x14ac:dyDescent="0.35">
      <c r="M1049" s="3"/>
    </row>
    <row r="1050" spans="13:13" customFormat="1" x14ac:dyDescent="0.35">
      <c r="M1050" s="3"/>
    </row>
    <row r="1051" spans="13:13" customFormat="1" x14ac:dyDescent="0.35">
      <c r="M1051" s="3"/>
    </row>
    <row r="1052" spans="13:13" customFormat="1" x14ac:dyDescent="0.35">
      <c r="M1052" s="3"/>
    </row>
    <row r="1053" spans="13:13" customFormat="1" x14ac:dyDescent="0.35">
      <c r="M1053" s="3"/>
    </row>
    <row r="1054" spans="13:13" customFormat="1" x14ac:dyDescent="0.35">
      <c r="M1054" s="3"/>
    </row>
    <row r="1055" spans="13:13" customFormat="1" x14ac:dyDescent="0.35">
      <c r="M1055" s="3"/>
    </row>
    <row r="1056" spans="13:13" customFormat="1" x14ac:dyDescent="0.35">
      <c r="M1056" s="3"/>
    </row>
    <row r="1057" spans="13:13" customFormat="1" x14ac:dyDescent="0.35">
      <c r="M1057" s="3"/>
    </row>
    <row r="1058" spans="13:13" customFormat="1" x14ac:dyDescent="0.35">
      <c r="M1058" s="3"/>
    </row>
    <row r="1059" spans="13:13" customFormat="1" x14ac:dyDescent="0.35">
      <c r="M1059" s="3"/>
    </row>
    <row r="1060" spans="13:13" customFormat="1" x14ac:dyDescent="0.35">
      <c r="M1060" s="3"/>
    </row>
    <row r="1061" spans="13:13" customFormat="1" x14ac:dyDescent="0.35">
      <c r="M1061" s="3"/>
    </row>
    <row r="1062" spans="13:13" customFormat="1" x14ac:dyDescent="0.35">
      <c r="M1062" s="3"/>
    </row>
    <row r="1063" spans="13:13" customFormat="1" x14ac:dyDescent="0.35">
      <c r="M1063" s="3"/>
    </row>
    <row r="1064" spans="13:13" customFormat="1" x14ac:dyDescent="0.35">
      <c r="M1064" s="3"/>
    </row>
    <row r="1065" spans="13:13" customFormat="1" x14ac:dyDescent="0.35">
      <c r="M1065" s="3"/>
    </row>
    <row r="1066" spans="13:13" customFormat="1" x14ac:dyDescent="0.35">
      <c r="M1066" s="3"/>
    </row>
    <row r="1067" spans="13:13" customFormat="1" x14ac:dyDescent="0.35">
      <c r="M1067" s="3"/>
    </row>
    <row r="1068" spans="13:13" customFormat="1" x14ac:dyDescent="0.35">
      <c r="M1068" s="3"/>
    </row>
    <row r="1069" spans="13:13" customFormat="1" x14ac:dyDescent="0.35">
      <c r="M1069" s="3"/>
    </row>
    <row r="1070" spans="13:13" customFormat="1" x14ac:dyDescent="0.35">
      <c r="M1070" s="3"/>
    </row>
    <row r="1071" spans="13:13" customFormat="1" x14ac:dyDescent="0.35">
      <c r="M1071" s="3"/>
    </row>
    <row r="1072" spans="13:13" customFormat="1" x14ac:dyDescent="0.35">
      <c r="M1072" s="3"/>
    </row>
    <row r="1073" spans="13:13" customFormat="1" x14ac:dyDescent="0.35">
      <c r="M1073" s="3"/>
    </row>
    <row r="1074" spans="13:13" customFormat="1" x14ac:dyDescent="0.35">
      <c r="M1074" s="3"/>
    </row>
    <row r="1075" spans="13:13" customFormat="1" x14ac:dyDescent="0.35">
      <c r="M1075" s="3"/>
    </row>
    <row r="1076" spans="13:13" customFormat="1" x14ac:dyDescent="0.35">
      <c r="M1076" s="3"/>
    </row>
    <row r="1077" spans="13:13" customFormat="1" x14ac:dyDescent="0.35">
      <c r="M1077" s="3"/>
    </row>
    <row r="1078" spans="13:13" customFormat="1" x14ac:dyDescent="0.35">
      <c r="M1078" s="3"/>
    </row>
    <row r="1079" spans="13:13" customFormat="1" x14ac:dyDescent="0.35">
      <c r="M1079" s="3"/>
    </row>
    <row r="1080" spans="13:13" customFormat="1" x14ac:dyDescent="0.35">
      <c r="M1080" s="3"/>
    </row>
    <row r="1081" spans="13:13" customFormat="1" x14ac:dyDescent="0.35">
      <c r="M1081" s="3"/>
    </row>
    <row r="1082" spans="13:13" customFormat="1" x14ac:dyDescent="0.35">
      <c r="M1082" s="3"/>
    </row>
    <row r="1083" spans="13:13" customFormat="1" x14ac:dyDescent="0.35">
      <c r="M1083" s="3"/>
    </row>
    <row r="1084" spans="13:13" customFormat="1" x14ac:dyDescent="0.35">
      <c r="M1084" s="3"/>
    </row>
    <row r="1085" spans="13:13" customFormat="1" x14ac:dyDescent="0.35">
      <c r="M1085" s="3"/>
    </row>
    <row r="1086" spans="13:13" customFormat="1" x14ac:dyDescent="0.35">
      <c r="M1086" s="3"/>
    </row>
    <row r="1087" spans="13:13" customFormat="1" x14ac:dyDescent="0.35">
      <c r="M1087" s="3"/>
    </row>
    <row r="1088" spans="13:13" customFormat="1" x14ac:dyDescent="0.35">
      <c r="M1088" s="3"/>
    </row>
    <row r="1089" spans="13:13" customFormat="1" x14ac:dyDescent="0.35">
      <c r="M1089" s="3"/>
    </row>
    <row r="1090" spans="13:13" customFormat="1" x14ac:dyDescent="0.35">
      <c r="M1090" s="3"/>
    </row>
    <row r="1091" spans="13:13" customFormat="1" x14ac:dyDescent="0.35">
      <c r="M1091" s="3"/>
    </row>
    <row r="1092" spans="13:13" customFormat="1" x14ac:dyDescent="0.35">
      <c r="M1092" s="3"/>
    </row>
    <row r="1093" spans="13:13" customFormat="1" x14ac:dyDescent="0.35">
      <c r="M1093" s="3"/>
    </row>
    <row r="1094" spans="13:13" customFormat="1" x14ac:dyDescent="0.35">
      <c r="M1094" s="3"/>
    </row>
    <row r="1095" spans="13:13" customFormat="1" x14ac:dyDescent="0.35">
      <c r="M1095" s="3"/>
    </row>
    <row r="1096" spans="13:13" customFormat="1" x14ac:dyDescent="0.35">
      <c r="M1096" s="3"/>
    </row>
    <row r="1097" spans="13:13" customFormat="1" x14ac:dyDescent="0.35">
      <c r="M1097" s="3"/>
    </row>
    <row r="1098" spans="13:13" customFormat="1" x14ac:dyDescent="0.35">
      <c r="M1098" s="3"/>
    </row>
    <row r="1099" spans="13:13" customFormat="1" x14ac:dyDescent="0.35">
      <c r="M1099" s="3"/>
    </row>
    <row r="1100" spans="13:13" customFormat="1" x14ac:dyDescent="0.35">
      <c r="M1100" s="3"/>
    </row>
    <row r="1101" spans="13:13" customFormat="1" x14ac:dyDescent="0.35">
      <c r="M1101" s="3"/>
    </row>
    <row r="1102" spans="13:13" customFormat="1" x14ac:dyDescent="0.35">
      <c r="M1102" s="3"/>
    </row>
    <row r="1103" spans="13:13" customFormat="1" x14ac:dyDescent="0.35">
      <c r="M1103" s="3"/>
    </row>
    <row r="1104" spans="13:13" customFormat="1" x14ac:dyDescent="0.35">
      <c r="M1104" s="3"/>
    </row>
    <row r="1105" spans="13:13" customFormat="1" x14ac:dyDescent="0.35">
      <c r="M1105" s="3"/>
    </row>
    <row r="1106" spans="13:13" customFormat="1" x14ac:dyDescent="0.35">
      <c r="M1106" s="3"/>
    </row>
    <row r="1107" spans="13:13" customFormat="1" x14ac:dyDescent="0.35">
      <c r="M1107" s="3"/>
    </row>
    <row r="1108" spans="13:13" customFormat="1" x14ac:dyDescent="0.35">
      <c r="M1108" s="3"/>
    </row>
    <row r="1109" spans="13:13" customFormat="1" x14ac:dyDescent="0.35">
      <c r="M1109" s="3"/>
    </row>
    <row r="1110" spans="13:13" customFormat="1" x14ac:dyDescent="0.35">
      <c r="M1110" s="3"/>
    </row>
    <row r="1111" spans="13:13" customFormat="1" x14ac:dyDescent="0.35">
      <c r="M1111" s="3"/>
    </row>
    <row r="1112" spans="13:13" customFormat="1" x14ac:dyDescent="0.35">
      <c r="M1112" s="3"/>
    </row>
    <row r="1113" spans="13:13" customFormat="1" x14ac:dyDescent="0.35">
      <c r="M1113" s="3"/>
    </row>
    <row r="1114" spans="13:13" customFormat="1" x14ac:dyDescent="0.35">
      <c r="M1114" s="3"/>
    </row>
    <row r="1115" spans="13:13" customFormat="1" x14ac:dyDescent="0.35">
      <c r="M1115" s="3"/>
    </row>
    <row r="1116" spans="13:13" customFormat="1" x14ac:dyDescent="0.35">
      <c r="M1116" s="3"/>
    </row>
    <row r="1117" spans="13:13" customFormat="1" x14ac:dyDescent="0.35">
      <c r="M1117" s="3"/>
    </row>
    <row r="1118" spans="13:13" customFormat="1" x14ac:dyDescent="0.35">
      <c r="M1118" s="3"/>
    </row>
    <row r="1119" spans="13:13" customFormat="1" x14ac:dyDescent="0.35">
      <c r="M1119" s="3"/>
    </row>
    <row r="1120" spans="13:13" customFormat="1" x14ac:dyDescent="0.35">
      <c r="M1120" s="3"/>
    </row>
    <row r="1121" spans="13:13" customFormat="1" x14ac:dyDescent="0.35">
      <c r="M1121" s="3"/>
    </row>
    <row r="1122" spans="13:13" customFormat="1" x14ac:dyDescent="0.35">
      <c r="M1122" s="3"/>
    </row>
    <row r="1123" spans="13:13" customFormat="1" x14ac:dyDescent="0.35">
      <c r="M1123" s="3"/>
    </row>
    <row r="1124" spans="13:13" customFormat="1" x14ac:dyDescent="0.35">
      <c r="M1124" s="3"/>
    </row>
    <row r="1125" spans="13:13" customFormat="1" x14ac:dyDescent="0.35">
      <c r="M1125" s="3"/>
    </row>
    <row r="1126" spans="13:13" customFormat="1" x14ac:dyDescent="0.35">
      <c r="M1126" s="3"/>
    </row>
    <row r="1127" spans="13:13" customFormat="1" x14ac:dyDescent="0.35">
      <c r="M1127" s="3"/>
    </row>
    <row r="1128" spans="13:13" customFormat="1" x14ac:dyDescent="0.35">
      <c r="M1128" s="3"/>
    </row>
    <row r="1129" spans="13:13" customFormat="1" x14ac:dyDescent="0.35">
      <c r="M1129" s="3"/>
    </row>
    <row r="1130" spans="13:13" customFormat="1" x14ac:dyDescent="0.35">
      <c r="M1130" s="3"/>
    </row>
    <row r="1131" spans="13:13" customFormat="1" x14ac:dyDescent="0.35">
      <c r="M1131" s="3"/>
    </row>
    <row r="1132" spans="13:13" customFormat="1" x14ac:dyDescent="0.35">
      <c r="M1132" s="3"/>
    </row>
    <row r="1133" spans="13:13" customFormat="1" x14ac:dyDescent="0.35">
      <c r="M1133" s="3"/>
    </row>
    <row r="1134" spans="13:13" customFormat="1" x14ac:dyDescent="0.35">
      <c r="M1134" s="3"/>
    </row>
    <row r="1135" spans="13:13" customFormat="1" x14ac:dyDescent="0.35">
      <c r="M1135" s="3"/>
    </row>
    <row r="1136" spans="13:13" customFormat="1" x14ac:dyDescent="0.35">
      <c r="M1136" s="3"/>
    </row>
    <row r="1137" spans="13:13" customFormat="1" x14ac:dyDescent="0.35">
      <c r="M1137" s="3"/>
    </row>
    <row r="1138" spans="13:13" customFormat="1" x14ac:dyDescent="0.35">
      <c r="M1138" s="3"/>
    </row>
    <row r="1139" spans="13:13" customFormat="1" x14ac:dyDescent="0.35">
      <c r="M1139" s="3"/>
    </row>
    <row r="1140" spans="13:13" customFormat="1" x14ac:dyDescent="0.35">
      <c r="M1140" s="3"/>
    </row>
    <row r="1141" spans="13:13" customFormat="1" x14ac:dyDescent="0.35">
      <c r="M1141" s="3"/>
    </row>
    <row r="1142" spans="13:13" customFormat="1" x14ac:dyDescent="0.35">
      <c r="M1142" s="3"/>
    </row>
    <row r="1143" spans="13:13" customFormat="1" x14ac:dyDescent="0.35">
      <c r="M1143" s="3"/>
    </row>
    <row r="1144" spans="13:13" customFormat="1" x14ac:dyDescent="0.35">
      <c r="M1144" s="3"/>
    </row>
    <row r="1145" spans="13:13" customFormat="1" x14ac:dyDescent="0.35">
      <c r="M1145" s="3"/>
    </row>
    <row r="1146" spans="13:13" customFormat="1" x14ac:dyDescent="0.35">
      <c r="M1146" s="3"/>
    </row>
    <row r="1147" spans="13:13" customFormat="1" x14ac:dyDescent="0.35">
      <c r="M1147" s="3"/>
    </row>
    <row r="1148" spans="13:13" customFormat="1" x14ac:dyDescent="0.35">
      <c r="M1148" s="3"/>
    </row>
    <row r="1149" spans="13:13" customFormat="1" x14ac:dyDescent="0.35">
      <c r="M1149" s="3"/>
    </row>
    <row r="1150" spans="13:13" customFormat="1" x14ac:dyDescent="0.35">
      <c r="M1150" s="3"/>
    </row>
    <row r="1151" spans="13:13" customFormat="1" x14ac:dyDescent="0.35">
      <c r="M1151" s="3"/>
    </row>
    <row r="1152" spans="13:13" customFormat="1" x14ac:dyDescent="0.35">
      <c r="M1152" s="3"/>
    </row>
    <row r="1153" spans="13:13" customFormat="1" x14ac:dyDescent="0.35">
      <c r="M1153" s="3"/>
    </row>
    <row r="1154" spans="13:13" customFormat="1" x14ac:dyDescent="0.35">
      <c r="M1154" s="3"/>
    </row>
    <row r="1155" spans="13:13" customFormat="1" x14ac:dyDescent="0.35">
      <c r="M1155" s="3"/>
    </row>
    <row r="1156" spans="13:13" customFormat="1" x14ac:dyDescent="0.35">
      <c r="M1156" s="3"/>
    </row>
    <row r="1157" spans="13:13" customFormat="1" x14ac:dyDescent="0.35">
      <c r="M1157" s="3"/>
    </row>
    <row r="1158" spans="13:13" customFormat="1" x14ac:dyDescent="0.35">
      <c r="M1158" s="3"/>
    </row>
    <row r="1159" spans="13:13" customFormat="1" x14ac:dyDescent="0.35">
      <c r="M1159" s="3"/>
    </row>
    <row r="1160" spans="13:13" customFormat="1" x14ac:dyDescent="0.35">
      <c r="M1160" s="3"/>
    </row>
    <row r="1161" spans="13:13" customFormat="1" x14ac:dyDescent="0.35">
      <c r="M1161" s="3"/>
    </row>
    <row r="1162" spans="13:13" customFormat="1" x14ac:dyDescent="0.35">
      <c r="M1162" s="3"/>
    </row>
    <row r="1163" spans="13:13" customFormat="1" x14ac:dyDescent="0.35">
      <c r="M1163" s="3"/>
    </row>
    <row r="1164" spans="13:13" customFormat="1" x14ac:dyDescent="0.35">
      <c r="M1164" s="3"/>
    </row>
    <row r="1165" spans="13:13" customFormat="1" x14ac:dyDescent="0.35">
      <c r="M1165" s="3"/>
    </row>
    <row r="1166" spans="13:13" customFormat="1" x14ac:dyDescent="0.35">
      <c r="M1166" s="3"/>
    </row>
    <row r="1167" spans="13:13" customFormat="1" x14ac:dyDescent="0.35">
      <c r="M1167" s="3"/>
    </row>
    <row r="1168" spans="13:13" customFormat="1" x14ac:dyDescent="0.35">
      <c r="M1168" s="3"/>
    </row>
    <row r="1169" spans="13:13" customFormat="1" x14ac:dyDescent="0.35">
      <c r="M1169" s="3"/>
    </row>
    <row r="1170" spans="13:13" customFormat="1" x14ac:dyDescent="0.35">
      <c r="M1170" s="3"/>
    </row>
    <row r="1171" spans="13:13" customFormat="1" x14ac:dyDescent="0.35">
      <c r="M1171" s="3"/>
    </row>
    <row r="1172" spans="13:13" customFormat="1" x14ac:dyDescent="0.35">
      <c r="M1172" s="3"/>
    </row>
    <row r="1173" spans="13:13" customFormat="1" x14ac:dyDescent="0.35">
      <c r="M1173" s="3"/>
    </row>
    <row r="1174" spans="13:13" customFormat="1" x14ac:dyDescent="0.35">
      <c r="M1174" s="3"/>
    </row>
    <row r="1175" spans="13:13" customFormat="1" x14ac:dyDescent="0.35">
      <c r="M1175" s="3"/>
    </row>
    <row r="1176" spans="13:13" customFormat="1" x14ac:dyDescent="0.35">
      <c r="M1176" s="3"/>
    </row>
    <row r="1177" spans="13:13" customFormat="1" x14ac:dyDescent="0.35">
      <c r="M1177" s="3"/>
    </row>
    <row r="1178" spans="13:13" customFormat="1" x14ac:dyDescent="0.35">
      <c r="M1178" s="3"/>
    </row>
    <row r="1179" spans="13:13" customFormat="1" x14ac:dyDescent="0.35">
      <c r="M1179" s="3"/>
    </row>
    <row r="1180" spans="13:13" customFormat="1" x14ac:dyDescent="0.35">
      <c r="M1180" s="3"/>
    </row>
    <row r="1181" spans="13:13" customFormat="1" x14ac:dyDescent="0.35">
      <c r="M1181" s="3"/>
    </row>
    <row r="1182" spans="13:13" customFormat="1" x14ac:dyDescent="0.35">
      <c r="M1182" s="3"/>
    </row>
    <row r="1183" spans="13:13" customFormat="1" x14ac:dyDescent="0.35">
      <c r="M1183" s="3"/>
    </row>
    <row r="1184" spans="13:13" customFormat="1" x14ac:dyDescent="0.35">
      <c r="M1184" s="3"/>
    </row>
    <row r="1185" spans="13:13" customFormat="1" x14ac:dyDescent="0.35">
      <c r="M1185" s="3"/>
    </row>
    <row r="1186" spans="13:13" customFormat="1" x14ac:dyDescent="0.35">
      <c r="M1186" s="3"/>
    </row>
    <row r="1187" spans="13:13" customFormat="1" x14ac:dyDescent="0.35">
      <c r="M1187" s="3"/>
    </row>
    <row r="1188" spans="13:13" customFormat="1" x14ac:dyDescent="0.35">
      <c r="M1188" s="3"/>
    </row>
    <row r="1189" spans="13:13" customFormat="1" x14ac:dyDescent="0.35">
      <c r="M1189" s="3"/>
    </row>
    <row r="1190" spans="13:13" customFormat="1" x14ac:dyDescent="0.35">
      <c r="M1190" s="3"/>
    </row>
    <row r="1191" spans="13:13" customFormat="1" x14ac:dyDescent="0.35">
      <c r="M1191" s="3"/>
    </row>
    <row r="1192" spans="13:13" customFormat="1" x14ac:dyDescent="0.35">
      <c r="M1192" s="3"/>
    </row>
    <row r="1193" spans="13:13" customFormat="1" x14ac:dyDescent="0.35">
      <c r="M1193" s="3"/>
    </row>
    <row r="1194" spans="13:13" customFormat="1" x14ac:dyDescent="0.35">
      <c r="M1194" s="3"/>
    </row>
    <row r="1195" spans="13:13" customFormat="1" x14ac:dyDescent="0.35">
      <c r="M1195" s="3"/>
    </row>
    <row r="1196" spans="13:13" customFormat="1" x14ac:dyDescent="0.35">
      <c r="M1196" s="3"/>
    </row>
    <row r="1197" spans="13:13" customFormat="1" x14ac:dyDescent="0.35">
      <c r="M1197" s="3"/>
    </row>
    <row r="1198" spans="13:13" customFormat="1" x14ac:dyDescent="0.35">
      <c r="M1198" s="3"/>
    </row>
    <row r="1199" spans="13:13" customFormat="1" x14ac:dyDescent="0.35">
      <c r="M1199" s="3"/>
    </row>
    <row r="1200" spans="13:13" customFormat="1" x14ac:dyDescent="0.35">
      <c r="M1200" s="3"/>
    </row>
    <row r="1201" spans="13:13" customFormat="1" x14ac:dyDescent="0.35">
      <c r="M1201" s="3"/>
    </row>
    <row r="1202" spans="13:13" customFormat="1" x14ac:dyDescent="0.35">
      <c r="M1202" s="3"/>
    </row>
    <row r="1203" spans="13:13" customFormat="1" x14ac:dyDescent="0.35">
      <c r="M1203" s="3"/>
    </row>
    <row r="1204" spans="13:13" customFormat="1" x14ac:dyDescent="0.35">
      <c r="M1204" s="3"/>
    </row>
    <row r="1205" spans="13:13" customFormat="1" x14ac:dyDescent="0.35">
      <c r="M1205" s="3"/>
    </row>
    <row r="1206" spans="13:13" customFormat="1" x14ac:dyDescent="0.35">
      <c r="M1206" s="3"/>
    </row>
    <row r="1207" spans="13:13" customFormat="1" x14ac:dyDescent="0.35">
      <c r="M1207" s="3"/>
    </row>
    <row r="1208" spans="13:13" customFormat="1" x14ac:dyDescent="0.35">
      <c r="M1208" s="3"/>
    </row>
    <row r="1209" spans="13:13" customFormat="1" x14ac:dyDescent="0.35">
      <c r="M1209" s="3"/>
    </row>
    <row r="1210" spans="13:13" customFormat="1" x14ac:dyDescent="0.35">
      <c r="M1210" s="3"/>
    </row>
    <row r="1211" spans="13:13" customFormat="1" x14ac:dyDescent="0.35">
      <c r="M1211" s="3"/>
    </row>
    <row r="1212" spans="13:13" customFormat="1" x14ac:dyDescent="0.35">
      <c r="M1212" s="3"/>
    </row>
    <row r="1213" spans="13:13" customFormat="1" x14ac:dyDescent="0.35">
      <c r="M1213" s="3"/>
    </row>
    <row r="1214" spans="13:13" customFormat="1" x14ac:dyDescent="0.35">
      <c r="M1214" s="3"/>
    </row>
    <row r="1215" spans="13:13" customFormat="1" x14ac:dyDescent="0.35">
      <c r="M1215" s="3"/>
    </row>
    <row r="1216" spans="13:13" customFormat="1" x14ac:dyDescent="0.35">
      <c r="M1216" s="3"/>
    </row>
    <row r="1217" spans="13:13" customFormat="1" x14ac:dyDescent="0.35">
      <c r="M1217" s="3"/>
    </row>
    <row r="1218" spans="13:13" customFormat="1" x14ac:dyDescent="0.35">
      <c r="M1218" s="3"/>
    </row>
    <row r="1219" spans="13:13" customFormat="1" x14ac:dyDescent="0.35">
      <c r="M1219" s="3"/>
    </row>
    <row r="1220" spans="13:13" customFormat="1" x14ac:dyDescent="0.35">
      <c r="M1220" s="3"/>
    </row>
    <row r="1221" spans="13:13" customFormat="1" x14ac:dyDescent="0.35">
      <c r="M1221" s="3"/>
    </row>
    <row r="1222" spans="13:13" customFormat="1" x14ac:dyDescent="0.35">
      <c r="M1222" s="3"/>
    </row>
    <row r="1223" spans="13:13" customFormat="1" x14ac:dyDescent="0.35">
      <c r="M1223" s="3"/>
    </row>
    <row r="1224" spans="13:13" customFormat="1" x14ac:dyDescent="0.35">
      <c r="M1224" s="3"/>
    </row>
    <row r="1225" spans="13:13" customFormat="1" x14ac:dyDescent="0.35">
      <c r="M1225" s="3"/>
    </row>
    <row r="1226" spans="13:13" customFormat="1" x14ac:dyDescent="0.35">
      <c r="M1226" s="3"/>
    </row>
    <row r="1227" spans="13:13" customFormat="1" x14ac:dyDescent="0.35">
      <c r="M1227" s="3"/>
    </row>
    <row r="1228" spans="13:13" customFormat="1" x14ac:dyDescent="0.35">
      <c r="M1228" s="3"/>
    </row>
    <row r="1229" spans="13:13" customFormat="1" x14ac:dyDescent="0.35">
      <c r="M1229" s="3"/>
    </row>
    <row r="1230" spans="13:13" customFormat="1" x14ac:dyDescent="0.35">
      <c r="M1230" s="3"/>
    </row>
    <row r="1231" spans="13:13" customFormat="1" x14ac:dyDescent="0.35">
      <c r="M1231" s="3"/>
    </row>
    <row r="1232" spans="13:13" customFormat="1" x14ac:dyDescent="0.35">
      <c r="M1232" s="3"/>
    </row>
    <row r="1233" spans="13:13" customFormat="1" x14ac:dyDescent="0.35">
      <c r="M1233" s="3"/>
    </row>
    <row r="1234" spans="13:13" customFormat="1" x14ac:dyDescent="0.35">
      <c r="M1234" s="3"/>
    </row>
    <row r="1235" spans="13:13" customFormat="1" x14ac:dyDescent="0.35">
      <c r="M1235" s="3"/>
    </row>
    <row r="1236" spans="13:13" customFormat="1" x14ac:dyDescent="0.35">
      <c r="M1236" s="3"/>
    </row>
    <row r="1237" spans="13:13" customFormat="1" x14ac:dyDescent="0.35">
      <c r="M1237" s="3"/>
    </row>
    <row r="1238" spans="13:13" customFormat="1" x14ac:dyDescent="0.35">
      <c r="M1238" s="3"/>
    </row>
    <row r="1239" spans="13:13" customFormat="1" x14ac:dyDescent="0.35">
      <c r="M1239" s="3"/>
    </row>
    <row r="1240" spans="13:13" customFormat="1" x14ac:dyDescent="0.35">
      <c r="M1240" s="3"/>
    </row>
    <row r="1241" spans="13:13" customFormat="1" x14ac:dyDescent="0.35">
      <c r="M1241" s="3"/>
    </row>
    <row r="1242" spans="13:13" customFormat="1" x14ac:dyDescent="0.35">
      <c r="M1242" s="3"/>
    </row>
    <row r="1243" spans="13:13" customFormat="1" x14ac:dyDescent="0.35">
      <c r="M1243" s="3"/>
    </row>
    <row r="1244" spans="13:13" customFormat="1" x14ac:dyDescent="0.35">
      <c r="M1244" s="3"/>
    </row>
    <row r="1245" spans="13:13" customFormat="1" x14ac:dyDescent="0.35">
      <c r="M1245" s="3"/>
    </row>
    <row r="1246" spans="13:13" customFormat="1" x14ac:dyDescent="0.35">
      <c r="M1246" s="3"/>
    </row>
    <row r="1247" spans="13:13" customFormat="1" x14ac:dyDescent="0.35">
      <c r="M1247" s="3"/>
    </row>
    <row r="1248" spans="13:13" customFormat="1" x14ac:dyDescent="0.35">
      <c r="M1248" s="3"/>
    </row>
    <row r="1249" spans="13:13" customFormat="1" x14ac:dyDescent="0.35">
      <c r="M1249" s="3"/>
    </row>
    <row r="1250" spans="13:13" customFormat="1" x14ac:dyDescent="0.35">
      <c r="M1250" s="3"/>
    </row>
    <row r="1251" spans="13:13" customFormat="1" x14ac:dyDescent="0.35">
      <c r="M1251" s="3"/>
    </row>
    <row r="1252" spans="13:13" customFormat="1" x14ac:dyDescent="0.35">
      <c r="M1252" s="3"/>
    </row>
    <row r="1253" spans="13:13" customFormat="1" x14ac:dyDescent="0.35">
      <c r="M1253" s="3"/>
    </row>
    <row r="1254" spans="13:13" customFormat="1" x14ac:dyDescent="0.35">
      <c r="M1254" s="3"/>
    </row>
    <row r="1255" spans="13:13" customFormat="1" x14ac:dyDescent="0.35">
      <c r="M1255" s="3"/>
    </row>
    <row r="1256" spans="13:13" customFormat="1" x14ac:dyDescent="0.35">
      <c r="M1256" s="3"/>
    </row>
    <row r="1257" spans="13:13" customFormat="1" x14ac:dyDescent="0.35">
      <c r="M1257" s="3"/>
    </row>
    <row r="1258" spans="13:13" customFormat="1" x14ac:dyDescent="0.35">
      <c r="M1258" s="3"/>
    </row>
    <row r="1259" spans="13:13" customFormat="1" x14ac:dyDescent="0.35">
      <c r="M1259" s="3"/>
    </row>
    <row r="1260" spans="13:13" customFormat="1" x14ac:dyDescent="0.35">
      <c r="M1260" s="3"/>
    </row>
    <row r="1261" spans="13:13" customFormat="1" x14ac:dyDescent="0.35">
      <c r="M1261" s="3"/>
    </row>
    <row r="1262" spans="13:13" customFormat="1" x14ac:dyDescent="0.35">
      <c r="M1262" s="3"/>
    </row>
    <row r="1263" spans="13:13" customFormat="1" x14ac:dyDescent="0.35">
      <c r="M1263" s="3"/>
    </row>
    <row r="1264" spans="13:13" customFormat="1" x14ac:dyDescent="0.35">
      <c r="M1264" s="3"/>
    </row>
    <row r="1265" spans="13:13" customFormat="1" x14ac:dyDescent="0.35">
      <c r="M1265" s="3"/>
    </row>
    <row r="1266" spans="13:13" customFormat="1" x14ac:dyDescent="0.35">
      <c r="M1266" s="3"/>
    </row>
    <row r="1267" spans="13:13" customFormat="1" x14ac:dyDescent="0.35">
      <c r="M1267" s="3"/>
    </row>
    <row r="1268" spans="13:13" customFormat="1" x14ac:dyDescent="0.35">
      <c r="M1268" s="3"/>
    </row>
    <row r="1269" spans="13:13" customFormat="1" x14ac:dyDescent="0.35">
      <c r="M1269" s="3"/>
    </row>
    <row r="1270" spans="13:13" customFormat="1" x14ac:dyDescent="0.35">
      <c r="M1270" s="3"/>
    </row>
    <row r="1271" spans="13:13" customFormat="1" x14ac:dyDescent="0.35">
      <c r="M1271" s="3"/>
    </row>
    <row r="1272" spans="13:13" customFormat="1" x14ac:dyDescent="0.35">
      <c r="M1272" s="3"/>
    </row>
    <row r="1273" spans="13:13" customFormat="1" x14ac:dyDescent="0.35">
      <c r="M1273" s="3"/>
    </row>
    <row r="1274" spans="13:13" customFormat="1" x14ac:dyDescent="0.35">
      <c r="M1274" s="3"/>
    </row>
    <row r="1275" spans="13:13" customFormat="1" x14ac:dyDescent="0.35">
      <c r="M1275" s="3"/>
    </row>
    <row r="1276" spans="13:13" customFormat="1" x14ac:dyDescent="0.35">
      <c r="M1276" s="3"/>
    </row>
    <row r="1277" spans="13:13" customFormat="1" x14ac:dyDescent="0.35">
      <c r="M1277" s="3"/>
    </row>
    <row r="1278" spans="13:13" customFormat="1" x14ac:dyDescent="0.35">
      <c r="M1278" s="3"/>
    </row>
    <row r="1279" spans="13:13" customFormat="1" x14ac:dyDescent="0.35">
      <c r="M1279" s="3"/>
    </row>
    <row r="1280" spans="13:13" customFormat="1" x14ac:dyDescent="0.35">
      <c r="M1280" s="3"/>
    </row>
    <row r="1281" spans="13:13" customFormat="1" x14ac:dyDescent="0.35">
      <c r="M1281" s="3"/>
    </row>
    <row r="1282" spans="13:13" customFormat="1" x14ac:dyDescent="0.35">
      <c r="M1282" s="3"/>
    </row>
    <row r="1283" spans="13:13" customFormat="1" x14ac:dyDescent="0.35">
      <c r="M1283" s="3"/>
    </row>
    <row r="1284" spans="13:13" customFormat="1" x14ac:dyDescent="0.35">
      <c r="M1284" s="3"/>
    </row>
    <row r="1285" spans="13:13" customFormat="1" x14ac:dyDescent="0.35">
      <c r="M1285" s="3"/>
    </row>
    <row r="1286" spans="13:13" customFormat="1" x14ac:dyDescent="0.35">
      <c r="M1286" s="3"/>
    </row>
    <row r="1287" spans="13:13" customFormat="1" x14ac:dyDescent="0.35">
      <c r="M1287" s="3"/>
    </row>
    <row r="1288" spans="13:13" customFormat="1" x14ac:dyDescent="0.35">
      <c r="M1288" s="3"/>
    </row>
    <row r="1289" spans="13:13" customFormat="1" x14ac:dyDescent="0.35">
      <c r="M1289" s="3"/>
    </row>
    <row r="1290" spans="13:13" customFormat="1" x14ac:dyDescent="0.35">
      <c r="M1290" s="3"/>
    </row>
    <row r="1291" spans="13:13" customFormat="1" x14ac:dyDescent="0.35">
      <c r="M1291" s="3"/>
    </row>
    <row r="1292" spans="13:13" customFormat="1" x14ac:dyDescent="0.35">
      <c r="M1292" s="3"/>
    </row>
    <row r="1293" spans="13:13" customFormat="1" x14ac:dyDescent="0.35">
      <c r="M1293" s="3"/>
    </row>
    <row r="1294" spans="13:13" customFormat="1" x14ac:dyDescent="0.35">
      <c r="M1294" s="3"/>
    </row>
    <row r="1295" spans="13:13" customFormat="1" x14ac:dyDescent="0.35">
      <c r="M1295" s="3"/>
    </row>
    <row r="1296" spans="13:13" customFormat="1" x14ac:dyDescent="0.35">
      <c r="M1296" s="3"/>
    </row>
    <row r="1297" spans="13:13" customFormat="1" x14ac:dyDescent="0.35">
      <c r="M1297" s="3"/>
    </row>
    <row r="1298" spans="13:13" customFormat="1" x14ac:dyDescent="0.35">
      <c r="M1298" s="3"/>
    </row>
    <row r="1299" spans="13:13" customFormat="1" x14ac:dyDescent="0.35">
      <c r="M1299" s="3"/>
    </row>
    <row r="1300" spans="13:13" customFormat="1" x14ac:dyDescent="0.35">
      <c r="M1300" s="3"/>
    </row>
    <row r="1301" spans="13:13" customFormat="1" x14ac:dyDescent="0.35">
      <c r="M1301" s="3"/>
    </row>
    <row r="1302" spans="13:13" customFormat="1" x14ac:dyDescent="0.35">
      <c r="M1302" s="3"/>
    </row>
    <row r="1303" spans="13:13" customFormat="1" x14ac:dyDescent="0.35">
      <c r="M1303" s="3"/>
    </row>
    <row r="1304" spans="13:13" customFormat="1" x14ac:dyDescent="0.35">
      <c r="M1304" s="3"/>
    </row>
    <row r="1305" spans="13:13" customFormat="1" x14ac:dyDescent="0.35">
      <c r="M1305" s="3"/>
    </row>
    <row r="1306" spans="13:13" customFormat="1" x14ac:dyDescent="0.35">
      <c r="M1306" s="3"/>
    </row>
    <row r="1307" spans="13:13" customFormat="1" x14ac:dyDescent="0.35">
      <c r="M1307" s="3"/>
    </row>
    <row r="1308" spans="13:13" customFormat="1" x14ac:dyDescent="0.35">
      <c r="M1308" s="3"/>
    </row>
    <row r="1309" spans="13:13" customFormat="1" x14ac:dyDescent="0.35">
      <c r="M1309" s="3"/>
    </row>
    <row r="1310" spans="13:13" customFormat="1" x14ac:dyDescent="0.35">
      <c r="M1310" s="3"/>
    </row>
    <row r="1311" spans="13:13" customFormat="1" x14ac:dyDescent="0.35">
      <c r="M1311" s="3"/>
    </row>
    <row r="1312" spans="13:13" customFormat="1" x14ac:dyDescent="0.35">
      <c r="M1312" s="3"/>
    </row>
    <row r="1313" spans="13:13" customFormat="1" x14ac:dyDescent="0.35">
      <c r="M1313" s="3"/>
    </row>
    <row r="1314" spans="13:13" customFormat="1" x14ac:dyDescent="0.35">
      <c r="M1314" s="3"/>
    </row>
    <row r="1315" spans="13:13" customFormat="1" x14ac:dyDescent="0.35">
      <c r="M1315" s="3"/>
    </row>
    <row r="1316" spans="13:13" customFormat="1" x14ac:dyDescent="0.35">
      <c r="M1316" s="3"/>
    </row>
    <row r="1317" spans="13:13" customFormat="1" x14ac:dyDescent="0.35">
      <c r="M1317" s="3"/>
    </row>
    <row r="1318" spans="13:13" customFormat="1" x14ac:dyDescent="0.35">
      <c r="M1318" s="3"/>
    </row>
    <row r="1319" spans="13:13" customFormat="1" x14ac:dyDescent="0.35">
      <c r="M1319" s="3"/>
    </row>
    <row r="1320" spans="13:13" customFormat="1" x14ac:dyDescent="0.35">
      <c r="M1320" s="3"/>
    </row>
    <row r="1321" spans="13:13" customFormat="1" x14ac:dyDescent="0.35">
      <c r="M1321" s="3"/>
    </row>
    <row r="1322" spans="13:13" customFormat="1" x14ac:dyDescent="0.35">
      <c r="M1322" s="3"/>
    </row>
    <row r="1323" spans="13:13" customFormat="1" x14ac:dyDescent="0.35">
      <c r="M1323" s="3"/>
    </row>
    <row r="1324" spans="13:13" customFormat="1" x14ac:dyDescent="0.35">
      <c r="M1324" s="3"/>
    </row>
    <row r="1325" spans="13:13" customFormat="1" x14ac:dyDescent="0.35">
      <c r="M1325" s="3"/>
    </row>
    <row r="1326" spans="13:13" customFormat="1" x14ac:dyDescent="0.35">
      <c r="M1326" s="3"/>
    </row>
    <row r="1327" spans="13:13" customFormat="1" x14ac:dyDescent="0.35">
      <c r="M1327" s="3"/>
    </row>
    <row r="1328" spans="13:13" customFormat="1" x14ac:dyDescent="0.35">
      <c r="M1328" s="3"/>
    </row>
    <row r="1329" spans="13:13" customFormat="1" x14ac:dyDescent="0.35">
      <c r="M1329" s="3"/>
    </row>
    <row r="1330" spans="13:13" customFormat="1" x14ac:dyDescent="0.35">
      <c r="M1330" s="3"/>
    </row>
    <row r="1331" spans="13:13" customFormat="1" x14ac:dyDescent="0.35">
      <c r="M1331" s="3"/>
    </row>
    <row r="1332" spans="13:13" customFormat="1" x14ac:dyDescent="0.35">
      <c r="M1332" s="3"/>
    </row>
    <row r="1333" spans="13:13" customFormat="1" x14ac:dyDescent="0.35">
      <c r="M1333" s="3"/>
    </row>
    <row r="1334" spans="13:13" customFormat="1" x14ac:dyDescent="0.35">
      <c r="M1334" s="3"/>
    </row>
    <row r="1335" spans="13:13" customFormat="1" x14ac:dyDescent="0.35">
      <c r="M1335" s="3"/>
    </row>
    <row r="1336" spans="13:13" customFormat="1" x14ac:dyDescent="0.35">
      <c r="M1336" s="3"/>
    </row>
    <row r="1337" spans="13:13" customFormat="1" x14ac:dyDescent="0.35">
      <c r="M1337" s="3"/>
    </row>
    <row r="1338" spans="13:13" customFormat="1" x14ac:dyDescent="0.35">
      <c r="M1338" s="3"/>
    </row>
    <row r="1339" spans="13:13" customFormat="1" x14ac:dyDescent="0.35">
      <c r="M1339" s="3"/>
    </row>
    <row r="1340" spans="13:13" customFormat="1" x14ac:dyDescent="0.35">
      <c r="M1340" s="3"/>
    </row>
    <row r="1341" spans="13:13" customFormat="1" x14ac:dyDescent="0.35">
      <c r="M1341" s="3"/>
    </row>
    <row r="1342" spans="13:13" customFormat="1" x14ac:dyDescent="0.35">
      <c r="M1342" s="3"/>
    </row>
    <row r="1343" spans="13:13" customFormat="1" x14ac:dyDescent="0.35">
      <c r="M1343" s="3"/>
    </row>
    <row r="1344" spans="13:13" customFormat="1" x14ac:dyDescent="0.35">
      <c r="M1344" s="3"/>
    </row>
    <row r="1345" spans="13:13" customFormat="1" x14ac:dyDescent="0.35">
      <c r="M1345" s="3"/>
    </row>
    <row r="1346" spans="13:13" customFormat="1" x14ac:dyDescent="0.35">
      <c r="M1346" s="3"/>
    </row>
    <row r="1347" spans="13:13" customFormat="1" x14ac:dyDescent="0.35">
      <c r="M1347" s="3"/>
    </row>
    <row r="1348" spans="13:13" customFormat="1" x14ac:dyDescent="0.35">
      <c r="M1348" s="3"/>
    </row>
    <row r="1349" spans="13:13" customFormat="1" x14ac:dyDescent="0.35">
      <c r="M1349" s="3"/>
    </row>
    <row r="1350" spans="13:13" customFormat="1" x14ac:dyDescent="0.35">
      <c r="M1350" s="3"/>
    </row>
    <row r="1351" spans="13:13" customFormat="1" x14ac:dyDescent="0.35">
      <c r="M1351" s="3"/>
    </row>
    <row r="1352" spans="13:13" customFormat="1" x14ac:dyDescent="0.35">
      <c r="M1352" s="3"/>
    </row>
    <row r="1353" spans="13:13" customFormat="1" x14ac:dyDescent="0.35">
      <c r="M1353" s="3"/>
    </row>
    <row r="1354" spans="13:13" customFormat="1" x14ac:dyDescent="0.35">
      <c r="M1354" s="3"/>
    </row>
    <row r="1355" spans="13:13" customFormat="1" x14ac:dyDescent="0.35">
      <c r="M1355" s="3"/>
    </row>
    <row r="1356" spans="13:13" customFormat="1" x14ac:dyDescent="0.35">
      <c r="M1356" s="3"/>
    </row>
    <row r="1357" spans="13:13" customFormat="1" x14ac:dyDescent="0.35">
      <c r="M1357" s="3"/>
    </row>
    <row r="1358" spans="13:13" customFormat="1" x14ac:dyDescent="0.35">
      <c r="M1358" s="3"/>
    </row>
    <row r="1359" spans="13:13" customFormat="1" x14ac:dyDescent="0.35">
      <c r="M1359" s="3"/>
    </row>
    <row r="1360" spans="13:13" customFormat="1" x14ac:dyDescent="0.35">
      <c r="M1360" s="3"/>
    </row>
    <row r="1361" spans="13:13" customFormat="1" x14ac:dyDescent="0.35">
      <c r="M1361" s="3"/>
    </row>
    <row r="1362" spans="13:13" customFormat="1" x14ac:dyDescent="0.35">
      <c r="M1362" s="3"/>
    </row>
    <row r="1363" spans="13:13" customFormat="1" x14ac:dyDescent="0.35">
      <c r="M1363" s="3"/>
    </row>
    <row r="1364" spans="13:13" customFormat="1" x14ac:dyDescent="0.35">
      <c r="M1364" s="3"/>
    </row>
    <row r="1365" spans="13:13" customFormat="1" x14ac:dyDescent="0.35">
      <c r="M1365" s="3"/>
    </row>
    <row r="1366" spans="13:13" customFormat="1" x14ac:dyDescent="0.35">
      <c r="M1366" s="3"/>
    </row>
    <row r="1367" spans="13:13" customFormat="1" x14ac:dyDescent="0.35">
      <c r="M1367" s="3"/>
    </row>
    <row r="1368" spans="13:13" customFormat="1" x14ac:dyDescent="0.35">
      <c r="M1368" s="3"/>
    </row>
    <row r="1369" spans="13:13" customFormat="1" x14ac:dyDescent="0.35">
      <c r="M1369" s="3"/>
    </row>
    <row r="1370" spans="13:13" customFormat="1" x14ac:dyDescent="0.35">
      <c r="M1370" s="3"/>
    </row>
    <row r="1371" spans="13:13" customFormat="1" x14ac:dyDescent="0.35">
      <c r="M1371" s="3"/>
    </row>
  </sheetData>
  <sortState xmlns:xlrd2="http://schemas.microsoft.com/office/spreadsheetml/2017/richdata2" ref="A2:AA497">
    <sortCondition ref="A2:A497"/>
  </sortState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topLeftCell="B181" workbookViewId="0">
      <selection activeCell="D193" sqref="D193"/>
    </sheetView>
  </sheetViews>
  <sheetFormatPr defaultRowHeight="14.5" x14ac:dyDescent="0.35"/>
  <cols>
    <col min="2" max="5" width="30.7265625" customWidth="1"/>
  </cols>
  <sheetData>
    <row r="1" spans="1:4" x14ac:dyDescent="0.35">
      <c r="A1" s="1" t="s">
        <v>105</v>
      </c>
      <c r="B1" s="1" t="s">
        <v>106</v>
      </c>
      <c r="C1" s="1" t="s">
        <v>107</v>
      </c>
      <c r="D1" s="1" t="s">
        <v>108</v>
      </c>
    </row>
    <row r="2" spans="1:4" s="29" customFormat="1" x14ac:dyDescent="0.35">
      <c r="A2" s="29" t="s">
        <v>109</v>
      </c>
      <c r="B2" s="29" t="s">
        <v>8</v>
      </c>
      <c r="C2" s="29" t="s">
        <v>110</v>
      </c>
      <c r="D2" s="29" t="s">
        <v>111</v>
      </c>
    </row>
    <row r="3" spans="1:4" s="29" customFormat="1" x14ac:dyDescent="0.35">
      <c r="A3" s="29" t="s">
        <v>109</v>
      </c>
      <c r="B3" s="29" t="s">
        <v>8</v>
      </c>
      <c r="C3" s="29" t="s">
        <v>112</v>
      </c>
      <c r="D3" s="29" t="s">
        <v>113</v>
      </c>
    </row>
    <row r="4" spans="1:4" s="29" customFormat="1" x14ac:dyDescent="0.35">
      <c r="A4" s="29" t="s">
        <v>109</v>
      </c>
      <c r="B4" s="29" t="s">
        <v>8</v>
      </c>
      <c r="C4" s="29" t="s">
        <v>114</v>
      </c>
      <c r="D4" s="29" t="s">
        <v>115</v>
      </c>
    </row>
    <row r="5" spans="1:4" s="29" customFormat="1" x14ac:dyDescent="0.35">
      <c r="A5" s="29" t="s">
        <v>109</v>
      </c>
      <c r="B5" s="29" t="s">
        <v>8</v>
      </c>
      <c r="C5" s="29" t="s">
        <v>116</v>
      </c>
      <c r="D5" s="29" t="s">
        <v>117</v>
      </c>
    </row>
    <row r="6" spans="1:4" s="29" customFormat="1" x14ac:dyDescent="0.35">
      <c r="A6" s="29" t="s">
        <v>109</v>
      </c>
      <c r="B6" s="29" t="s">
        <v>8</v>
      </c>
      <c r="C6" s="29" t="s">
        <v>118</v>
      </c>
      <c r="D6" s="29" t="s">
        <v>119</v>
      </c>
    </row>
    <row r="7" spans="1:4" s="29" customFormat="1" x14ac:dyDescent="0.35">
      <c r="A7" s="29" t="s">
        <v>109</v>
      </c>
      <c r="B7" s="29" t="s">
        <v>8</v>
      </c>
      <c r="C7" s="29" t="s">
        <v>120</v>
      </c>
      <c r="D7" s="29" t="s">
        <v>121</v>
      </c>
    </row>
    <row r="8" spans="1:4" s="29" customFormat="1" x14ac:dyDescent="0.35">
      <c r="A8" s="29" t="s">
        <v>109</v>
      </c>
      <c r="B8" s="29" t="s">
        <v>8</v>
      </c>
      <c r="C8" s="29" t="s">
        <v>122</v>
      </c>
      <c r="D8" s="29" t="s">
        <v>123</v>
      </c>
    </row>
    <row r="9" spans="1:4" s="29" customFormat="1" x14ac:dyDescent="0.35">
      <c r="A9" s="29" t="s">
        <v>109</v>
      </c>
      <c r="B9" s="29" t="s">
        <v>8</v>
      </c>
      <c r="C9" s="29" t="s">
        <v>124</v>
      </c>
      <c r="D9" s="29" t="s">
        <v>125</v>
      </c>
    </row>
    <row r="10" spans="1:4" s="29" customFormat="1" x14ac:dyDescent="0.35">
      <c r="A10" s="29" t="s">
        <v>109</v>
      </c>
      <c r="B10" s="29" t="s">
        <v>8</v>
      </c>
      <c r="C10" s="29" t="s">
        <v>126</v>
      </c>
      <c r="D10" s="29" t="s">
        <v>127</v>
      </c>
    </row>
    <row r="11" spans="1:4" s="29" customFormat="1" x14ac:dyDescent="0.35">
      <c r="A11" s="29" t="s">
        <v>109</v>
      </c>
      <c r="B11" s="29" t="s">
        <v>8</v>
      </c>
      <c r="C11" s="29" t="s">
        <v>128</v>
      </c>
      <c r="D11" s="29" t="s">
        <v>129</v>
      </c>
    </row>
    <row r="12" spans="1:4" s="29" customFormat="1" x14ac:dyDescent="0.35">
      <c r="A12" s="29" t="s">
        <v>109</v>
      </c>
      <c r="B12" s="29" t="s">
        <v>8</v>
      </c>
      <c r="C12" s="29" t="s">
        <v>130</v>
      </c>
      <c r="D12" s="29" t="s">
        <v>131</v>
      </c>
    </row>
    <row r="13" spans="1:4" s="29" customFormat="1" x14ac:dyDescent="0.35">
      <c r="A13" s="29" t="s">
        <v>109</v>
      </c>
      <c r="B13" s="29" t="s">
        <v>8</v>
      </c>
      <c r="C13" s="29" t="s">
        <v>132</v>
      </c>
      <c r="D13" s="29" t="s">
        <v>133</v>
      </c>
    </row>
    <row r="14" spans="1:4" s="29" customFormat="1" x14ac:dyDescent="0.35">
      <c r="A14" s="29" t="s">
        <v>109</v>
      </c>
      <c r="B14" s="29" t="s">
        <v>8</v>
      </c>
      <c r="C14" s="29" t="s">
        <v>134</v>
      </c>
      <c r="D14" s="29" t="s">
        <v>135</v>
      </c>
    </row>
    <row r="15" spans="1:4" s="29" customFormat="1" x14ac:dyDescent="0.35">
      <c r="A15" s="29" t="s">
        <v>109</v>
      </c>
      <c r="B15" s="29" t="s">
        <v>8</v>
      </c>
      <c r="C15" s="29" t="s">
        <v>136</v>
      </c>
      <c r="D15" s="29" t="s">
        <v>137</v>
      </c>
    </row>
    <row r="16" spans="1:4" s="29" customFormat="1" x14ac:dyDescent="0.35">
      <c r="A16" s="29" t="s">
        <v>109</v>
      </c>
      <c r="B16" s="29" t="s">
        <v>8</v>
      </c>
      <c r="C16" s="29" t="s">
        <v>138</v>
      </c>
      <c r="D16" s="29" t="s">
        <v>139</v>
      </c>
    </row>
    <row r="17" spans="1:4" x14ac:dyDescent="0.35">
      <c r="A17" t="s">
        <v>110</v>
      </c>
      <c r="B17" t="s">
        <v>9</v>
      </c>
      <c r="C17" t="s">
        <v>114</v>
      </c>
      <c r="D17" t="s">
        <v>140</v>
      </c>
    </row>
    <row r="18" spans="1:4" x14ac:dyDescent="0.35">
      <c r="A18" t="s">
        <v>110</v>
      </c>
      <c r="B18" t="s">
        <v>9</v>
      </c>
      <c r="C18" t="s">
        <v>112</v>
      </c>
      <c r="D18" t="s">
        <v>141</v>
      </c>
    </row>
    <row r="19" spans="1:4" x14ac:dyDescent="0.35">
      <c r="A19" t="s">
        <v>110</v>
      </c>
      <c r="B19" t="s">
        <v>9</v>
      </c>
      <c r="C19" t="s">
        <v>110</v>
      </c>
      <c r="D19" t="s">
        <v>142</v>
      </c>
    </row>
    <row r="20" spans="1:4" x14ac:dyDescent="0.35">
      <c r="A20" t="s">
        <v>110</v>
      </c>
      <c r="B20" t="s">
        <v>9</v>
      </c>
      <c r="C20" t="s">
        <v>116</v>
      </c>
      <c r="D20" t="s">
        <v>117</v>
      </c>
    </row>
    <row r="21" spans="1:4" x14ac:dyDescent="0.35">
      <c r="A21" t="s">
        <v>110</v>
      </c>
      <c r="B21" t="s">
        <v>9</v>
      </c>
      <c r="C21" t="s">
        <v>118</v>
      </c>
      <c r="D21" t="s">
        <v>119</v>
      </c>
    </row>
    <row r="22" spans="1:4" x14ac:dyDescent="0.35">
      <c r="A22" t="s">
        <v>110</v>
      </c>
      <c r="B22" t="s">
        <v>9</v>
      </c>
      <c r="C22" t="s">
        <v>120</v>
      </c>
      <c r="D22" t="s">
        <v>121</v>
      </c>
    </row>
    <row r="23" spans="1:4" x14ac:dyDescent="0.35">
      <c r="A23" t="s">
        <v>110</v>
      </c>
      <c r="B23" t="s">
        <v>9</v>
      </c>
      <c r="C23" t="s">
        <v>122</v>
      </c>
      <c r="D23" t="s">
        <v>123</v>
      </c>
    </row>
    <row r="24" spans="1:4" x14ac:dyDescent="0.35">
      <c r="A24" t="s">
        <v>110</v>
      </c>
      <c r="B24" t="s">
        <v>9</v>
      </c>
      <c r="C24" t="s">
        <v>124</v>
      </c>
      <c r="D24" t="s">
        <v>125</v>
      </c>
    </row>
    <row r="25" spans="1:4" x14ac:dyDescent="0.35">
      <c r="A25" t="s">
        <v>110</v>
      </c>
      <c r="B25" t="s">
        <v>9</v>
      </c>
      <c r="C25" t="s">
        <v>126</v>
      </c>
      <c r="D25" t="s">
        <v>127</v>
      </c>
    </row>
    <row r="26" spans="1:4" x14ac:dyDescent="0.35">
      <c r="A26" t="s">
        <v>110</v>
      </c>
      <c r="B26" t="s">
        <v>9</v>
      </c>
      <c r="C26" t="s">
        <v>128</v>
      </c>
      <c r="D26" t="s">
        <v>129</v>
      </c>
    </row>
    <row r="27" spans="1:4" x14ac:dyDescent="0.35">
      <c r="A27" t="s">
        <v>110</v>
      </c>
      <c r="B27" t="s">
        <v>9</v>
      </c>
      <c r="C27" t="s">
        <v>130</v>
      </c>
      <c r="D27" t="s">
        <v>131</v>
      </c>
    </row>
    <row r="28" spans="1:4" x14ac:dyDescent="0.35">
      <c r="A28" t="s">
        <v>110</v>
      </c>
      <c r="B28" t="s">
        <v>9</v>
      </c>
      <c r="C28" t="s">
        <v>132</v>
      </c>
      <c r="D28" t="s">
        <v>133</v>
      </c>
    </row>
    <row r="29" spans="1:4" x14ac:dyDescent="0.35">
      <c r="A29" t="s">
        <v>110</v>
      </c>
      <c r="B29" t="s">
        <v>9</v>
      </c>
      <c r="C29" t="s">
        <v>134</v>
      </c>
      <c r="D29" t="s">
        <v>135</v>
      </c>
    </row>
    <row r="30" spans="1:4" x14ac:dyDescent="0.35">
      <c r="A30" t="s">
        <v>110</v>
      </c>
      <c r="B30" t="s">
        <v>9</v>
      </c>
      <c r="C30" t="s">
        <v>136</v>
      </c>
      <c r="D30" t="s">
        <v>137</v>
      </c>
    </row>
    <row r="31" spans="1:4" x14ac:dyDescent="0.35">
      <c r="A31" t="s">
        <v>110</v>
      </c>
      <c r="B31" t="s">
        <v>9</v>
      </c>
      <c r="C31" t="s">
        <v>138</v>
      </c>
      <c r="D31" t="s">
        <v>139</v>
      </c>
    </row>
    <row r="32" spans="1:4" s="29" customFormat="1" x14ac:dyDescent="0.35">
      <c r="A32" s="29" t="s">
        <v>112</v>
      </c>
      <c r="B32" s="29" t="s">
        <v>10</v>
      </c>
      <c r="C32" s="29" t="s">
        <v>110</v>
      </c>
      <c r="D32" s="29" t="s">
        <v>143</v>
      </c>
    </row>
    <row r="33" spans="1:4" s="29" customFormat="1" x14ac:dyDescent="0.35">
      <c r="A33" s="29" t="s">
        <v>112</v>
      </c>
      <c r="B33" s="29" t="s">
        <v>10</v>
      </c>
      <c r="C33" s="29" t="s">
        <v>112</v>
      </c>
      <c r="D33" s="29" t="s">
        <v>144</v>
      </c>
    </row>
    <row r="34" spans="1:4" s="29" customFormat="1" x14ac:dyDescent="0.35">
      <c r="A34" s="29" t="s">
        <v>112</v>
      </c>
      <c r="B34" s="29" t="s">
        <v>10</v>
      </c>
      <c r="C34" s="29" t="s">
        <v>114</v>
      </c>
      <c r="D34" s="29" t="s">
        <v>145</v>
      </c>
    </row>
    <row r="35" spans="1:4" s="29" customFormat="1" x14ac:dyDescent="0.35">
      <c r="A35" s="29" t="s">
        <v>112</v>
      </c>
      <c r="B35" s="29" t="s">
        <v>10</v>
      </c>
      <c r="C35" s="29" t="s">
        <v>146</v>
      </c>
      <c r="D35" s="29" t="s">
        <v>147</v>
      </c>
    </row>
    <row r="36" spans="1:4" s="29" customFormat="1" x14ac:dyDescent="0.35">
      <c r="A36" s="29" t="s">
        <v>112</v>
      </c>
      <c r="B36" s="29" t="s">
        <v>10</v>
      </c>
      <c r="C36" s="29" t="s">
        <v>116</v>
      </c>
      <c r="D36" s="29" t="s">
        <v>117</v>
      </c>
    </row>
    <row r="37" spans="1:4" s="29" customFormat="1" x14ac:dyDescent="0.35">
      <c r="A37" s="29" t="s">
        <v>112</v>
      </c>
      <c r="B37" s="29" t="s">
        <v>10</v>
      </c>
      <c r="C37" s="29" t="s">
        <v>118</v>
      </c>
      <c r="D37" s="29" t="s">
        <v>119</v>
      </c>
    </row>
    <row r="38" spans="1:4" s="29" customFormat="1" x14ac:dyDescent="0.35">
      <c r="A38" s="29" t="s">
        <v>112</v>
      </c>
      <c r="B38" s="29" t="s">
        <v>10</v>
      </c>
      <c r="C38" s="29" t="s">
        <v>120</v>
      </c>
      <c r="D38" s="29" t="s">
        <v>121</v>
      </c>
    </row>
    <row r="39" spans="1:4" s="29" customFormat="1" x14ac:dyDescent="0.35">
      <c r="A39" s="29" t="s">
        <v>112</v>
      </c>
      <c r="B39" s="29" t="s">
        <v>10</v>
      </c>
      <c r="C39" s="29" t="s">
        <v>122</v>
      </c>
      <c r="D39" s="29" t="s">
        <v>123</v>
      </c>
    </row>
    <row r="40" spans="1:4" s="29" customFormat="1" x14ac:dyDescent="0.35">
      <c r="A40" s="29" t="s">
        <v>112</v>
      </c>
      <c r="B40" s="29" t="s">
        <v>10</v>
      </c>
      <c r="C40" s="29" t="s">
        <v>130</v>
      </c>
      <c r="D40" s="29" t="s">
        <v>131</v>
      </c>
    </row>
    <row r="41" spans="1:4" s="29" customFormat="1" x14ac:dyDescent="0.35">
      <c r="A41" s="29" t="s">
        <v>112</v>
      </c>
      <c r="B41" s="29" t="s">
        <v>10</v>
      </c>
      <c r="C41" s="29" t="s">
        <v>124</v>
      </c>
      <c r="D41" s="29" t="s">
        <v>125</v>
      </c>
    </row>
    <row r="42" spans="1:4" s="29" customFormat="1" x14ac:dyDescent="0.35">
      <c r="A42" s="29" t="s">
        <v>112</v>
      </c>
      <c r="B42" s="29" t="s">
        <v>10</v>
      </c>
      <c r="C42" s="29" t="s">
        <v>126</v>
      </c>
      <c r="D42" s="29" t="s">
        <v>127</v>
      </c>
    </row>
    <row r="43" spans="1:4" s="29" customFormat="1" x14ac:dyDescent="0.35">
      <c r="A43" s="29" t="s">
        <v>112</v>
      </c>
      <c r="B43" s="29" t="s">
        <v>10</v>
      </c>
      <c r="C43" s="29" t="s">
        <v>128</v>
      </c>
      <c r="D43" s="29" t="s">
        <v>129</v>
      </c>
    </row>
    <row r="44" spans="1:4" s="29" customFormat="1" x14ac:dyDescent="0.35">
      <c r="A44" s="29" t="s">
        <v>112</v>
      </c>
      <c r="B44" s="29" t="s">
        <v>10</v>
      </c>
      <c r="C44" s="29" t="s">
        <v>132</v>
      </c>
      <c r="D44" s="29" t="s">
        <v>133</v>
      </c>
    </row>
    <row r="45" spans="1:4" s="29" customFormat="1" x14ac:dyDescent="0.35">
      <c r="A45" s="29" t="s">
        <v>112</v>
      </c>
      <c r="B45" s="29" t="s">
        <v>10</v>
      </c>
      <c r="C45" s="29" t="s">
        <v>134</v>
      </c>
      <c r="D45" s="29" t="s">
        <v>135</v>
      </c>
    </row>
    <row r="46" spans="1:4" s="29" customFormat="1" x14ac:dyDescent="0.35">
      <c r="A46" s="29" t="s">
        <v>112</v>
      </c>
      <c r="B46" s="29" t="s">
        <v>10</v>
      </c>
      <c r="C46" s="29" t="s">
        <v>136</v>
      </c>
      <c r="D46" s="29" t="s">
        <v>137</v>
      </c>
    </row>
    <row r="47" spans="1:4" s="29" customFormat="1" x14ac:dyDescent="0.35">
      <c r="A47" s="29" t="s">
        <v>112</v>
      </c>
      <c r="B47" s="29" t="s">
        <v>10</v>
      </c>
      <c r="C47" s="29" t="s">
        <v>138</v>
      </c>
      <c r="D47" s="29" t="s">
        <v>139</v>
      </c>
    </row>
    <row r="48" spans="1:4" x14ac:dyDescent="0.35">
      <c r="A48" t="s">
        <v>148</v>
      </c>
      <c r="B48" t="s">
        <v>11</v>
      </c>
      <c r="C48" t="s">
        <v>148</v>
      </c>
      <c r="D48" t="s">
        <v>149</v>
      </c>
    </row>
    <row r="49" spans="1:4" x14ac:dyDescent="0.35">
      <c r="A49" t="s">
        <v>148</v>
      </c>
      <c r="B49" t="s">
        <v>11</v>
      </c>
      <c r="C49" t="s">
        <v>146</v>
      </c>
      <c r="D49" t="s">
        <v>150</v>
      </c>
    </row>
    <row r="50" spans="1:4" x14ac:dyDescent="0.35">
      <c r="A50" t="s">
        <v>148</v>
      </c>
      <c r="B50" t="s">
        <v>11</v>
      </c>
      <c r="C50" t="s">
        <v>114</v>
      </c>
      <c r="D50" t="s">
        <v>151</v>
      </c>
    </row>
    <row r="51" spans="1:4" x14ac:dyDescent="0.35">
      <c r="A51" t="s">
        <v>148</v>
      </c>
      <c r="B51" t="s">
        <v>11</v>
      </c>
      <c r="C51" t="s">
        <v>112</v>
      </c>
      <c r="D51" t="s">
        <v>152</v>
      </c>
    </row>
    <row r="52" spans="1:4" x14ac:dyDescent="0.35">
      <c r="A52" t="s">
        <v>148</v>
      </c>
      <c r="B52" t="s">
        <v>11</v>
      </c>
      <c r="C52" t="s">
        <v>110</v>
      </c>
      <c r="D52" t="s">
        <v>153</v>
      </c>
    </row>
    <row r="53" spans="1:4" x14ac:dyDescent="0.35">
      <c r="A53" t="s">
        <v>148</v>
      </c>
      <c r="B53" t="s">
        <v>11</v>
      </c>
      <c r="C53" t="s">
        <v>116</v>
      </c>
      <c r="D53" t="s">
        <v>117</v>
      </c>
    </row>
    <row r="54" spans="1:4" x14ac:dyDescent="0.35">
      <c r="A54" t="s">
        <v>148</v>
      </c>
      <c r="B54" t="s">
        <v>11</v>
      </c>
      <c r="C54" t="s">
        <v>118</v>
      </c>
      <c r="D54" t="s">
        <v>119</v>
      </c>
    </row>
    <row r="55" spans="1:4" x14ac:dyDescent="0.35">
      <c r="A55" t="s">
        <v>148</v>
      </c>
      <c r="B55" t="s">
        <v>11</v>
      </c>
      <c r="C55" t="s">
        <v>120</v>
      </c>
      <c r="D55" t="s">
        <v>121</v>
      </c>
    </row>
    <row r="56" spans="1:4" x14ac:dyDescent="0.35">
      <c r="A56" t="s">
        <v>148</v>
      </c>
      <c r="B56" t="s">
        <v>11</v>
      </c>
      <c r="C56" t="s">
        <v>122</v>
      </c>
      <c r="D56" t="s">
        <v>123</v>
      </c>
    </row>
    <row r="57" spans="1:4" x14ac:dyDescent="0.35">
      <c r="A57" t="s">
        <v>148</v>
      </c>
      <c r="B57" t="s">
        <v>11</v>
      </c>
      <c r="C57" t="s">
        <v>124</v>
      </c>
      <c r="D57" t="s">
        <v>125</v>
      </c>
    </row>
    <row r="58" spans="1:4" x14ac:dyDescent="0.35">
      <c r="A58" t="s">
        <v>148</v>
      </c>
      <c r="B58" t="s">
        <v>11</v>
      </c>
      <c r="C58" t="s">
        <v>126</v>
      </c>
      <c r="D58" t="s">
        <v>127</v>
      </c>
    </row>
    <row r="59" spans="1:4" x14ac:dyDescent="0.35">
      <c r="A59" t="s">
        <v>148</v>
      </c>
      <c r="B59" t="s">
        <v>11</v>
      </c>
      <c r="C59" t="s">
        <v>128</v>
      </c>
      <c r="D59" t="s">
        <v>129</v>
      </c>
    </row>
    <row r="60" spans="1:4" x14ac:dyDescent="0.35">
      <c r="A60" t="s">
        <v>148</v>
      </c>
      <c r="B60" t="s">
        <v>11</v>
      </c>
      <c r="C60" t="s">
        <v>130</v>
      </c>
      <c r="D60" t="s">
        <v>131</v>
      </c>
    </row>
    <row r="61" spans="1:4" x14ac:dyDescent="0.35">
      <c r="A61" t="s">
        <v>148</v>
      </c>
      <c r="B61" t="s">
        <v>11</v>
      </c>
      <c r="C61" t="s">
        <v>132</v>
      </c>
      <c r="D61" t="s">
        <v>133</v>
      </c>
    </row>
    <row r="62" spans="1:4" x14ac:dyDescent="0.35">
      <c r="A62" t="s">
        <v>148</v>
      </c>
      <c r="B62" t="s">
        <v>11</v>
      </c>
      <c r="C62" t="s">
        <v>134</v>
      </c>
      <c r="D62" t="s">
        <v>135</v>
      </c>
    </row>
    <row r="63" spans="1:4" x14ac:dyDescent="0.35">
      <c r="A63" t="s">
        <v>148</v>
      </c>
      <c r="B63" t="s">
        <v>11</v>
      </c>
      <c r="C63" t="s">
        <v>136</v>
      </c>
      <c r="D63" t="s">
        <v>137</v>
      </c>
    </row>
    <row r="64" spans="1:4" x14ac:dyDescent="0.35">
      <c r="A64" t="s">
        <v>148</v>
      </c>
      <c r="B64" t="s">
        <v>11</v>
      </c>
      <c r="C64" t="s">
        <v>138</v>
      </c>
      <c r="D64" t="s">
        <v>139</v>
      </c>
    </row>
    <row r="65" spans="1:4" x14ac:dyDescent="0.35">
      <c r="A65" t="s">
        <v>154</v>
      </c>
      <c r="B65" t="s">
        <v>12</v>
      </c>
      <c r="C65" t="s">
        <v>116</v>
      </c>
      <c r="D65" t="s">
        <v>117</v>
      </c>
    </row>
    <row r="66" spans="1:4" x14ac:dyDescent="0.35">
      <c r="A66" t="s">
        <v>154</v>
      </c>
      <c r="B66" t="s">
        <v>12</v>
      </c>
      <c r="C66" t="s">
        <v>118</v>
      </c>
      <c r="D66" t="s">
        <v>119</v>
      </c>
    </row>
    <row r="67" spans="1:4" x14ac:dyDescent="0.35">
      <c r="A67" t="s">
        <v>154</v>
      </c>
      <c r="B67" t="s">
        <v>12</v>
      </c>
      <c r="C67" t="s">
        <v>120</v>
      </c>
      <c r="D67" t="s">
        <v>121</v>
      </c>
    </row>
    <row r="68" spans="1:4" x14ac:dyDescent="0.35">
      <c r="A68" t="s">
        <v>155</v>
      </c>
      <c r="B68" t="s">
        <v>1</v>
      </c>
      <c r="C68" t="s">
        <v>148</v>
      </c>
      <c r="D68" t="s">
        <v>156</v>
      </c>
    </row>
    <row r="69" spans="1:4" x14ac:dyDescent="0.35">
      <c r="A69" t="s">
        <v>155</v>
      </c>
      <c r="B69" t="s">
        <v>1</v>
      </c>
      <c r="C69" t="s">
        <v>110</v>
      </c>
      <c r="D69" t="s">
        <v>157</v>
      </c>
    </row>
    <row r="70" spans="1:4" x14ac:dyDescent="0.35">
      <c r="A70" t="s">
        <v>155</v>
      </c>
      <c r="B70" t="s">
        <v>1</v>
      </c>
      <c r="C70" t="s">
        <v>116</v>
      </c>
      <c r="D70" t="s">
        <v>117</v>
      </c>
    </row>
    <row r="71" spans="1:4" x14ac:dyDescent="0.35">
      <c r="A71" t="s">
        <v>155</v>
      </c>
      <c r="B71" t="s">
        <v>1</v>
      </c>
      <c r="C71" t="s">
        <v>118</v>
      </c>
      <c r="D71" t="s">
        <v>119</v>
      </c>
    </row>
    <row r="72" spans="1:4" x14ac:dyDescent="0.35">
      <c r="A72" t="s">
        <v>155</v>
      </c>
      <c r="B72" t="s">
        <v>1</v>
      </c>
      <c r="C72" t="s">
        <v>120</v>
      </c>
      <c r="D72" t="s">
        <v>121</v>
      </c>
    </row>
    <row r="73" spans="1:4" x14ac:dyDescent="0.35">
      <c r="A73" t="s">
        <v>155</v>
      </c>
      <c r="B73" t="s">
        <v>1</v>
      </c>
      <c r="C73" t="s">
        <v>122</v>
      </c>
      <c r="D73" t="s">
        <v>123</v>
      </c>
    </row>
    <row r="74" spans="1:4" x14ac:dyDescent="0.35">
      <c r="A74" t="s">
        <v>155</v>
      </c>
      <c r="B74" t="s">
        <v>1</v>
      </c>
      <c r="C74" t="s">
        <v>124</v>
      </c>
      <c r="D74" t="s">
        <v>125</v>
      </c>
    </row>
    <row r="75" spans="1:4" x14ac:dyDescent="0.35">
      <c r="A75" t="s">
        <v>155</v>
      </c>
      <c r="B75" t="s">
        <v>1</v>
      </c>
      <c r="C75" t="s">
        <v>126</v>
      </c>
      <c r="D75" t="s">
        <v>127</v>
      </c>
    </row>
    <row r="76" spans="1:4" x14ac:dyDescent="0.35">
      <c r="A76" t="s">
        <v>155</v>
      </c>
      <c r="B76" t="s">
        <v>1</v>
      </c>
      <c r="C76" t="s">
        <v>128</v>
      </c>
      <c r="D76" t="s">
        <v>129</v>
      </c>
    </row>
    <row r="77" spans="1:4" x14ac:dyDescent="0.35">
      <c r="A77" t="s">
        <v>155</v>
      </c>
      <c r="B77" t="s">
        <v>1</v>
      </c>
      <c r="C77" t="s">
        <v>130</v>
      </c>
      <c r="D77" t="s">
        <v>131</v>
      </c>
    </row>
    <row r="78" spans="1:4" x14ac:dyDescent="0.35">
      <c r="A78" t="s">
        <v>155</v>
      </c>
      <c r="B78" t="s">
        <v>1</v>
      </c>
      <c r="C78" t="s">
        <v>132</v>
      </c>
      <c r="D78" t="s">
        <v>133</v>
      </c>
    </row>
    <row r="79" spans="1:4" x14ac:dyDescent="0.35">
      <c r="A79" t="s">
        <v>155</v>
      </c>
      <c r="B79" t="s">
        <v>1</v>
      </c>
      <c r="C79" t="s">
        <v>134</v>
      </c>
      <c r="D79" t="s">
        <v>135</v>
      </c>
    </row>
    <row r="80" spans="1:4" x14ac:dyDescent="0.35">
      <c r="A80" t="s">
        <v>155</v>
      </c>
      <c r="B80" t="s">
        <v>1</v>
      </c>
      <c r="C80" t="s">
        <v>136</v>
      </c>
      <c r="D80" t="s">
        <v>137</v>
      </c>
    </row>
    <row r="81" spans="1:4" x14ac:dyDescent="0.35">
      <c r="A81" t="s">
        <v>155</v>
      </c>
      <c r="B81" t="s">
        <v>1</v>
      </c>
      <c r="C81" t="s">
        <v>138</v>
      </c>
      <c r="D81" t="s">
        <v>139</v>
      </c>
    </row>
    <row r="82" spans="1:4" x14ac:dyDescent="0.35">
      <c r="A82" t="s">
        <v>155</v>
      </c>
      <c r="B82" t="s">
        <v>1</v>
      </c>
      <c r="C82" t="s">
        <v>109</v>
      </c>
      <c r="D82" t="s">
        <v>158</v>
      </c>
    </row>
    <row r="83" spans="1:4" x14ac:dyDescent="0.35">
      <c r="A83" t="s">
        <v>155</v>
      </c>
      <c r="B83" t="s">
        <v>1</v>
      </c>
      <c r="C83" t="s">
        <v>159</v>
      </c>
      <c r="D83" t="s">
        <v>160</v>
      </c>
    </row>
    <row r="84" spans="1:4" x14ac:dyDescent="0.35">
      <c r="A84" t="s">
        <v>155</v>
      </c>
      <c r="B84" t="s">
        <v>1</v>
      </c>
      <c r="C84" t="s">
        <v>161</v>
      </c>
      <c r="D84" t="s">
        <v>162</v>
      </c>
    </row>
    <row r="85" spans="1:4" x14ac:dyDescent="0.35">
      <c r="A85" t="s">
        <v>159</v>
      </c>
      <c r="B85" t="s">
        <v>2</v>
      </c>
      <c r="C85" t="s">
        <v>148</v>
      </c>
      <c r="D85" t="s">
        <v>156</v>
      </c>
    </row>
    <row r="86" spans="1:4" x14ac:dyDescent="0.35">
      <c r="A86" t="s">
        <v>159</v>
      </c>
      <c r="B86" t="s">
        <v>2</v>
      </c>
      <c r="C86" t="s">
        <v>110</v>
      </c>
      <c r="D86" t="s">
        <v>157</v>
      </c>
    </row>
    <row r="87" spans="1:4" x14ac:dyDescent="0.35">
      <c r="A87" t="s">
        <v>159</v>
      </c>
      <c r="B87" t="s">
        <v>2</v>
      </c>
      <c r="C87" t="s">
        <v>116</v>
      </c>
      <c r="D87" t="s">
        <v>117</v>
      </c>
    </row>
    <row r="88" spans="1:4" x14ac:dyDescent="0.35">
      <c r="A88" t="s">
        <v>159</v>
      </c>
      <c r="B88" t="s">
        <v>2</v>
      </c>
      <c r="C88" t="s">
        <v>118</v>
      </c>
      <c r="D88" t="s">
        <v>119</v>
      </c>
    </row>
    <row r="89" spans="1:4" x14ac:dyDescent="0.35">
      <c r="A89" t="s">
        <v>159</v>
      </c>
      <c r="B89" t="s">
        <v>2</v>
      </c>
      <c r="C89" t="s">
        <v>120</v>
      </c>
      <c r="D89" t="s">
        <v>121</v>
      </c>
    </row>
    <row r="90" spans="1:4" x14ac:dyDescent="0.35">
      <c r="A90" t="s">
        <v>159</v>
      </c>
      <c r="B90" t="s">
        <v>2</v>
      </c>
      <c r="C90" t="s">
        <v>122</v>
      </c>
      <c r="D90" t="s">
        <v>123</v>
      </c>
    </row>
    <row r="91" spans="1:4" x14ac:dyDescent="0.35">
      <c r="A91" t="s">
        <v>159</v>
      </c>
      <c r="B91" t="s">
        <v>2</v>
      </c>
      <c r="C91" t="s">
        <v>124</v>
      </c>
      <c r="D91" t="s">
        <v>125</v>
      </c>
    </row>
    <row r="92" spans="1:4" x14ac:dyDescent="0.35">
      <c r="A92" t="s">
        <v>159</v>
      </c>
      <c r="B92" t="s">
        <v>2</v>
      </c>
      <c r="C92" t="s">
        <v>126</v>
      </c>
      <c r="D92" t="s">
        <v>127</v>
      </c>
    </row>
    <row r="93" spans="1:4" x14ac:dyDescent="0.35">
      <c r="A93" t="s">
        <v>159</v>
      </c>
      <c r="B93" t="s">
        <v>2</v>
      </c>
      <c r="C93" t="s">
        <v>128</v>
      </c>
      <c r="D93" t="s">
        <v>129</v>
      </c>
    </row>
    <row r="94" spans="1:4" x14ac:dyDescent="0.35">
      <c r="A94" t="s">
        <v>159</v>
      </c>
      <c r="B94" t="s">
        <v>2</v>
      </c>
      <c r="C94" t="s">
        <v>130</v>
      </c>
      <c r="D94" t="s">
        <v>131</v>
      </c>
    </row>
    <row r="95" spans="1:4" x14ac:dyDescent="0.35">
      <c r="A95" t="s">
        <v>159</v>
      </c>
      <c r="B95" t="s">
        <v>2</v>
      </c>
      <c r="C95" t="s">
        <v>132</v>
      </c>
      <c r="D95" t="s">
        <v>133</v>
      </c>
    </row>
    <row r="96" spans="1:4" x14ac:dyDescent="0.35">
      <c r="A96" t="s">
        <v>159</v>
      </c>
      <c r="B96" t="s">
        <v>2</v>
      </c>
      <c r="C96" t="s">
        <v>134</v>
      </c>
      <c r="D96" t="s">
        <v>135</v>
      </c>
    </row>
    <row r="97" spans="1:4" x14ac:dyDescent="0.35">
      <c r="A97" t="s">
        <v>159</v>
      </c>
      <c r="B97" t="s">
        <v>2</v>
      </c>
      <c r="C97" t="s">
        <v>136</v>
      </c>
      <c r="D97" t="s">
        <v>137</v>
      </c>
    </row>
    <row r="98" spans="1:4" x14ac:dyDescent="0.35">
      <c r="A98" t="s">
        <v>159</v>
      </c>
      <c r="B98" t="s">
        <v>2</v>
      </c>
      <c r="C98" t="s">
        <v>138</v>
      </c>
      <c r="D98" t="s">
        <v>139</v>
      </c>
    </row>
    <row r="99" spans="1:4" x14ac:dyDescent="0.35">
      <c r="A99" t="s">
        <v>159</v>
      </c>
      <c r="B99" t="s">
        <v>2</v>
      </c>
      <c r="C99" t="s">
        <v>109</v>
      </c>
      <c r="D99" t="s">
        <v>158</v>
      </c>
    </row>
    <row r="100" spans="1:4" x14ac:dyDescent="0.35">
      <c r="A100" t="s">
        <v>159</v>
      </c>
      <c r="B100" t="s">
        <v>2</v>
      </c>
      <c r="C100" t="s">
        <v>159</v>
      </c>
      <c r="D100" t="s">
        <v>160</v>
      </c>
    </row>
    <row r="101" spans="1:4" x14ac:dyDescent="0.35">
      <c r="A101" t="s">
        <v>159</v>
      </c>
      <c r="B101" t="s">
        <v>2</v>
      </c>
      <c r="C101" t="s">
        <v>161</v>
      </c>
      <c r="D101" t="s">
        <v>162</v>
      </c>
    </row>
    <row r="102" spans="1:4" x14ac:dyDescent="0.35">
      <c r="A102" t="s">
        <v>161</v>
      </c>
      <c r="B102" t="s">
        <v>3</v>
      </c>
      <c r="C102" t="s">
        <v>148</v>
      </c>
      <c r="D102" t="s">
        <v>156</v>
      </c>
    </row>
    <row r="103" spans="1:4" x14ac:dyDescent="0.35">
      <c r="A103" t="s">
        <v>161</v>
      </c>
      <c r="B103" t="s">
        <v>3</v>
      </c>
      <c r="C103" t="s">
        <v>110</v>
      </c>
      <c r="D103" t="s">
        <v>157</v>
      </c>
    </row>
    <row r="104" spans="1:4" x14ac:dyDescent="0.35">
      <c r="A104" t="s">
        <v>161</v>
      </c>
      <c r="B104" t="s">
        <v>3</v>
      </c>
      <c r="C104" t="s">
        <v>116</v>
      </c>
      <c r="D104" t="s">
        <v>117</v>
      </c>
    </row>
    <row r="105" spans="1:4" x14ac:dyDescent="0.35">
      <c r="A105" t="s">
        <v>161</v>
      </c>
      <c r="B105" t="s">
        <v>3</v>
      </c>
      <c r="C105" t="s">
        <v>118</v>
      </c>
      <c r="D105" t="s">
        <v>119</v>
      </c>
    </row>
    <row r="106" spans="1:4" x14ac:dyDescent="0.35">
      <c r="A106" t="s">
        <v>161</v>
      </c>
      <c r="B106" t="s">
        <v>3</v>
      </c>
      <c r="C106" t="s">
        <v>120</v>
      </c>
      <c r="D106" t="s">
        <v>121</v>
      </c>
    </row>
    <row r="107" spans="1:4" x14ac:dyDescent="0.35">
      <c r="A107" t="s">
        <v>161</v>
      </c>
      <c r="B107" t="s">
        <v>3</v>
      </c>
      <c r="C107" t="s">
        <v>122</v>
      </c>
      <c r="D107" t="s">
        <v>123</v>
      </c>
    </row>
    <row r="108" spans="1:4" x14ac:dyDescent="0.35">
      <c r="A108" t="s">
        <v>161</v>
      </c>
      <c r="B108" t="s">
        <v>3</v>
      </c>
      <c r="C108" t="s">
        <v>124</v>
      </c>
      <c r="D108" t="s">
        <v>125</v>
      </c>
    </row>
    <row r="109" spans="1:4" x14ac:dyDescent="0.35">
      <c r="A109" t="s">
        <v>161</v>
      </c>
      <c r="B109" t="s">
        <v>3</v>
      </c>
      <c r="C109" t="s">
        <v>126</v>
      </c>
      <c r="D109" t="s">
        <v>127</v>
      </c>
    </row>
    <row r="110" spans="1:4" x14ac:dyDescent="0.35">
      <c r="A110" t="s">
        <v>161</v>
      </c>
      <c r="B110" t="s">
        <v>3</v>
      </c>
      <c r="C110" t="s">
        <v>128</v>
      </c>
      <c r="D110" t="s">
        <v>129</v>
      </c>
    </row>
    <row r="111" spans="1:4" x14ac:dyDescent="0.35">
      <c r="A111" t="s">
        <v>161</v>
      </c>
      <c r="B111" t="s">
        <v>3</v>
      </c>
      <c r="C111" t="s">
        <v>130</v>
      </c>
      <c r="D111" t="s">
        <v>131</v>
      </c>
    </row>
    <row r="112" spans="1:4" x14ac:dyDescent="0.35">
      <c r="A112" t="s">
        <v>161</v>
      </c>
      <c r="B112" t="s">
        <v>3</v>
      </c>
      <c r="C112" t="s">
        <v>132</v>
      </c>
      <c r="D112" t="s">
        <v>133</v>
      </c>
    </row>
    <row r="113" spans="1:4" x14ac:dyDescent="0.35">
      <c r="A113" t="s">
        <v>161</v>
      </c>
      <c r="B113" t="s">
        <v>3</v>
      </c>
      <c r="C113" t="s">
        <v>134</v>
      </c>
      <c r="D113" t="s">
        <v>135</v>
      </c>
    </row>
    <row r="114" spans="1:4" x14ac:dyDescent="0.35">
      <c r="A114" t="s">
        <v>161</v>
      </c>
      <c r="B114" t="s">
        <v>3</v>
      </c>
      <c r="C114" t="s">
        <v>136</v>
      </c>
      <c r="D114" t="s">
        <v>137</v>
      </c>
    </row>
    <row r="115" spans="1:4" x14ac:dyDescent="0.35">
      <c r="A115" t="s">
        <v>161</v>
      </c>
      <c r="B115" t="s">
        <v>3</v>
      </c>
      <c r="C115" t="s">
        <v>138</v>
      </c>
      <c r="D115" t="s">
        <v>139</v>
      </c>
    </row>
    <row r="116" spans="1:4" x14ac:dyDescent="0.35">
      <c r="A116" t="s">
        <v>161</v>
      </c>
      <c r="B116" t="s">
        <v>3</v>
      </c>
      <c r="C116" t="s">
        <v>109</v>
      </c>
      <c r="D116" t="s">
        <v>158</v>
      </c>
    </row>
    <row r="117" spans="1:4" x14ac:dyDescent="0.35">
      <c r="A117" t="s">
        <v>161</v>
      </c>
      <c r="B117" t="s">
        <v>3</v>
      </c>
      <c r="C117" t="s">
        <v>159</v>
      </c>
      <c r="D117" t="s">
        <v>160</v>
      </c>
    </row>
    <row r="118" spans="1:4" x14ac:dyDescent="0.35">
      <c r="A118" t="s">
        <v>161</v>
      </c>
      <c r="B118" t="s">
        <v>3</v>
      </c>
      <c r="C118" t="s">
        <v>161</v>
      </c>
      <c r="D118" t="s">
        <v>162</v>
      </c>
    </row>
    <row r="119" spans="1:4" x14ac:dyDescent="0.35">
      <c r="A119" t="s">
        <v>163</v>
      </c>
      <c r="B119" t="s">
        <v>4</v>
      </c>
      <c r="C119" t="s">
        <v>148</v>
      </c>
      <c r="D119" t="s">
        <v>156</v>
      </c>
    </row>
    <row r="120" spans="1:4" x14ac:dyDescent="0.35">
      <c r="A120" t="s">
        <v>163</v>
      </c>
      <c r="B120" t="s">
        <v>4</v>
      </c>
      <c r="C120" t="s">
        <v>110</v>
      </c>
      <c r="D120" t="s">
        <v>157</v>
      </c>
    </row>
    <row r="121" spans="1:4" x14ac:dyDescent="0.35">
      <c r="A121" t="s">
        <v>163</v>
      </c>
      <c r="B121" t="s">
        <v>4</v>
      </c>
      <c r="C121" t="s">
        <v>116</v>
      </c>
      <c r="D121" t="s">
        <v>117</v>
      </c>
    </row>
    <row r="122" spans="1:4" x14ac:dyDescent="0.35">
      <c r="A122" t="s">
        <v>163</v>
      </c>
      <c r="B122" t="s">
        <v>4</v>
      </c>
      <c r="C122" t="s">
        <v>118</v>
      </c>
      <c r="D122" t="s">
        <v>119</v>
      </c>
    </row>
    <row r="123" spans="1:4" x14ac:dyDescent="0.35">
      <c r="A123" t="s">
        <v>163</v>
      </c>
      <c r="B123" t="s">
        <v>4</v>
      </c>
      <c r="C123" t="s">
        <v>120</v>
      </c>
      <c r="D123" t="s">
        <v>121</v>
      </c>
    </row>
    <row r="124" spans="1:4" x14ac:dyDescent="0.35">
      <c r="A124" t="s">
        <v>163</v>
      </c>
      <c r="B124" t="s">
        <v>4</v>
      </c>
      <c r="C124" t="s">
        <v>122</v>
      </c>
      <c r="D124" t="s">
        <v>123</v>
      </c>
    </row>
    <row r="125" spans="1:4" x14ac:dyDescent="0.35">
      <c r="A125" t="s">
        <v>163</v>
      </c>
      <c r="B125" t="s">
        <v>4</v>
      </c>
      <c r="C125" t="s">
        <v>124</v>
      </c>
      <c r="D125" t="s">
        <v>125</v>
      </c>
    </row>
    <row r="126" spans="1:4" x14ac:dyDescent="0.35">
      <c r="A126" t="s">
        <v>163</v>
      </c>
      <c r="B126" t="s">
        <v>4</v>
      </c>
      <c r="C126" t="s">
        <v>126</v>
      </c>
      <c r="D126" t="s">
        <v>127</v>
      </c>
    </row>
    <row r="127" spans="1:4" x14ac:dyDescent="0.35">
      <c r="A127" t="s">
        <v>163</v>
      </c>
      <c r="B127" t="s">
        <v>4</v>
      </c>
      <c r="C127" t="s">
        <v>128</v>
      </c>
      <c r="D127" t="s">
        <v>129</v>
      </c>
    </row>
    <row r="128" spans="1:4" x14ac:dyDescent="0.35">
      <c r="A128" t="s">
        <v>163</v>
      </c>
      <c r="B128" t="s">
        <v>4</v>
      </c>
      <c r="C128" t="s">
        <v>130</v>
      </c>
      <c r="D128" t="s">
        <v>131</v>
      </c>
    </row>
    <row r="129" spans="1:4" x14ac:dyDescent="0.35">
      <c r="A129" t="s">
        <v>163</v>
      </c>
      <c r="B129" t="s">
        <v>4</v>
      </c>
      <c r="C129" t="s">
        <v>132</v>
      </c>
      <c r="D129" t="s">
        <v>133</v>
      </c>
    </row>
    <row r="130" spans="1:4" x14ac:dyDescent="0.35">
      <c r="A130" t="s">
        <v>163</v>
      </c>
      <c r="B130" t="s">
        <v>4</v>
      </c>
      <c r="C130" t="s">
        <v>134</v>
      </c>
      <c r="D130" t="s">
        <v>135</v>
      </c>
    </row>
    <row r="131" spans="1:4" x14ac:dyDescent="0.35">
      <c r="A131" t="s">
        <v>163</v>
      </c>
      <c r="B131" t="s">
        <v>4</v>
      </c>
      <c r="C131" t="s">
        <v>136</v>
      </c>
      <c r="D131" t="s">
        <v>137</v>
      </c>
    </row>
    <row r="132" spans="1:4" x14ac:dyDescent="0.35">
      <c r="A132" t="s">
        <v>163</v>
      </c>
      <c r="B132" t="s">
        <v>4</v>
      </c>
      <c r="C132" t="s">
        <v>138</v>
      </c>
      <c r="D132" t="s">
        <v>139</v>
      </c>
    </row>
    <row r="133" spans="1:4" x14ac:dyDescent="0.35">
      <c r="A133" t="s">
        <v>163</v>
      </c>
      <c r="B133" t="s">
        <v>4</v>
      </c>
      <c r="C133" t="s">
        <v>109</v>
      </c>
      <c r="D133" t="s">
        <v>158</v>
      </c>
    </row>
    <row r="134" spans="1:4" x14ac:dyDescent="0.35">
      <c r="A134" t="s">
        <v>163</v>
      </c>
      <c r="B134" t="s">
        <v>4</v>
      </c>
      <c r="C134" t="s">
        <v>159</v>
      </c>
      <c r="D134" t="s">
        <v>160</v>
      </c>
    </row>
    <row r="135" spans="1:4" x14ac:dyDescent="0.35">
      <c r="A135" t="s">
        <v>163</v>
      </c>
      <c r="B135" t="s">
        <v>4</v>
      </c>
      <c r="C135" t="s">
        <v>161</v>
      </c>
      <c r="D135" t="s">
        <v>162</v>
      </c>
    </row>
    <row r="136" spans="1:4" x14ac:dyDescent="0.35">
      <c r="A136" t="s">
        <v>164</v>
      </c>
      <c r="B136" t="s">
        <v>5</v>
      </c>
      <c r="C136" t="s">
        <v>148</v>
      </c>
      <c r="D136" t="s">
        <v>156</v>
      </c>
    </row>
    <row r="137" spans="1:4" x14ac:dyDescent="0.35">
      <c r="A137" t="s">
        <v>164</v>
      </c>
      <c r="B137" t="s">
        <v>5</v>
      </c>
      <c r="C137" t="s">
        <v>110</v>
      </c>
      <c r="D137" t="s">
        <v>157</v>
      </c>
    </row>
    <row r="138" spans="1:4" x14ac:dyDescent="0.35">
      <c r="A138" t="s">
        <v>164</v>
      </c>
      <c r="B138" t="s">
        <v>5</v>
      </c>
      <c r="C138" t="s">
        <v>116</v>
      </c>
      <c r="D138" t="s">
        <v>117</v>
      </c>
    </row>
    <row r="139" spans="1:4" x14ac:dyDescent="0.35">
      <c r="A139" t="s">
        <v>164</v>
      </c>
      <c r="B139" t="s">
        <v>5</v>
      </c>
      <c r="C139" t="s">
        <v>118</v>
      </c>
      <c r="D139" t="s">
        <v>119</v>
      </c>
    </row>
    <row r="140" spans="1:4" x14ac:dyDescent="0.35">
      <c r="A140" t="s">
        <v>164</v>
      </c>
      <c r="B140" t="s">
        <v>5</v>
      </c>
      <c r="C140" t="s">
        <v>120</v>
      </c>
      <c r="D140" t="s">
        <v>121</v>
      </c>
    </row>
    <row r="141" spans="1:4" x14ac:dyDescent="0.35">
      <c r="A141" t="s">
        <v>164</v>
      </c>
      <c r="B141" t="s">
        <v>5</v>
      </c>
      <c r="C141" t="s">
        <v>122</v>
      </c>
      <c r="D141" t="s">
        <v>123</v>
      </c>
    </row>
    <row r="142" spans="1:4" x14ac:dyDescent="0.35">
      <c r="A142" t="s">
        <v>164</v>
      </c>
      <c r="B142" t="s">
        <v>5</v>
      </c>
      <c r="C142" t="s">
        <v>124</v>
      </c>
      <c r="D142" t="s">
        <v>125</v>
      </c>
    </row>
    <row r="143" spans="1:4" x14ac:dyDescent="0.35">
      <c r="A143" t="s">
        <v>164</v>
      </c>
      <c r="B143" t="s">
        <v>5</v>
      </c>
      <c r="C143" t="s">
        <v>126</v>
      </c>
      <c r="D143" t="s">
        <v>127</v>
      </c>
    </row>
    <row r="144" spans="1:4" x14ac:dyDescent="0.35">
      <c r="A144" t="s">
        <v>164</v>
      </c>
      <c r="B144" t="s">
        <v>5</v>
      </c>
      <c r="C144" t="s">
        <v>128</v>
      </c>
      <c r="D144" t="s">
        <v>129</v>
      </c>
    </row>
    <row r="145" spans="1:4" x14ac:dyDescent="0.35">
      <c r="A145" t="s">
        <v>164</v>
      </c>
      <c r="B145" t="s">
        <v>5</v>
      </c>
      <c r="C145" t="s">
        <v>130</v>
      </c>
      <c r="D145" t="s">
        <v>131</v>
      </c>
    </row>
    <row r="146" spans="1:4" x14ac:dyDescent="0.35">
      <c r="A146" t="s">
        <v>164</v>
      </c>
      <c r="B146" t="s">
        <v>5</v>
      </c>
      <c r="C146" t="s">
        <v>132</v>
      </c>
      <c r="D146" t="s">
        <v>133</v>
      </c>
    </row>
    <row r="147" spans="1:4" x14ac:dyDescent="0.35">
      <c r="A147" t="s">
        <v>164</v>
      </c>
      <c r="B147" t="s">
        <v>5</v>
      </c>
      <c r="C147" t="s">
        <v>134</v>
      </c>
      <c r="D147" t="s">
        <v>135</v>
      </c>
    </row>
    <row r="148" spans="1:4" x14ac:dyDescent="0.35">
      <c r="A148" t="s">
        <v>164</v>
      </c>
      <c r="B148" t="s">
        <v>5</v>
      </c>
      <c r="C148" t="s">
        <v>136</v>
      </c>
      <c r="D148" t="s">
        <v>137</v>
      </c>
    </row>
    <row r="149" spans="1:4" x14ac:dyDescent="0.35">
      <c r="A149" t="s">
        <v>164</v>
      </c>
      <c r="B149" t="s">
        <v>5</v>
      </c>
      <c r="C149" t="s">
        <v>138</v>
      </c>
      <c r="D149" t="s">
        <v>139</v>
      </c>
    </row>
    <row r="150" spans="1:4" x14ac:dyDescent="0.35">
      <c r="A150" t="s">
        <v>164</v>
      </c>
      <c r="B150" t="s">
        <v>5</v>
      </c>
      <c r="C150" t="s">
        <v>109</v>
      </c>
      <c r="D150" t="s">
        <v>158</v>
      </c>
    </row>
    <row r="151" spans="1:4" x14ac:dyDescent="0.35">
      <c r="A151" t="s">
        <v>164</v>
      </c>
      <c r="B151" t="s">
        <v>5</v>
      </c>
      <c r="C151" t="s">
        <v>159</v>
      </c>
      <c r="D151" t="s">
        <v>160</v>
      </c>
    </row>
    <row r="152" spans="1:4" x14ac:dyDescent="0.35">
      <c r="A152" t="s">
        <v>164</v>
      </c>
      <c r="B152" t="s">
        <v>5</v>
      </c>
      <c r="C152" t="s">
        <v>161</v>
      </c>
      <c r="D152" t="s">
        <v>162</v>
      </c>
    </row>
    <row r="153" spans="1:4" x14ac:dyDescent="0.35">
      <c r="A153" t="s">
        <v>165</v>
      </c>
      <c r="B153" t="s">
        <v>6</v>
      </c>
      <c r="C153" t="s">
        <v>148</v>
      </c>
      <c r="D153" t="s">
        <v>156</v>
      </c>
    </row>
    <row r="154" spans="1:4" x14ac:dyDescent="0.35">
      <c r="A154" t="s">
        <v>165</v>
      </c>
      <c r="B154" t="s">
        <v>6</v>
      </c>
      <c r="C154" t="s">
        <v>110</v>
      </c>
      <c r="D154" t="s">
        <v>157</v>
      </c>
    </row>
    <row r="155" spans="1:4" x14ac:dyDescent="0.35">
      <c r="A155" t="s">
        <v>165</v>
      </c>
      <c r="B155" t="s">
        <v>6</v>
      </c>
      <c r="C155" t="s">
        <v>116</v>
      </c>
      <c r="D155" t="s">
        <v>117</v>
      </c>
    </row>
    <row r="156" spans="1:4" x14ac:dyDescent="0.35">
      <c r="A156" t="s">
        <v>165</v>
      </c>
      <c r="B156" t="s">
        <v>6</v>
      </c>
      <c r="C156" t="s">
        <v>118</v>
      </c>
      <c r="D156" t="s">
        <v>119</v>
      </c>
    </row>
    <row r="157" spans="1:4" x14ac:dyDescent="0.35">
      <c r="A157" t="s">
        <v>165</v>
      </c>
      <c r="B157" t="s">
        <v>6</v>
      </c>
      <c r="C157" t="s">
        <v>120</v>
      </c>
      <c r="D157" t="s">
        <v>121</v>
      </c>
    </row>
    <row r="158" spans="1:4" x14ac:dyDescent="0.35">
      <c r="A158" t="s">
        <v>165</v>
      </c>
      <c r="B158" t="s">
        <v>6</v>
      </c>
      <c r="C158" t="s">
        <v>122</v>
      </c>
      <c r="D158" t="s">
        <v>123</v>
      </c>
    </row>
    <row r="159" spans="1:4" x14ac:dyDescent="0.35">
      <c r="A159" t="s">
        <v>165</v>
      </c>
      <c r="B159" t="s">
        <v>6</v>
      </c>
      <c r="C159" t="s">
        <v>124</v>
      </c>
      <c r="D159" t="s">
        <v>125</v>
      </c>
    </row>
    <row r="160" spans="1:4" x14ac:dyDescent="0.35">
      <c r="A160" t="s">
        <v>165</v>
      </c>
      <c r="B160" t="s">
        <v>6</v>
      </c>
      <c r="C160" t="s">
        <v>126</v>
      </c>
      <c r="D160" t="s">
        <v>127</v>
      </c>
    </row>
    <row r="161" spans="1:4" x14ac:dyDescent="0.35">
      <c r="A161" t="s">
        <v>165</v>
      </c>
      <c r="B161" t="s">
        <v>6</v>
      </c>
      <c r="C161" t="s">
        <v>128</v>
      </c>
      <c r="D161" t="s">
        <v>129</v>
      </c>
    </row>
    <row r="162" spans="1:4" x14ac:dyDescent="0.35">
      <c r="A162" t="s">
        <v>165</v>
      </c>
      <c r="B162" t="s">
        <v>6</v>
      </c>
      <c r="C162" t="s">
        <v>130</v>
      </c>
      <c r="D162" t="s">
        <v>131</v>
      </c>
    </row>
    <row r="163" spans="1:4" x14ac:dyDescent="0.35">
      <c r="A163" t="s">
        <v>165</v>
      </c>
      <c r="B163" t="s">
        <v>6</v>
      </c>
      <c r="C163" t="s">
        <v>132</v>
      </c>
      <c r="D163" t="s">
        <v>133</v>
      </c>
    </row>
    <row r="164" spans="1:4" x14ac:dyDescent="0.35">
      <c r="A164" t="s">
        <v>165</v>
      </c>
      <c r="B164" t="s">
        <v>6</v>
      </c>
      <c r="C164" t="s">
        <v>134</v>
      </c>
      <c r="D164" t="s">
        <v>135</v>
      </c>
    </row>
    <row r="165" spans="1:4" x14ac:dyDescent="0.35">
      <c r="A165" t="s">
        <v>165</v>
      </c>
      <c r="B165" t="s">
        <v>6</v>
      </c>
      <c r="C165" t="s">
        <v>136</v>
      </c>
      <c r="D165" t="s">
        <v>137</v>
      </c>
    </row>
    <row r="166" spans="1:4" x14ac:dyDescent="0.35">
      <c r="A166" t="s">
        <v>165</v>
      </c>
      <c r="B166" t="s">
        <v>6</v>
      </c>
      <c r="C166" t="s">
        <v>138</v>
      </c>
      <c r="D166" t="s">
        <v>139</v>
      </c>
    </row>
    <row r="167" spans="1:4" x14ac:dyDescent="0.35">
      <c r="A167" t="s">
        <v>165</v>
      </c>
      <c r="B167" t="s">
        <v>6</v>
      </c>
      <c r="C167" t="s">
        <v>109</v>
      </c>
      <c r="D167" t="s">
        <v>158</v>
      </c>
    </row>
    <row r="168" spans="1:4" x14ac:dyDescent="0.35">
      <c r="A168" t="s">
        <v>165</v>
      </c>
      <c r="B168" t="s">
        <v>6</v>
      </c>
      <c r="C168" t="s">
        <v>159</v>
      </c>
      <c r="D168" t="s">
        <v>160</v>
      </c>
    </row>
    <row r="169" spans="1:4" x14ac:dyDescent="0.35">
      <c r="A169" t="s">
        <v>165</v>
      </c>
      <c r="B169" t="s">
        <v>6</v>
      </c>
      <c r="C169" t="s">
        <v>161</v>
      </c>
      <c r="D169" t="s">
        <v>162</v>
      </c>
    </row>
    <row r="170" spans="1:4" x14ac:dyDescent="0.35">
      <c r="A170" t="s">
        <v>166</v>
      </c>
      <c r="B170" t="s">
        <v>7</v>
      </c>
      <c r="C170" t="s">
        <v>148</v>
      </c>
      <c r="D170" t="s">
        <v>156</v>
      </c>
    </row>
    <row r="171" spans="1:4" x14ac:dyDescent="0.35">
      <c r="A171" t="s">
        <v>166</v>
      </c>
      <c r="B171" t="s">
        <v>7</v>
      </c>
      <c r="C171" t="s">
        <v>110</v>
      </c>
      <c r="D171" t="s">
        <v>157</v>
      </c>
    </row>
    <row r="172" spans="1:4" x14ac:dyDescent="0.35">
      <c r="A172" t="s">
        <v>166</v>
      </c>
      <c r="B172" t="s">
        <v>7</v>
      </c>
      <c r="C172" t="s">
        <v>116</v>
      </c>
      <c r="D172" t="s">
        <v>117</v>
      </c>
    </row>
    <row r="173" spans="1:4" x14ac:dyDescent="0.35">
      <c r="A173" t="s">
        <v>166</v>
      </c>
      <c r="B173" t="s">
        <v>7</v>
      </c>
      <c r="C173" t="s">
        <v>118</v>
      </c>
      <c r="D173" t="s">
        <v>119</v>
      </c>
    </row>
    <row r="174" spans="1:4" x14ac:dyDescent="0.35">
      <c r="A174" t="s">
        <v>166</v>
      </c>
      <c r="B174" t="s">
        <v>7</v>
      </c>
      <c r="C174" t="s">
        <v>120</v>
      </c>
      <c r="D174" t="s">
        <v>121</v>
      </c>
    </row>
    <row r="175" spans="1:4" x14ac:dyDescent="0.35">
      <c r="A175" t="s">
        <v>166</v>
      </c>
      <c r="B175" t="s">
        <v>7</v>
      </c>
      <c r="C175" t="s">
        <v>122</v>
      </c>
      <c r="D175" t="s">
        <v>123</v>
      </c>
    </row>
    <row r="176" spans="1:4" x14ac:dyDescent="0.35">
      <c r="A176" t="s">
        <v>166</v>
      </c>
      <c r="B176" t="s">
        <v>7</v>
      </c>
      <c r="C176" t="s">
        <v>124</v>
      </c>
      <c r="D176" t="s">
        <v>125</v>
      </c>
    </row>
    <row r="177" spans="1:4" x14ac:dyDescent="0.35">
      <c r="A177" t="s">
        <v>166</v>
      </c>
      <c r="B177" t="s">
        <v>7</v>
      </c>
      <c r="C177" t="s">
        <v>126</v>
      </c>
      <c r="D177" t="s">
        <v>127</v>
      </c>
    </row>
    <row r="178" spans="1:4" x14ac:dyDescent="0.35">
      <c r="A178" t="s">
        <v>166</v>
      </c>
      <c r="B178" t="s">
        <v>7</v>
      </c>
      <c r="C178" t="s">
        <v>128</v>
      </c>
      <c r="D178" t="s">
        <v>129</v>
      </c>
    </row>
    <row r="179" spans="1:4" x14ac:dyDescent="0.35">
      <c r="A179" t="s">
        <v>166</v>
      </c>
      <c r="B179" t="s">
        <v>7</v>
      </c>
      <c r="C179" t="s">
        <v>130</v>
      </c>
      <c r="D179" t="s">
        <v>131</v>
      </c>
    </row>
    <row r="180" spans="1:4" x14ac:dyDescent="0.35">
      <c r="A180" t="s">
        <v>166</v>
      </c>
      <c r="B180" t="s">
        <v>7</v>
      </c>
      <c r="C180" t="s">
        <v>132</v>
      </c>
      <c r="D180" t="s">
        <v>133</v>
      </c>
    </row>
    <row r="181" spans="1:4" x14ac:dyDescent="0.35">
      <c r="A181" t="s">
        <v>166</v>
      </c>
      <c r="B181" t="s">
        <v>7</v>
      </c>
      <c r="C181" t="s">
        <v>134</v>
      </c>
      <c r="D181" t="s">
        <v>135</v>
      </c>
    </row>
    <row r="182" spans="1:4" x14ac:dyDescent="0.35">
      <c r="A182" t="s">
        <v>166</v>
      </c>
      <c r="B182" t="s">
        <v>7</v>
      </c>
      <c r="C182" t="s">
        <v>136</v>
      </c>
      <c r="D182" t="s">
        <v>137</v>
      </c>
    </row>
    <row r="183" spans="1:4" x14ac:dyDescent="0.35">
      <c r="A183" t="s">
        <v>166</v>
      </c>
      <c r="B183" t="s">
        <v>7</v>
      </c>
      <c r="C183" t="s">
        <v>138</v>
      </c>
      <c r="D183" t="s">
        <v>139</v>
      </c>
    </row>
    <row r="184" spans="1:4" x14ac:dyDescent="0.35">
      <c r="A184" t="s">
        <v>166</v>
      </c>
      <c r="B184" t="s">
        <v>7</v>
      </c>
      <c r="C184" t="s">
        <v>109</v>
      </c>
      <c r="D184" t="s">
        <v>158</v>
      </c>
    </row>
    <row r="185" spans="1:4" x14ac:dyDescent="0.35">
      <c r="A185" t="s">
        <v>166</v>
      </c>
      <c r="B185" t="s">
        <v>7</v>
      </c>
      <c r="C185" t="s">
        <v>159</v>
      </c>
      <c r="D185" t="s">
        <v>160</v>
      </c>
    </row>
    <row r="186" spans="1:4" x14ac:dyDescent="0.35">
      <c r="A186" t="s">
        <v>166</v>
      </c>
      <c r="B186" t="s">
        <v>7</v>
      </c>
      <c r="C186" t="s">
        <v>161</v>
      </c>
      <c r="D186" t="s">
        <v>162</v>
      </c>
    </row>
    <row r="188" spans="1:4" x14ac:dyDescent="0.35">
      <c r="A188" t="s">
        <v>167</v>
      </c>
      <c r="B188" t="s">
        <v>13</v>
      </c>
      <c r="C188" t="s">
        <v>154</v>
      </c>
      <c r="D188" t="s">
        <v>168</v>
      </c>
    </row>
    <row r="189" spans="1:4" x14ac:dyDescent="0.35">
      <c r="A189" t="s">
        <v>167</v>
      </c>
      <c r="B189" t="s">
        <v>13</v>
      </c>
      <c r="C189" t="s">
        <v>148</v>
      </c>
      <c r="D189" t="s">
        <v>169</v>
      </c>
    </row>
    <row r="190" spans="1:4" x14ac:dyDescent="0.35">
      <c r="A190" t="s">
        <v>167</v>
      </c>
      <c r="B190" t="s">
        <v>13</v>
      </c>
      <c r="C190" t="s">
        <v>146</v>
      </c>
      <c r="D190" t="s">
        <v>170</v>
      </c>
    </row>
    <row r="191" spans="1:4" x14ac:dyDescent="0.35">
      <c r="A191" t="s">
        <v>167</v>
      </c>
      <c r="B191" t="s">
        <v>13</v>
      </c>
      <c r="C191" t="s">
        <v>114</v>
      </c>
      <c r="D191" t="s">
        <v>171</v>
      </c>
    </row>
    <row r="192" spans="1:4" x14ac:dyDescent="0.35">
      <c r="A192" t="s">
        <v>167</v>
      </c>
      <c r="B192" t="s">
        <v>13</v>
      </c>
      <c r="C192" t="s">
        <v>112</v>
      </c>
      <c r="D192" t="s">
        <v>172</v>
      </c>
    </row>
    <row r="193" spans="1:4" x14ac:dyDescent="0.35">
      <c r="A193" t="s">
        <v>167</v>
      </c>
      <c r="B193" t="s">
        <v>13</v>
      </c>
      <c r="C193" t="s">
        <v>110</v>
      </c>
      <c r="D193" t="s">
        <v>173</v>
      </c>
    </row>
    <row r="195" spans="1:4" x14ac:dyDescent="0.35">
      <c r="A195" t="s">
        <v>174</v>
      </c>
      <c r="B195" t="s">
        <v>14</v>
      </c>
      <c r="C195" t="s">
        <v>154</v>
      </c>
      <c r="D195" t="s">
        <v>168</v>
      </c>
    </row>
    <row r="196" spans="1:4" x14ac:dyDescent="0.35">
      <c r="A196" t="s">
        <v>174</v>
      </c>
      <c r="B196" t="s">
        <v>14</v>
      </c>
      <c r="C196" t="s">
        <v>148</v>
      </c>
      <c r="D196" t="s">
        <v>169</v>
      </c>
    </row>
    <row r="197" spans="1:4" x14ac:dyDescent="0.35">
      <c r="A197" t="s">
        <v>174</v>
      </c>
      <c r="B197" t="s">
        <v>14</v>
      </c>
      <c r="C197" t="s">
        <v>146</v>
      </c>
      <c r="D197" t="s">
        <v>170</v>
      </c>
    </row>
    <row r="198" spans="1:4" x14ac:dyDescent="0.35">
      <c r="A198" t="s">
        <v>174</v>
      </c>
      <c r="B198" t="s">
        <v>14</v>
      </c>
      <c r="C198" t="s">
        <v>114</v>
      </c>
      <c r="D198" t="s">
        <v>171</v>
      </c>
    </row>
    <row r="199" spans="1:4" x14ac:dyDescent="0.35">
      <c r="A199" t="s">
        <v>174</v>
      </c>
      <c r="B199" t="s">
        <v>14</v>
      </c>
      <c r="C199" t="s">
        <v>112</v>
      </c>
      <c r="D199" t="s">
        <v>172</v>
      </c>
    </row>
    <row r="200" spans="1:4" x14ac:dyDescent="0.35">
      <c r="A200" t="s">
        <v>174</v>
      </c>
      <c r="B200" t="s">
        <v>14</v>
      </c>
      <c r="C200" t="s">
        <v>110</v>
      </c>
      <c r="D200" t="s">
        <v>173</v>
      </c>
    </row>
    <row r="202" spans="1:4" x14ac:dyDescent="0.35">
      <c r="A202" t="s">
        <v>175</v>
      </c>
      <c r="B202" t="s">
        <v>15</v>
      </c>
      <c r="C202" t="s">
        <v>148</v>
      </c>
      <c r="D202" t="s">
        <v>176</v>
      </c>
    </row>
    <row r="203" spans="1:4" x14ac:dyDescent="0.35">
      <c r="A203" t="s">
        <v>175</v>
      </c>
      <c r="B203" t="s">
        <v>15</v>
      </c>
      <c r="C203" t="s">
        <v>146</v>
      </c>
      <c r="D203" t="s">
        <v>177</v>
      </c>
    </row>
    <row r="204" spans="1:4" x14ac:dyDescent="0.35">
      <c r="A204" t="s">
        <v>175</v>
      </c>
      <c r="B204" t="s">
        <v>15</v>
      </c>
      <c r="C204" t="s">
        <v>114</v>
      </c>
      <c r="D204" t="s">
        <v>178</v>
      </c>
    </row>
    <row r="205" spans="1:4" x14ac:dyDescent="0.35">
      <c r="A205" t="s">
        <v>175</v>
      </c>
      <c r="B205" t="s">
        <v>15</v>
      </c>
      <c r="C205" t="s">
        <v>112</v>
      </c>
      <c r="D205" t="s">
        <v>179</v>
      </c>
    </row>
    <row r="206" spans="1:4" x14ac:dyDescent="0.35">
      <c r="A206" t="s">
        <v>175</v>
      </c>
      <c r="B206" t="s">
        <v>15</v>
      </c>
      <c r="C206" t="s">
        <v>110</v>
      </c>
      <c r="D206" t="s">
        <v>180</v>
      </c>
    </row>
    <row r="208" spans="1:4" x14ac:dyDescent="0.35">
      <c r="A208" t="s">
        <v>181</v>
      </c>
      <c r="B208" t="s">
        <v>16</v>
      </c>
      <c r="C208" t="s">
        <v>148</v>
      </c>
      <c r="D208" t="s">
        <v>176</v>
      </c>
    </row>
    <row r="209" spans="1:4" x14ac:dyDescent="0.35">
      <c r="A209" t="s">
        <v>181</v>
      </c>
      <c r="B209" t="s">
        <v>16</v>
      </c>
      <c r="C209" t="s">
        <v>146</v>
      </c>
      <c r="D209" t="s">
        <v>177</v>
      </c>
    </row>
    <row r="210" spans="1:4" x14ac:dyDescent="0.35">
      <c r="A210" t="s">
        <v>181</v>
      </c>
      <c r="B210" t="s">
        <v>16</v>
      </c>
      <c r="C210" t="s">
        <v>114</v>
      </c>
      <c r="D210" t="s">
        <v>178</v>
      </c>
    </row>
    <row r="211" spans="1:4" x14ac:dyDescent="0.35">
      <c r="A211" t="s">
        <v>181</v>
      </c>
      <c r="B211" t="s">
        <v>16</v>
      </c>
      <c r="C211" t="s">
        <v>112</v>
      </c>
      <c r="D211" t="s">
        <v>179</v>
      </c>
    </row>
    <row r="212" spans="1:4" x14ac:dyDescent="0.35">
      <c r="A212" t="s">
        <v>181</v>
      </c>
      <c r="B212" t="s">
        <v>16</v>
      </c>
      <c r="C212" t="s">
        <v>110</v>
      </c>
      <c r="D212" t="s">
        <v>180</v>
      </c>
    </row>
    <row r="214" spans="1:4" x14ac:dyDescent="0.35">
      <c r="A214" t="s">
        <v>182</v>
      </c>
      <c r="B214" t="s">
        <v>17</v>
      </c>
      <c r="C214" t="s">
        <v>148</v>
      </c>
      <c r="D214" t="s">
        <v>176</v>
      </c>
    </row>
    <row r="215" spans="1:4" x14ac:dyDescent="0.35">
      <c r="A215" t="s">
        <v>182</v>
      </c>
      <c r="B215" t="s">
        <v>17</v>
      </c>
      <c r="C215" t="s">
        <v>146</v>
      </c>
      <c r="D215" t="s">
        <v>177</v>
      </c>
    </row>
    <row r="216" spans="1:4" x14ac:dyDescent="0.35">
      <c r="A216" t="s">
        <v>182</v>
      </c>
      <c r="B216" t="s">
        <v>17</v>
      </c>
      <c r="C216" t="s">
        <v>114</v>
      </c>
      <c r="D216" t="s">
        <v>178</v>
      </c>
    </row>
    <row r="217" spans="1:4" x14ac:dyDescent="0.35">
      <c r="A217" t="s">
        <v>182</v>
      </c>
      <c r="B217" t="s">
        <v>17</v>
      </c>
      <c r="C217" t="s">
        <v>112</v>
      </c>
      <c r="D217" t="s">
        <v>179</v>
      </c>
    </row>
    <row r="218" spans="1:4" x14ac:dyDescent="0.35">
      <c r="A218" t="s">
        <v>182</v>
      </c>
      <c r="B218" t="s">
        <v>17</v>
      </c>
      <c r="C218" t="s">
        <v>110</v>
      </c>
      <c r="D218" t="s">
        <v>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4946F9A22CD4783F0D01859D13CFB" ma:contentTypeVersion="6" ma:contentTypeDescription="Create a new document." ma:contentTypeScope="" ma:versionID="273cb5b8e81142f1b915f9bc8b79a8e6">
  <xsd:schema xmlns:xsd="http://www.w3.org/2001/XMLSchema" xmlns:xs="http://www.w3.org/2001/XMLSchema" xmlns:p="http://schemas.microsoft.com/office/2006/metadata/properties" xmlns:ns3="ce960a1b-a02b-4d17-af27-4e4878a7971e" xmlns:ns4="103909ec-9ab3-476f-862e-d6f912778871" targetNamespace="http://schemas.microsoft.com/office/2006/metadata/properties" ma:root="true" ma:fieldsID="a108bdeb7f93ec42aec95108874c529d" ns3:_="" ns4:_="">
    <xsd:import namespace="ce960a1b-a02b-4d17-af27-4e4878a7971e"/>
    <xsd:import namespace="103909ec-9ab3-476f-862e-d6f9127788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60a1b-a02b-4d17-af27-4e4878a79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3909ec-9ab3-476f-862e-d6f91277887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960a1b-a02b-4d17-af27-4e4878a7971e" xsi:nil="true"/>
  </documentManagement>
</p:properties>
</file>

<file path=customXml/itemProps1.xml><?xml version="1.0" encoding="utf-8"?>
<ds:datastoreItem xmlns:ds="http://schemas.openxmlformats.org/officeDocument/2006/customXml" ds:itemID="{E1BDC2FA-01DE-4A23-8C89-A3AEA4447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960a1b-a02b-4d17-af27-4e4878a7971e"/>
    <ds:schemaRef ds:uri="103909ec-9ab3-476f-862e-d6f9127788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2429D3-282F-49BA-9E35-1EB66E74E2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7A653A-66FC-4D7F-B665-CE740EDF6C65}">
  <ds:schemaRefs>
    <ds:schemaRef ds:uri="http://schemas.microsoft.com/office/2006/metadata/properties"/>
    <ds:schemaRef ds:uri="http://schemas.microsoft.com/office/infopath/2007/PartnerControls"/>
    <ds:schemaRef ds:uri="ce960a1b-a02b-4d17-af27-4e4878a797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Variables</vt:lpstr>
      <vt:lpstr>Empathy Alone</vt:lpstr>
      <vt:lpstr>Lets done do it</vt:lpstr>
      <vt:lpstr>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Ursa Bearwalker</dc:creator>
  <cp:keywords/>
  <dc:description/>
  <cp:lastModifiedBy>Altieri, Daniel B</cp:lastModifiedBy>
  <cp:revision/>
  <dcterms:created xsi:type="dcterms:W3CDTF">2023-06-12T09:10:56Z</dcterms:created>
  <dcterms:modified xsi:type="dcterms:W3CDTF">2026-01-27T20:28:30Z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0x0101009E24946F9A22CD4783F0D01859D13CFB</vt:lpwstr>
  </property>
</Properties>
</file>