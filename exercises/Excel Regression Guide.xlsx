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vanderbilt365-my.sharepoint.com/personal/daniel_b_altieri_vanderbilt_edu1/Documents/Data Science/Exercises/"/>
    </mc:Choice>
  </mc:AlternateContent>
  <xr:revisionPtr revIDLastSave="225" documentId="8_{A781CB29-A1A0-48DC-A984-95944135454B}" xr6:coauthVersionLast="47" xr6:coauthVersionMax="47" xr10:uidLastSave="{1C9E4D51-70BC-4426-BA8F-E41FF9D27143}"/>
  <bookViews>
    <workbookView xWindow="-110" yWindow="-110" windowWidth="25820" windowHeight="15500" tabRatio="500" xr2:uid="{00000000-000D-0000-FFFF-FFFF00000000}"/>
  </bookViews>
  <sheets>
    <sheet name="Data" sheetId="1" r:id="rId1"/>
    <sheet name="Regression_Setup" sheetId="2" r:id="rId2"/>
    <sheet name="Regression_Results" sheetId="3" r:id="rId3"/>
    <sheet name="Residual_Analysis" sheetId="4" r:id="rId4"/>
    <sheet name="Formula_Examples" sheetId="5" r:id="rId5"/>
    <sheet name="Sheet1" sheetId="6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7" i="1" l="1"/>
  <c r="J4" i="1"/>
  <c r="J3" i="1"/>
  <c r="J2" i="1"/>
  <c r="J9" i="1" a="1"/>
  <c r="J9" i="1" s="1"/>
  <c r="J10" i="1"/>
  <c r="M11" i="1"/>
  <c r="M10" i="1"/>
  <c r="J11" i="1"/>
  <c r="K26" i="1" a="1"/>
  <c r="K26" i="1" s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8" i="1"/>
  <c r="I26" i="1" a="1"/>
  <c r="I26" i="1" s="1"/>
  <c r="J26" i="1" a="1"/>
  <c r="J26" i="1" s="1"/>
  <c r="A12" i="5"/>
  <c r="A11" i="5"/>
  <c r="A8" i="5"/>
  <c r="A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<sst xmlns="http://schemas.openxmlformats.org/spreadsheetml/2006/main" count="117" uniqueCount="89">
  <si>
    <t>Life_expectancy</t>
  </si>
  <si>
    <t>GDP_per_capita</t>
  </si>
  <si>
    <t>Schooling</t>
  </si>
  <si>
    <t>BMI</t>
  </si>
  <si>
    <t>Adult_mortality</t>
  </si>
  <si>
    <t>EXCEL REGRESSION ANALYSIS SETUP GUIDE</t>
  </si>
  <si>
    <t>Step 1: Enable Data Analysis ToolPak</t>
  </si>
  <si>
    <t>1. Click File → Options → Add-ins</t>
  </si>
  <si>
    <t>2. Select "Excel Add-ins" from dropdown</t>
  </si>
  <si>
    <t>3. Check "Analysis ToolPak" and click OK</t>
  </si>
  <si>
    <t>4. Verify "Data Analysis" appears in Data tab</t>
  </si>
  <si>
    <t>Step 2: Access Regression Tool</t>
  </si>
  <si>
    <t>1. Click Data tab → Data Analysis</t>
  </si>
  <si>
    <t>2. Select "Regression" from list</t>
  </si>
  <si>
    <t>3. Click OK</t>
  </si>
  <si>
    <t>Step 3: Configure Regression Dialog</t>
  </si>
  <si>
    <t>Input Y Range (Dependent Variable):</t>
  </si>
  <si>
    <t>Data!$A$1:$A$180</t>
  </si>
  <si>
    <t>Input X Range (Independent Variables):</t>
  </si>
  <si>
    <t>Data!$B$1:$E$180</t>
  </si>
  <si>
    <t>Output Range:</t>
  </si>
  <si>
    <t>Regression_Results!$A$1</t>
  </si>
  <si>
    <t>Step 4: Select Options</t>
  </si>
  <si>
    <t>☑ Labels (we included headers)</t>
  </si>
  <si>
    <t>☑ Confidence Level (95%)</t>
  </si>
  <si>
    <t>☑ Residuals</t>
  </si>
  <si>
    <t>☑ Residual Plots</t>
  </si>
  <si>
    <t>Step 5: Click OK to Run Analysis</t>
  </si>
  <si>
    <t>Observations</t>
  </si>
  <si>
    <t>ANOVA</t>
  </si>
  <si>
    <t>df</t>
  </si>
  <si>
    <t>Regression</t>
  </si>
  <si>
    <t>Residual</t>
  </si>
  <si>
    <t>Total</t>
  </si>
  <si>
    <t>Coefficients</t>
  </si>
  <si>
    <t>Intercept</t>
  </si>
  <si>
    <t>&lt; 0.001</t>
  </si>
  <si>
    <t>0.045</t>
  </si>
  <si>
    <t>Observation</t>
  </si>
  <si>
    <t>Predicted_Life_expectancy</t>
  </si>
  <si>
    <t>Residuals</t>
  </si>
  <si>
    <t>KEY EXCEL FORMULAS FOR REGRESSION</t>
  </si>
  <si>
    <t>Predicted Value Calculation:</t>
  </si>
  <si>
    <t>Formula Structure:</t>
  </si>
  <si>
    <t>Example for Row 2 of Data:</t>
  </si>
  <si>
    <t>Residual Calculation:</t>
  </si>
  <si>
    <t>R-squared Interpretation:</t>
  </si>
  <si>
    <t>R² = 0.64 means 64.0% of variance explained</t>
  </si>
  <si>
    <t>Key Statistics Summary:</t>
  </si>
  <si>
    <t>Multiple R: 0.8</t>
  </si>
  <si>
    <t>R Square: 0.64</t>
  </si>
  <si>
    <t>Adjusted R²: 0.631</t>
  </si>
  <si>
    <t>Standard Error: 2.81 years</t>
  </si>
  <si>
    <t>F-statistic: 77.22</t>
  </si>
  <si>
    <t>SUMMARY OUTPUT</t>
  </si>
  <si>
    <t>Regression Statistics</t>
  </si>
  <si>
    <t>Multiple R</t>
  </si>
  <si>
    <t>R Square</t>
  </si>
  <si>
    <t>Adjusted R Square</t>
  </si>
  <si>
    <t>Standard Error</t>
  </si>
  <si>
    <t>SS</t>
  </si>
  <si>
    <t>MS</t>
  </si>
  <si>
    <t>F</t>
  </si>
  <si>
    <t>Significance F</t>
  </si>
  <si>
    <t>t Stat</t>
  </si>
  <si>
    <t>P-value</t>
  </si>
  <si>
    <t>Lower 95%</t>
  </si>
  <si>
    <t>Upper 95%</t>
  </si>
  <si>
    <t>RESIDUAL OUTPUT</t>
  </si>
  <si>
    <t>PROBABILITY OUTPUT</t>
  </si>
  <si>
    <t>Predicted Life_expectancy</t>
  </si>
  <si>
    <t>Standard Residuals</t>
  </si>
  <si>
    <t>Percentile</t>
  </si>
  <si>
    <t>Mean Abs. Err</t>
  </si>
  <si>
    <t>RMSE</t>
  </si>
  <si>
    <t>Mean</t>
  </si>
  <si>
    <t>Abs. % Err.</t>
  </si>
  <si>
    <t>DW Independence</t>
  </si>
  <si>
    <t>SKEW</t>
  </si>
  <si>
    <t>Kurtosis</t>
  </si>
  <si>
    <t>JB Appoximation</t>
  </si>
  <si>
    <t>p-value for JB</t>
  </si>
  <si>
    <t>Independence Test(manual):</t>
  </si>
  <si>
    <t xml:space="preserve"> // Schooling vs Residuals</t>
  </si>
  <si>
    <t>// GDP vs Residuals</t>
  </si>
  <si>
    <t>// BMI vs Residuals</t>
  </si>
  <si>
    <t>// Should be close to 0</t>
  </si>
  <si>
    <t>Correlation between variables and residuals (should be ~0)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</si>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</sst>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0.0E+00"/>
    <numFmt numFmtId="222" formatCode="0.0000"/>
  </numFmts>
  <fonts count="7" x14ac:knownFonts="1">
    <font>
      <sz val="11"/>
      <color theme="1"/>
      <name val="Calibri"/>
      <family val="2"/>
      <charset val="1"/>
    </font>
    <font>
      <b/>
      <sz val="11"/>
      <color rgb="FFFFFFFF"/>
      <name val="Cambria"/>
      <family val="1"/>
    </font>
    <font>
      <b/>
      <sz val="16"/>
      <name val="Cambria"/>
      <family val="1"/>
    </font>
    <font>
      <b/>
      <sz val="12"/>
      <name val="Cambria"/>
      <family val="1"/>
    </font>
    <font>
      <b/>
      <sz val="11"/>
      <name val="Cambria"/>
      <family val="1"/>
    </font>
    <font>
      <b/>
      <sz val="14"/>
      <name val="Cambria"/>
      <family val="1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4" fillId="0" borderId="0" xfId="0" applyFont="1"/>
    <xf numFmtId="0" fontId="4" fillId="4" borderId="0" xfId="0" applyFont="1" applyFill="1"/>
    <xf numFmtId="0" fontId="1" fillId="2" borderId="0" xfId="0" applyFont="1" applyFill="1"/>
    <xf numFmtId="0" fontId="5" fillId="0" borderId="0" xfId="0" applyFont="1"/>
    <xf numFmtId="0" fontId="0" fillId="5" borderId="0" xfId="0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22" fontId="0" fillId="0" borderId="0" xfId="0" applyNumberForma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222" fontId="6" fillId="0" borderId="0" xfId="0" applyNumberFormat="1" applyFont="1" applyAlignment="1">
      <alignment horizontal="center"/>
    </xf>
    <xf numFmtId="0" fontId="0" fillId="0" borderId="0" xfId="0" quotePrefix="1"/>
    <xf numFmtId="0" fontId="1" fillId="2" borderId="0" xfId="0" applyFont="1" applyFill="1" applyAlignment="1">
      <alignment horizont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Normal Probability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Data!$L$28:$L$207</c:f>
              <c:numCache>
                <c:formatCode>General</c:formatCode>
                <c:ptCount val="180"/>
                <c:pt idx="0">
                  <c:v>0.27932960893854747</c:v>
                </c:pt>
                <c:pt idx="1">
                  <c:v>0.83798882681564235</c:v>
                </c:pt>
                <c:pt idx="2">
                  <c:v>1.3966480446927374</c:v>
                </c:pt>
                <c:pt idx="3">
                  <c:v>1.9553072625698322</c:v>
                </c:pt>
                <c:pt idx="4">
                  <c:v>2.5139664804469271</c:v>
                </c:pt>
                <c:pt idx="5">
                  <c:v>3.0726256983240221</c:v>
                </c:pt>
                <c:pt idx="6">
                  <c:v>3.6312849162011167</c:v>
                </c:pt>
                <c:pt idx="7">
                  <c:v>4.1899441340782122</c:v>
                </c:pt>
                <c:pt idx="8">
                  <c:v>4.7486033519553068</c:v>
                </c:pt>
                <c:pt idx="9">
                  <c:v>5.3072625698324014</c:v>
                </c:pt>
                <c:pt idx="10">
                  <c:v>5.8659217877094969</c:v>
                </c:pt>
                <c:pt idx="11">
                  <c:v>6.4245810055865915</c:v>
                </c:pt>
                <c:pt idx="12">
                  <c:v>6.9832402234636861</c:v>
                </c:pt>
                <c:pt idx="13">
                  <c:v>7.5418994413407816</c:v>
                </c:pt>
                <c:pt idx="14">
                  <c:v>8.1005586592178762</c:v>
                </c:pt>
                <c:pt idx="15">
                  <c:v>8.6592178770949726</c:v>
                </c:pt>
                <c:pt idx="16">
                  <c:v>9.2178770949720672</c:v>
                </c:pt>
                <c:pt idx="17">
                  <c:v>9.7765363128491618</c:v>
                </c:pt>
                <c:pt idx="18">
                  <c:v>10.335195530726256</c:v>
                </c:pt>
                <c:pt idx="19">
                  <c:v>10.893854748603353</c:v>
                </c:pt>
                <c:pt idx="20">
                  <c:v>11.452513966480447</c:v>
                </c:pt>
                <c:pt idx="21">
                  <c:v>12.011173184357542</c:v>
                </c:pt>
                <c:pt idx="22">
                  <c:v>12.569832402234637</c:v>
                </c:pt>
                <c:pt idx="23">
                  <c:v>13.128491620111731</c:v>
                </c:pt>
                <c:pt idx="24">
                  <c:v>13.687150837988826</c:v>
                </c:pt>
                <c:pt idx="25">
                  <c:v>14.245810055865922</c:v>
                </c:pt>
                <c:pt idx="26">
                  <c:v>14.804469273743017</c:v>
                </c:pt>
                <c:pt idx="27">
                  <c:v>15.363128491620111</c:v>
                </c:pt>
                <c:pt idx="28">
                  <c:v>15.921787709497206</c:v>
                </c:pt>
                <c:pt idx="29">
                  <c:v>16.480446927374299</c:v>
                </c:pt>
                <c:pt idx="30">
                  <c:v>17.039106145251395</c:v>
                </c:pt>
                <c:pt idx="31">
                  <c:v>17.597765363128488</c:v>
                </c:pt>
                <c:pt idx="32">
                  <c:v>18.156424581005584</c:v>
                </c:pt>
                <c:pt idx="33">
                  <c:v>18.715083798882681</c:v>
                </c:pt>
                <c:pt idx="34">
                  <c:v>19.273743016759774</c:v>
                </c:pt>
                <c:pt idx="35">
                  <c:v>19.83240223463687</c:v>
                </c:pt>
                <c:pt idx="36">
                  <c:v>20.391061452513963</c:v>
                </c:pt>
                <c:pt idx="37">
                  <c:v>20.949720670391059</c:v>
                </c:pt>
                <c:pt idx="38">
                  <c:v>21.508379888268156</c:v>
                </c:pt>
                <c:pt idx="39">
                  <c:v>22.067039106145248</c:v>
                </c:pt>
                <c:pt idx="40">
                  <c:v>22.625698324022345</c:v>
                </c:pt>
                <c:pt idx="41">
                  <c:v>23.184357541899438</c:v>
                </c:pt>
                <c:pt idx="42">
                  <c:v>23.743016759776534</c:v>
                </c:pt>
                <c:pt idx="43">
                  <c:v>24.30167597765363</c:v>
                </c:pt>
                <c:pt idx="44">
                  <c:v>24.860335195530723</c:v>
                </c:pt>
                <c:pt idx="45">
                  <c:v>25.41899441340782</c:v>
                </c:pt>
                <c:pt idx="46">
                  <c:v>25.977653631284912</c:v>
                </c:pt>
                <c:pt idx="47">
                  <c:v>26.536312849162009</c:v>
                </c:pt>
                <c:pt idx="48">
                  <c:v>27.094972067039102</c:v>
                </c:pt>
                <c:pt idx="49">
                  <c:v>27.653631284916198</c:v>
                </c:pt>
                <c:pt idx="50">
                  <c:v>28.212290502793294</c:v>
                </c:pt>
                <c:pt idx="51">
                  <c:v>28.770949720670387</c:v>
                </c:pt>
                <c:pt idx="52">
                  <c:v>29.329608938547484</c:v>
                </c:pt>
                <c:pt idx="53">
                  <c:v>29.888268156424576</c:v>
                </c:pt>
                <c:pt idx="54">
                  <c:v>30.446927374301673</c:v>
                </c:pt>
                <c:pt idx="55">
                  <c:v>31.005586592178769</c:v>
                </c:pt>
                <c:pt idx="56">
                  <c:v>31.564245810055862</c:v>
                </c:pt>
                <c:pt idx="57">
                  <c:v>32.122905027932958</c:v>
                </c:pt>
                <c:pt idx="58">
                  <c:v>32.681564245810051</c:v>
                </c:pt>
                <c:pt idx="59">
                  <c:v>33.240223463687151</c:v>
                </c:pt>
                <c:pt idx="60">
                  <c:v>33.798882681564244</c:v>
                </c:pt>
                <c:pt idx="61">
                  <c:v>34.357541899441337</c:v>
                </c:pt>
                <c:pt idx="62">
                  <c:v>34.91620111731843</c:v>
                </c:pt>
                <c:pt idx="63">
                  <c:v>35.47486033519553</c:v>
                </c:pt>
                <c:pt idx="64">
                  <c:v>36.033519553072622</c:v>
                </c:pt>
                <c:pt idx="65">
                  <c:v>36.592178770949715</c:v>
                </c:pt>
                <c:pt idx="66">
                  <c:v>37.150837988826815</c:v>
                </c:pt>
                <c:pt idx="67">
                  <c:v>37.709497206703908</c:v>
                </c:pt>
                <c:pt idx="68">
                  <c:v>38.268156424581001</c:v>
                </c:pt>
                <c:pt idx="69">
                  <c:v>38.826815642458094</c:v>
                </c:pt>
                <c:pt idx="70">
                  <c:v>39.385474860335194</c:v>
                </c:pt>
                <c:pt idx="71">
                  <c:v>39.944134078212286</c:v>
                </c:pt>
                <c:pt idx="72">
                  <c:v>40.502793296089379</c:v>
                </c:pt>
                <c:pt idx="73">
                  <c:v>41.061452513966479</c:v>
                </c:pt>
                <c:pt idx="74">
                  <c:v>41.620111731843572</c:v>
                </c:pt>
                <c:pt idx="75">
                  <c:v>42.178770949720665</c:v>
                </c:pt>
                <c:pt idx="76">
                  <c:v>42.737430167597765</c:v>
                </c:pt>
                <c:pt idx="77">
                  <c:v>43.296089385474858</c:v>
                </c:pt>
                <c:pt idx="78">
                  <c:v>43.85474860335195</c:v>
                </c:pt>
                <c:pt idx="79">
                  <c:v>44.413407821229043</c:v>
                </c:pt>
                <c:pt idx="80">
                  <c:v>44.972067039106143</c:v>
                </c:pt>
                <c:pt idx="81">
                  <c:v>45.530726256983236</c:v>
                </c:pt>
                <c:pt idx="82">
                  <c:v>46.089385474860329</c:v>
                </c:pt>
                <c:pt idx="83">
                  <c:v>46.648044692737429</c:v>
                </c:pt>
                <c:pt idx="84">
                  <c:v>47.206703910614522</c:v>
                </c:pt>
                <c:pt idx="85">
                  <c:v>47.765363128491614</c:v>
                </c:pt>
                <c:pt idx="86">
                  <c:v>48.324022346368714</c:v>
                </c:pt>
                <c:pt idx="87">
                  <c:v>48.882681564245807</c:v>
                </c:pt>
                <c:pt idx="88">
                  <c:v>49.4413407821229</c:v>
                </c:pt>
                <c:pt idx="89">
                  <c:v>49.999999999999993</c:v>
                </c:pt>
                <c:pt idx="90">
                  <c:v>50.558659217877093</c:v>
                </c:pt>
                <c:pt idx="91">
                  <c:v>51.117318435754186</c:v>
                </c:pt>
                <c:pt idx="92">
                  <c:v>51.675977653631278</c:v>
                </c:pt>
                <c:pt idx="93">
                  <c:v>52.234636871508378</c:v>
                </c:pt>
                <c:pt idx="94">
                  <c:v>52.793296089385471</c:v>
                </c:pt>
                <c:pt idx="95">
                  <c:v>53.351955307262564</c:v>
                </c:pt>
                <c:pt idx="96">
                  <c:v>53.910614525139657</c:v>
                </c:pt>
                <c:pt idx="97">
                  <c:v>54.469273743016757</c:v>
                </c:pt>
                <c:pt idx="98">
                  <c:v>55.02793296089385</c:v>
                </c:pt>
                <c:pt idx="99">
                  <c:v>55.586592178770942</c:v>
                </c:pt>
                <c:pt idx="100">
                  <c:v>56.145251396648042</c:v>
                </c:pt>
                <c:pt idx="101">
                  <c:v>56.703910614525135</c:v>
                </c:pt>
                <c:pt idx="102">
                  <c:v>57.262569832402228</c:v>
                </c:pt>
                <c:pt idx="103">
                  <c:v>57.821229050279328</c:v>
                </c:pt>
                <c:pt idx="104">
                  <c:v>58.379888268156421</c:v>
                </c:pt>
                <c:pt idx="105">
                  <c:v>58.938547486033514</c:v>
                </c:pt>
                <c:pt idx="106">
                  <c:v>59.497206703910607</c:v>
                </c:pt>
                <c:pt idx="107">
                  <c:v>60.055865921787706</c:v>
                </c:pt>
                <c:pt idx="108">
                  <c:v>60.614525139664799</c:v>
                </c:pt>
                <c:pt idx="109">
                  <c:v>61.173184357541892</c:v>
                </c:pt>
                <c:pt idx="110">
                  <c:v>61.731843575418992</c:v>
                </c:pt>
                <c:pt idx="111">
                  <c:v>62.290502793296085</c:v>
                </c:pt>
                <c:pt idx="112">
                  <c:v>62.849162011173178</c:v>
                </c:pt>
                <c:pt idx="113">
                  <c:v>63.407821229050278</c:v>
                </c:pt>
                <c:pt idx="114">
                  <c:v>63.96648044692737</c:v>
                </c:pt>
                <c:pt idx="115">
                  <c:v>64.52513966480447</c:v>
                </c:pt>
                <c:pt idx="116">
                  <c:v>65.083798882681563</c:v>
                </c:pt>
                <c:pt idx="117">
                  <c:v>65.642458100558656</c:v>
                </c:pt>
                <c:pt idx="118">
                  <c:v>66.201117318435763</c:v>
                </c:pt>
                <c:pt idx="119">
                  <c:v>66.759776536312856</c:v>
                </c:pt>
                <c:pt idx="120">
                  <c:v>67.318435754189949</c:v>
                </c:pt>
                <c:pt idx="121">
                  <c:v>67.877094972067042</c:v>
                </c:pt>
                <c:pt idx="122">
                  <c:v>68.435754189944134</c:v>
                </c:pt>
                <c:pt idx="123">
                  <c:v>68.994413407821227</c:v>
                </c:pt>
                <c:pt idx="124">
                  <c:v>69.55307262569832</c:v>
                </c:pt>
                <c:pt idx="125">
                  <c:v>70.111731843575427</c:v>
                </c:pt>
                <c:pt idx="126">
                  <c:v>70.67039106145252</c:v>
                </c:pt>
                <c:pt idx="127">
                  <c:v>71.229050279329613</c:v>
                </c:pt>
                <c:pt idx="128">
                  <c:v>71.787709497206706</c:v>
                </c:pt>
                <c:pt idx="129">
                  <c:v>72.346368715083798</c:v>
                </c:pt>
                <c:pt idx="130">
                  <c:v>72.905027932960891</c:v>
                </c:pt>
                <c:pt idx="131">
                  <c:v>73.463687150837984</c:v>
                </c:pt>
                <c:pt idx="132">
                  <c:v>74.022346368715091</c:v>
                </c:pt>
                <c:pt idx="133">
                  <c:v>74.581005586592184</c:v>
                </c:pt>
                <c:pt idx="134">
                  <c:v>75.139664804469277</c:v>
                </c:pt>
                <c:pt idx="135">
                  <c:v>75.69832402234637</c:v>
                </c:pt>
                <c:pt idx="136">
                  <c:v>76.256983240223462</c:v>
                </c:pt>
                <c:pt idx="137">
                  <c:v>76.815642458100555</c:v>
                </c:pt>
                <c:pt idx="138">
                  <c:v>77.374301675977648</c:v>
                </c:pt>
                <c:pt idx="139">
                  <c:v>77.932960893854755</c:v>
                </c:pt>
                <c:pt idx="140">
                  <c:v>78.491620111731848</c:v>
                </c:pt>
                <c:pt idx="141">
                  <c:v>79.050279329608941</c:v>
                </c:pt>
                <c:pt idx="142">
                  <c:v>79.608938547486034</c:v>
                </c:pt>
                <c:pt idx="143">
                  <c:v>80.167597765363126</c:v>
                </c:pt>
                <c:pt idx="144">
                  <c:v>80.726256983240219</c:v>
                </c:pt>
                <c:pt idx="145">
                  <c:v>81.284916201117326</c:v>
                </c:pt>
                <c:pt idx="146">
                  <c:v>81.843575418994419</c:v>
                </c:pt>
                <c:pt idx="147">
                  <c:v>82.402234636871512</c:v>
                </c:pt>
                <c:pt idx="148">
                  <c:v>82.960893854748605</c:v>
                </c:pt>
                <c:pt idx="149">
                  <c:v>83.519553072625698</c:v>
                </c:pt>
                <c:pt idx="150">
                  <c:v>84.07821229050279</c:v>
                </c:pt>
                <c:pt idx="151">
                  <c:v>84.636871508379883</c:v>
                </c:pt>
                <c:pt idx="152">
                  <c:v>85.19553072625699</c:v>
                </c:pt>
                <c:pt idx="153">
                  <c:v>85.754189944134083</c:v>
                </c:pt>
                <c:pt idx="154">
                  <c:v>86.312849162011176</c:v>
                </c:pt>
                <c:pt idx="155">
                  <c:v>86.871508379888269</c:v>
                </c:pt>
                <c:pt idx="156">
                  <c:v>87.430167597765362</c:v>
                </c:pt>
                <c:pt idx="157">
                  <c:v>87.988826815642454</c:v>
                </c:pt>
                <c:pt idx="158">
                  <c:v>88.547486033519547</c:v>
                </c:pt>
                <c:pt idx="159">
                  <c:v>89.106145251396654</c:v>
                </c:pt>
                <c:pt idx="160">
                  <c:v>89.664804469273747</c:v>
                </c:pt>
                <c:pt idx="161">
                  <c:v>90.22346368715084</c:v>
                </c:pt>
                <c:pt idx="162">
                  <c:v>90.782122905027933</c:v>
                </c:pt>
                <c:pt idx="163">
                  <c:v>91.340782122905026</c:v>
                </c:pt>
                <c:pt idx="164">
                  <c:v>91.899441340782118</c:v>
                </c:pt>
                <c:pt idx="165">
                  <c:v>92.458100558659211</c:v>
                </c:pt>
                <c:pt idx="166">
                  <c:v>93.016759776536318</c:v>
                </c:pt>
                <c:pt idx="167">
                  <c:v>93.575418994413411</c:v>
                </c:pt>
                <c:pt idx="168">
                  <c:v>94.134078212290504</c:v>
                </c:pt>
                <c:pt idx="169">
                  <c:v>94.692737430167597</c:v>
                </c:pt>
                <c:pt idx="170">
                  <c:v>95.25139664804469</c:v>
                </c:pt>
                <c:pt idx="171">
                  <c:v>95.810055865921782</c:v>
                </c:pt>
                <c:pt idx="172">
                  <c:v>96.36871508379889</c:v>
                </c:pt>
                <c:pt idx="173">
                  <c:v>96.927374301675982</c:v>
                </c:pt>
                <c:pt idx="174">
                  <c:v>97.486033519553075</c:v>
                </c:pt>
                <c:pt idx="175">
                  <c:v>98.044692737430168</c:v>
                </c:pt>
                <c:pt idx="176">
                  <c:v>98.603351955307261</c:v>
                </c:pt>
                <c:pt idx="177">
                  <c:v>99.162011173184354</c:v>
                </c:pt>
                <c:pt idx="178">
                  <c:v>99.720670391061446</c:v>
                </c:pt>
              </c:numCache>
            </c:numRef>
          </c:xVal>
          <c:yVal>
            <c:numRef>
              <c:f>Data!$M$28:$M$207</c:f>
              <c:numCache>
                <c:formatCode>General</c:formatCode>
                <c:ptCount val="18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50.3</c:v>
                </c:pt>
                <c:pt idx="72">
                  <c:v>50.3</c:v>
                </c:pt>
                <c:pt idx="73">
                  <c:v>50.4</c:v>
                </c:pt>
                <c:pt idx="74">
                  <c:v>50.4</c:v>
                </c:pt>
                <c:pt idx="75">
                  <c:v>50.5</c:v>
                </c:pt>
                <c:pt idx="76">
                  <c:v>50.5</c:v>
                </c:pt>
                <c:pt idx="77">
                  <c:v>50.5</c:v>
                </c:pt>
                <c:pt idx="78">
                  <c:v>50.6</c:v>
                </c:pt>
                <c:pt idx="79">
                  <c:v>50.6</c:v>
                </c:pt>
                <c:pt idx="80">
                  <c:v>50.7</c:v>
                </c:pt>
                <c:pt idx="81">
                  <c:v>50.9</c:v>
                </c:pt>
                <c:pt idx="82">
                  <c:v>50.9</c:v>
                </c:pt>
                <c:pt idx="83">
                  <c:v>51.3</c:v>
                </c:pt>
                <c:pt idx="84">
                  <c:v>51.4</c:v>
                </c:pt>
                <c:pt idx="85">
                  <c:v>51.5</c:v>
                </c:pt>
                <c:pt idx="86">
                  <c:v>51.5</c:v>
                </c:pt>
                <c:pt idx="87">
                  <c:v>51.6</c:v>
                </c:pt>
                <c:pt idx="88">
                  <c:v>51.6</c:v>
                </c:pt>
                <c:pt idx="89">
                  <c:v>51.6</c:v>
                </c:pt>
                <c:pt idx="90">
                  <c:v>51.7</c:v>
                </c:pt>
                <c:pt idx="91">
                  <c:v>51.8</c:v>
                </c:pt>
                <c:pt idx="92">
                  <c:v>52.1</c:v>
                </c:pt>
                <c:pt idx="93">
                  <c:v>52.3</c:v>
                </c:pt>
                <c:pt idx="94">
                  <c:v>52.3</c:v>
                </c:pt>
                <c:pt idx="95">
                  <c:v>52.4</c:v>
                </c:pt>
                <c:pt idx="96">
                  <c:v>52.5</c:v>
                </c:pt>
                <c:pt idx="97">
                  <c:v>52.5</c:v>
                </c:pt>
                <c:pt idx="98">
                  <c:v>52.6</c:v>
                </c:pt>
                <c:pt idx="99">
                  <c:v>52.7</c:v>
                </c:pt>
                <c:pt idx="100">
                  <c:v>53</c:v>
                </c:pt>
                <c:pt idx="101">
                  <c:v>53</c:v>
                </c:pt>
                <c:pt idx="102">
                  <c:v>53.1</c:v>
                </c:pt>
                <c:pt idx="103">
                  <c:v>53.3</c:v>
                </c:pt>
                <c:pt idx="104">
                  <c:v>53.4</c:v>
                </c:pt>
                <c:pt idx="105">
                  <c:v>53.5</c:v>
                </c:pt>
                <c:pt idx="106">
                  <c:v>53.6</c:v>
                </c:pt>
                <c:pt idx="107">
                  <c:v>53.6</c:v>
                </c:pt>
                <c:pt idx="108">
                  <c:v>54.1</c:v>
                </c:pt>
                <c:pt idx="109">
                  <c:v>54.2</c:v>
                </c:pt>
                <c:pt idx="110">
                  <c:v>54.5</c:v>
                </c:pt>
                <c:pt idx="111">
                  <c:v>54.6</c:v>
                </c:pt>
                <c:pt idx="112">
                  <c:v>54.6</c:v>
                </c:pt>
                <c:pt idx="113">
                  <c:v>54.7</c:v>
                </c:pt>
                <c:pt idx="114">
                  <c:v>54.7</c:v>
                </c:pt>
                <c:pt idx="115">
                  <c:v>54.8</c:v>
                </c:pt>
                <c:pt idx="116">
                  <c:v>54.9</c:v>
                </c:pt>
                <c:pt idx="117">
                  <c:v>55.1</c:v>
                </c:pt>
                <c:pt idx="118">
                  <c:v>55.3</c:v>
                </c:pt>
                <c:pt idx="119">
                  <c:v>55.5</c:v>
                </c:pt>
                <c:pt idx="120">
                  <c:v>55.5</c:v>
                </c:pt>
                <c:pt idx="121">
                  <c:v>55.6</c:v>
                </c:pt>
                <c:pt idx="122">
                  <c:v>55.8</c:v>
                </c:pt>
                <c:pt idx="123">
                  <c:v>55.9</c:v>
                </c:pt>
                <c:pt idx="124">
                  <c:v>56.1</c:v>
                </c:pt>
                <c:pt idx="125">
                  <c:v>56.2</c:v>
                </c:pt>
                <c:pt idx="126">
                  <c:v>56.6</c:v>
                </c:pt>
                <c:pt idx="127">
                  <c:v>56.8</c:v>
                </c:pt>
                <c:pt idx="128">
                  <c:v>56.9</c:v>
                </c:pt>
                <c:pt idx="129">
                  <c:v>56.9</c:v>
                </c:pt>
                <c:pt idx="130">
                  <c:v>57</c:v>
                </c:pt>
                <c:pt idx="131">
                  <c:v>57.1</c:v>
                </c:pt>
                <c:pt idx="132">
                  <c:v>57.3</c:v>
                </c:pt>
                <c:pt idx="133">
                  <c:v>57.4</c:v>
                </c:pt>
                <c:pt idx="134">
                  <c:v>57.5</c:v>
                </c:pt>
                <c:pt idx="135">
                  <c:v>57.6</c:v>
                </c:pt>
                <c:pt idx="136">
                  <c:v>57.9</c:v>
                </c:pt>
                <c:pt idx="137">
                  <c:v>57.9</c:v>
                </c:pt>
                <c:pt idx="138">
                  <c:v>58</c:v>
                </c:pt>
                <c:pt idx="139">
                  <c:v>58.4</c:v>
                </c:pt>
                <c:pt idx="140">
                  <c:v>58.4</c:v>
                </c:pt>
                <c:pt idx="141">
                  <c:v>58.5</c:v>
                </c:pt>
                <c:pt idx="142">
                  <c:v>58.8</c:v>
                </c:pt>
                <c:pt idx="143">
                  <c:v>58.9</c:v>
                </c:pt>
                <c:pt idx="144">
                  <c:v>58.9</c:v>
                </c:pt>
                <c:pt idx="145">
                  <c:v>59</c:v>
                </c:pt>
                <c:pt idx="146">
                  <c:v>59.3</c:v>
                </c:pt>
                <c:pt idx="147">
                  <c:v>59.4</c:v>
                </c:pt>
                <c:pt idx="148">
                  <c:v>59.7</c:v>
                </c:pt>
                <c:pt idx="149">
                  <c:v>59.7</c:v>
                </c:pt>
                <c:pt idx="150">
                  <c:v>59.8</c:v>
                </c:pt>
                <c:pt idx="151">
                  <c:v>59.9</c:v>
                </c:pt>
                <c:pt idx="152">
                  <c:v>60.1</c:v>
                </c:pt>
                <c:pt idx="153">
                  <c:v>60.2</c:v>
                </c:pt>
                <c:pt idx="154">
                  <c:v>60.5</c:v>
                </c:pt>
                <c:pt idx="155">
                  <c:v>60.7</c:v>
                </c:pt>
                <c:pt idx="156">
                  <c:v>60.7</c:v>
                </c:pt>
                <c:pt idx="157">
                  <c:v>60.8</c:v>
                </c:pt>
                <c:pt idx="158">
                  <c:v>60.9</c:v>
                </c:pt>
                <c:pt idx="159">
                  <c:v>61.2</c:v>
                </c:pt>
                <c:pt idx="160">
                  <c:v>61.2</c:v>
                </c:pt>
                <c:pt idx="161">
                  <c:v>61.5</c:v>
                </c:pt>
                <c:pt idx="162">
                  <c:v>61.6</c:v>
                </c:pt>
                <c:pt idx="163">
                  <c:v>61.6</c:v>
                </c:pt>
                <c:pt idx="164">
                  <c:v>61.6</c:v>
                </c:pt>
                <c:pt idx="165">
                  <c:v>61.7</c:v>
                </c:pt>
                <c:pt idx="166">
                  <c:v>62</c:v>
                </c:pt>
                <c:pt idx="167">
                  <c:v>62.2</c:v>
                </c:pt>
                <c:pt idx="168">
                  <c:v>62.3</c:v>
                </c:pt>
                <c:pt idx="169">
                  <c:v>62.7</c:v>
                </c:pt>
                <c:pt idx="170">
                  <c:v>62.8</c:v>
                </c:pt>
                <c:pt idx="171">
                  <c:v>63</c:v>
                </c:pt>
                <c:pt idx="172">
                  <c:v>63.1</c:v>
                </c:pt>
                <c:pt idx="173">
                  <c:v>63.4</c:v>
                </c:pt>
                <c:pt idx="174">
                  <c:v>63.4</c:v>
                </c:pt>
                <c:pt idx="175">
                  <c:v>64.8</c:v>
                </c:pt>
                <c:pt idx="176">
                  <c:v>64.900000000000006</c:v>
                </c:pt>
                <c:pt idx="177">
                  <c:v>65</c:v>
                </c:pt>
                <c:pt idx="178">
                  <c:v>67.8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50-4AAE-80B8-6AC63BCB5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1246511"/>
        <c:axId val="1691243631"/>
      </c:scatterChart>
      <c:valAx>
        <c:axId val="1691246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 Percentile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243631"/>
        <c:crosses val="autoZero"/>
        <c:crossBetween val="midCat"/>
      </c:valAx>
      <c:valAx>
        <c:axId val="169124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Life_expectancy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246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GDP_per_capita 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Sheet1!$A$1:$A$179</c:f>
              <c:numCache>
                <c:formatCode>General</c:formatCode>
                <c:ptCount val="179"/>
                <c:pt idx="0">
                  <c:v>2423</c:v>
                </c:pt>
                <c:pt idx="1">
                  <c:v>9425</c:v>
                </c:pt>
                <c:pt idx="2">
                  <c:v>300</c:v>
                </c:pt>
                <c:pt idx="3">
                  <c:v>358</c:v>
                </c:pt>
                <c:pt idx="4">
                  <c:v>3521</c:v>
                </c:pt>
                <c:pt idx="5">
                  <c:v>47974</c:v>
                </c:pt>
                <c:pt idx="6">
                  <c:v>300</c:v>
                </c:pt>
                <c:pt idx="7">
                  <c:v>1898</c:v>
                </c:pt>
                <c:pt idx="8">
                  <c:v>300</c:v>
                </c:pt>
                <c:pt idx="9">
                  <c:v>12051</c:v>
                </c:pt>
                <c:pt idx="10">
                  <c:v>2256</c:v>
                </c:pt>
                <c:pt idx="11">
                  <c:v>13431</c:v>
                </c:pt>
                <c:pt idx="12">
                  <c:v>31162</c:v>
                </c:pt>
                <c:pt idx="13">
                  <c:v>300</c:v>
                </c:pt>
                <c:pt idx="14">
                  <c:v>1404</c:v>
                </c:pt>
                <c:pt idx="15">
                  <c:v>12746</c:v>
                </c:pt>
                <c:pt idx="16">
                  <c:v>4410</c:v>
                </c:pt>
                <c:pt idx="17">
                  <c:v>895</c:v>
                </c:pt>
                <c:pt idx="18">
                  <c:v>2666</c:v>
                </c:pt>
                <c:pt idx="19">
                  <c:v>4686</c:v>
                </c:pt>
                <c:pt idx="20">
                  <c:v>762</c:v>
                </c:pt>
                <c:pt idx="21">
                  <c:v>1275</c:v>
                </c:pt>
                <c:pt idx="22">
                  <c:v>6066</c:v>
                </c:pt>
                <c:pt idx="23">
                  <c:v>470</c:v>
                </c:pt>
                <c:pt idx="24">
                  <c:v>9631</c:v>
                </c:pt>
                <c:pt idx="25">
                  <c:v>5012</c:v>
                </c:pt>
                <c:pt idx="26">
                  <c:v>6068</c:v>
                </c:pt>
                <c:pt idx="27">
                  <c:v>870</c:v>
                </c:pt>
                <c:pt idx="28">
                  <c:v>962</c:v>
                </c:pt>
                <c:pt idx="29">
                  <c:v>10309</c:v>
                </c:pt>
                <c:pt idx="30">
                  <c:v>824</c:v>
                </c:pt>
                <c:pt idx="31">
                  <c:v>2672</c:v>
                </c:pt>
                <c:pt idx="32">
                  <c:v>460</c:v>
                </c:pt>
                <c:pt idx="33">
                  <c:v>537</c:v>
                </c:pt>
                <c:pt idx="34">
                  <c:v>730</c:v>
                </c:pt>
                <c:pt idx="35">
                  <c:v>16372</c:v>
                </c:pt>
                <c:pt idx="36">
                  <c:v>2090</c:v>
                </c:pt>
                <c:pt idx="37">
                  <c:v>300</c:v>
                </c:pt>
                <c:pt idx="38">
                  <c:v>8262</c:v>
                </c:pt>
                <c:pt idx="39">
                  <c:v>7715</c:v>
                </c:pt>
                <c:pt idx="40">
                  <c:v>2510</c:v>
                </c:pt>
                <c:pt idx="41">
                  <c:v>1119</c:v>
                </c:pt>
                <c:pt idx="42">
                  <c:v>14026</c:v>
                </c:pt>
                <c:pt idx="43">
                  <c:v>9528</c:v>
                </c:pt>
                <c:pt idx="44">
                  <c:v>459</c:v>
                </c:pt>
                <c:pt idx="45">
                  <c:v>346</c:v>
                </c:pt>
                <c:pt idx="46">
                  <c:v>1212</c:v>
                </c:pt>
                <c:pt idx="47">
                  <c:v>466</c:v>
                </c:pt>
                <c:pt idx="48">
                  <c:v>1171</c:v>
                </c:pt>
                <c:pt idx="49">
                  <c:v>1054</c:v>
                </c:pt>
                <c:pt idx="50">
                  <c:v>1287</c:v>
                </c:pt>
                <c:pt idx="51">
                  <c:v>1227</c:v>
                </c:pt>
                <c:pt idx="52">
                  <c:v>10100</c:v>
                </c:pt>
                <c:pt idx="53">
                  <c:v>2452</c:v>
                </c:pt>
                <c:pt idx="54">
                  <c:v>482</c:v>
                </c:pt>
                <c:pt idx="55">
                  <c:v>776</c:v>
                </c:pt>
                <c:pt idx="56">
                  <c:v>1841</c:v>
                </c:pt>
                <c:pt idx="57">
                  <c:v>1394</c:v>
                </c:pt>
                <c:pt idx="58">
                  <c:v>2164</c:v>
                </c:pt>
                <c:pt idx="59">
                  <c:v>663</c:v>
                </c:pt>
                <c:pt idx="60">
                  <c:v>29706</c:v>
                </c:pt>
                <c:pt idx="61">
                  <c:v>3038</c:v>
                </c:pt>
                <c:pt idx="62">
                  <c:v>12568</c:v>
                </c:pt>
                <c:pt idx="63">
                  <c:v>887</c:v>
                </c:pt>
                <c:pt idx="64">
                  <c:v>3735</c:v>
                </c:pt>
                <c:pt idx="65">
                  <c:v>6235</c:v>
                </c:pt>
                <c:pt idx="66">
                  <c:v>22716</c:v>
                </c:pt>
                <c:pt idx="67">
                  <c:v>3199</c:v>
                </c:pt>
                <c:pt idx="68">
                  <c:v>6449</c:v>
                </c:pt>
                <c:pt idx="69">
                  <c:v>970</c:v>
                </c:pt>
                <c:pt idx="70">
                  <c:v>41482</c:v>
                </c:pt>
                <c:pt idx="71">
                  <c:v>8342</c:v>
                </c:pt>
                <c:pt idx="72">
                  <c:v>8746</c:v>
                </c:pt>
                <c:pt idx="73">
                  <c:v>2743</c:v>
                </c:pt>
                <c:pt idx="74">
                  <c:v>8140</c:v>
                </c:pt>
                <c:pt idx="75">
                  <c:v>12490</c:v>
                </c:pt>
                <c:pt idx="76">
                  <c:v>631</c:v>
                </c:pt>
                <c:pt idx="77">
                  <c:v>4109</c:v>
                </c:pt>
                <c:pt idx="78">
                  <c:v>1257</c:v>
                </c:pt>
                <c:pt idx="79">
                  <c:v>2052</c:v>
                </c:pt>
                <c:pt idx="80">
                  <c:v>711</c:v>
                </c:pt>
                <c:pt idx="81">
                  <c:v>589</c:v>
                </c:pt>
                <c:pt idx="82">
                  <c:v>819</c:v>
                </c:pt>
                <c:pt idx="83">
                  <c:v>375</c:v>
                </c:pt>
                <c:pt idx="84">
                  <c:v>1436</c:v>
                </c:pt>
                <c:pt idx="85">
                  <c:v>2765</c:v>
                </c:pt>
                <c:pt idx="86">
                  <c:v>688</c:v>
                </c:pt>
                <c:pt idx="87">
                  <c:v>7016</c:v>
                </c:pt>
                <c:pt idx="88">
                  <c:v>768</c:v>
                </c:pt>
                <c:pt idx="89">
                  <c:v>3201</c:v>
                </c:pt>
                <c:pt idx="90">
                  <c:v>548</c:v>
                </c:pt>
                <c:pt idx="91">
                  <c:v>2198</c:v>
                </c:pt>
                <c:pt idx="92">
                  <c:v>4366</c:v>
                </c:pt>
                <c:pt idx="93">
                  <c:v>1585</c:v>
                </c:pt>
                <c:pt idx="94">
                  <c:v>1616</c:v>
                </c:pt>
                <c:pt idx="95">
                  <c:v>36852</c:v>
                </c:pt>
                <c:pt idx="96">
                  <c:v>9474</c:v>
                </c:pt>
                <c:pt idx="97">
                  <c:v>60000</c:v>
                </c:pt>
                <c:pt idx="98">
                  <c:v>825</c:v>
                </c:pt>
                <c:pt idx="99">
                  <c:v>1387</c:v>
                </c:pt>
                <c:pt idx="100">
                  <c:v>748</c:v>
                </c:pt>
                <c:pt idx="101">
                  <c:v>461</c:v>
                </c:pt>
                <c:pt idx="102">
                  <c:v>551</c:v>
                </c:pt>
                <c:pt idx="103">
                  <c:v>4171</c:v>
                </c:pt>
                <c:pt idx="104">
                  <c:v>1385</c:v>
                </c:pt>
                <c:pt idx="105">
                  <c:v>29564</c:v>
                </c:pt>
                <c:pt idx="106">
                  <c:v>3328</c:v>
                </c:pt>
                <c:pt idx="107">
                  <c:v>313</c:v>
                </c:pt>
                <c:pt idx="108">
                  <c:v>8470</c:v>
                </c:pt>
                <c:pt idx="109">
                  <c:v>3258</c:v>
                </c:pt>
                <c:pt idx="110">
                  <c:v>1313</c:v>
                </c:pt>
                <c:pt idx="111">
                  <c:v>28452</c:v>
                </c:pt>
                <c:pt idx="112">
                  <c:v>1708</c:v>
                </c:pt>
                <c:pt idx="113">
                  <c:v>20077</c:v>
                </c:pt>
                <c:pt idx="114">
                  <c:v>8686</c:v>
                </c:pt>
                <c:pt idx="115">
                  <c:v>16966</c:v>
                </c:pt>
                <c:pt idx="116">
                  <c:v>456</c:v>
                </c:pt>
                <c:pt idx="117">
                  <c:v>360</c:v>
                </c:pt>
                <c:pt idx="118">
                  <c:v>37975</c:v>
                </c:pt>
                <c:pt idx="119">
                  <c:v>15599</c:v>
                </c:pt>
                <c:pt idx="120">
                  <c:v>300</c:v>
                </c:pt>
                <c:pt idx="121">
                  <c:v>5021</c:v>
                </c:pt>
                <c:pt idx="122">
                  <c:v>300</c:v>
                </c:pt>
                <c:pt idx="123">
                  <c:v>13651</c:v>
                </c:pt>
                <c:pt idx="124">
                  <c:v>1004</c:v>
                </c:pt>
                <c:pt idx="125">
                  <c:v>392</c:v>
                </c:pt>
                <c:pt idx="126">
                  <c:v>3933</c:v>
                </c:pt>
                <c:pt idx="127">
                  <c:v>2581</c:v>
                </c:pt>
                <c:pt idx="128">
                  <c:v>45192</c:v>
                </c:pt>
                <c:pt idx="129">
                  <c:v>300</c:v>
                </c:pt>
                <c:pt idx="130">
                  <c:v>402</c:v>
                </c:pt>
                <c:pt idx="131">
                  <c:v>5936</c:v>
                </c:pt>
                <c:pt idx="132">
                  <c:v>439</c:v>
                </c:pt>
                <c:pt idx="133">
                  <c:v>3117</c:v>
                </c:pt>
                <c:pt idx="134">
                  <c:v>1875</c:v>
                </c:pt>
                <c:pt idx="135">
                  <c:v>1541</c:v>
                </c:pt>
                <c:pt idx="136">
                  <c:v>11321</c:v>
                </c:pt>
                <c:pt idx="137">
                  <c:v>1730</c:v>
                </c:pt>
                <c:pt idx="138">
                  <c:v>1953</c:v>
                </c:pt>
                <c:pt idx="139">
                  <c:v>4236</c:v>
                </c:pt>
                <c:pt idx="140">
                  <c:v>8203</c:v>
                </c:pt>
                <c:pt idx="141">
                  <c:v>60000</c:v>
                </c:pt>
                <c:pt idx="142">
                  <c:v>17739</c:v>
                </c:pt>
                <c:pt idx="143">
                  <c:v>7703</c:v>
                </c:pt>
                <c:pt idx="144">
                  <c:v>1666</c:v>
                </c:pt>
                <c:pt idx="145">
                  <c:v>900</c:v>
                </c:pt>
                <c:pt idx="146">
                  <c:v>4170</c:v>
                </c:pt>
                <c:pt idx="147">
                  <c:v>14275</c:v>
                </c:pt>
                <c:pt idx="148">
                  <c:v>15726</c:v>
                </c:pt>
                <c:pt idx="149">
                  <c:v>7888</c:v>
                </c:pt>
                <c:pt idx="150">
                  <c:v>1652</c:v>
                </c:pt>
                <c:pt idx="151">
                  <c:v>9131</c:v>
                </c:pt>
                <c:pt idx="152">
                  <c:v>31767</c:v>
                </c:pt>
                <c:pt idx="153">
                  <c:v>3988</c:v>
                </c:pt>
                <c:pt idx="154">
                  <c:v>303</c:v>
                </c:pt>
                <c:pt idx="155">
                  <c:v>50098</c:v>
                </c:pt>
                <c:pt idx="156">
                  <c:v>8626</c:v>
                </c:pt>
                <c:pt idx="157">
                  <c:v>2569</c:v>
                </c:pt>
                <c:pt idx="158">
                  <c:v>4294</c:v>
                </c:pt>
                <c:pt idx="159">
                  <c:v>15930</c:v>
                </c:pt>
                <c:pt idx="160">
                  <c:v>21889</c:v>
                </c:pt>
                <c:pt idx="161">
                  <c:v>44418</c:v>
                </c:pt>
                <c:pt idx="162">
                  <c:v>1120</c:v>
                </c:pt>
                <c:pt idx="163">
                  <c:v>9327</c:v>
                </c:pt>
                <c:pt idx="164">
                  <c:v>525</c:v>
                </c:pt>
                <c:pt idx="165">
                  <c:v>300</c:v>
                </c:pt>
                <c:pt idx="166">
                  <c:v>7795</c:v>
                </c:pt>
                <c:pt idx="167">
                  <c:v>1130</c:v>
                </c:pt>
                <c:pt idx="168">
                  <c:v>1336</c:v>
                </c:pt>
                <c:pt idx="169">
                  <c:v>4011</c:v>
                </c:pt>
                <c:pt idx="170">
                  <c:v>1261</c:v>
                </c:pt>
                <c:pt idx="171">
                  <c:v>3569</c:v>
                </c:pt>
                <c:pt idx="172">
                  <c:v>7870</c:v>
                </c:pt>
                <c:pt idx="173">
                  <c:v>14338</c:v>
                </c:pt>
                <c:pt idx="174">
                  <c:v>11220</c:v>
                </c:pt>
                <c:pt idx="175">
                  <c:v>5398</c:v>
                </c:pt>
                <c:pt idx="176">
                  <c:v>17311</c:v>
                </c:pt>
                <c:pt idx="177">
                  <c:v>300</c:v>
                </c:pt>
                <c:pt idx="178">
                  <c:v>5013</c:v>
                </c:pt>
              </c:numCache>
            </c:numRef>
          </c:xVal>
          <c:yVal>
            <c:numRef>
              <c:f>Sheet1!$B$1:$B$179</c:f>
              <c:numCache>
                <c:formatCode>General</c:formatCode>
                <c:ptCount val="179"/>
                <c:pt idx="0">
                  <c:v>-2.2304106230606635</c:v>
                </c:pt>
                <c:pt idx="1">
                  <c:v>-2.8257902863386803</c:v>
                </c:pt>
                <c:pt idx="2">
                  <c:v>-1.2752730122067248</c:v>
                </c:pt>
                <c:pt idx="3">
                  <c:v>-5.8145306214827883</c:v>
                </c:pt>
                <c:pt idx="4">
                  <c:v>-3.3479272679776741</c:v>
                </c:pt>
                <c:pt idx="5">
                  <c:v>-4.0948131613823051</c:v>
                </c:pt>
                <c:pt idx="6">
                  <c:v>1.9278313432467229</c:v>
                </c:pt>
                <c:pt idx="7">
                  <c:v>-0.35475815941045141</c:v>
                </c:pt>
                <c:pt idx="8">
                  <c:v>1.1061277743371534</c:v>
                </c:pt>
                <c:pt idx="9">
                  <c:v>-1.1793339085805883</c:v>
                </c:pt>
                <c:pt idx="10">
                  <c:v>2.8340981127100662</c:v>
                </c:pt>
                <c:pt idx="11">
                  <c:v>2.1557127469516573</c:v>
                </c:pt>
                <c:pt idx="12">
                  <c:v>-1.4457929903600046</c:v>
                </c:pt>
                <c:pt idx="13">
                  <c:v>1.6687607998071314</c:v>
                </c:pt>
                <c:pt idx="14">
                  <c:v>1.2592930345062854</c:v>
                </c:pt>
                <c:pt idx="15">
                  <c:v>-3.9084728572082028</c:v>
                </c:pt>
                <c:pt idx="16">
                  <c:v>-0.16744483213894767</c:v>
                </c:pt>
                <c:pt idx="17">
                  <c:v>2.7759565272197477</c:v>
                </c:pt>
                <c:pt idx="18">
                  <c:v>1.7769579171086605</c:v>
                </c:pt>
                <c:pt idx="19">
                  <c:v>1.2056244029206127</c:v>
                </c:pt>
                <c:pt idx="20">
                  <c:v>3.5671905475412728</c:v>
                </c:pt>
                <c:pt idx="21">
                  <c:v>1.1604829154878118</c:v>
                </c:pt>
                <c:pt idx="22">
                  <c:v>-2.4804312749192263</c:v>
                </c:pt>
                <c:pt idx="23">
                  <c:v>1.349618950200842</c:v>
                </c:pt>
                <c:pt idx="24">
                  <c:v>1.6223703796786282</c:v>
                </c:pt>
                <c:pt idx="25">
                  <c:v>-1.5568532911032378</c:v>
                </c:pt>
                <c:pt idx="26">
                  <c:v>1.1588568853669514</c:v>
                </c:pt>
                <c:pt idx="27">
                  <c:v>1.1557194127745021</c:v>
                </c:pt>
                <c:pt idx="28">
                  <c:v>-0.83896538865793246</c:v>
                </c:pt>
                <c:pt idx="29">
                  <c:v>6.7498741055588098</c:v>
                </c:pt>
                <c:pt idx="30">
                  <c:v>-1.7772069313199239</c:v>
                </c:pt>
                <c:pt idx="31">
                  <c:v>-7.8760716623627047E-2</c:v>
                </c:pt>
                <c:pt idx="32">
                  <c:v>0.20310416990508173</c:v>
                </c:pt>
                <c:pt idx="33">
                  <c:v>-1.237358454787433</c:v>
                </c:pt>
                <c:pt idx="34">
                  <c:v>7.4295402559632961</c:v>
                </c:pt>
                <c:pt idx="35">
                  <c:v>2.8794107833114921</c:v>
                </c:pt>
                <c:pt idx="36">
                  <c:v>5.1765547382822632</c:v>
                </c:pt>
                <c:pt idx="37">
                  <c:v>-3.1867048910823641</c:v>
                </c:pt>
                <c:pt idx="38">
                  <c:v>-2.4929880547536314</c:v>
                </c:pt>
                <c:pt idx="39">
                  <c:v>-0.47932348073575071</c:v>
                </c:pt>
                <c:pt idx="40">
                  <c:v>0.33718295112096541</c:v>
                </c:pt>
                <c:pt idx="41">
                  <c:v>5.74676798659452</c:v>
                </c:pt>
                <c:pt idx="42">
                  <c:v>3.5363224170258079</c:v>
                </c:pt>
                <c:pt idx="43">
                  <c:v>-2.6635473942143548</c:v>
                </c:pt>
                <c:pt idx="44">
                  <c:v>0.80272821660913962</c:v>
                </c:pt>
                <c:pt idx="45">
                  <c:v>2.6841217810012665</c:v>
                </c:pt>
                <c:pt idx="46">
                  <c:v>-1.3528427510772474</c:v>
                </c:pt>
                <c:pt idx="47">
                  <c:v>2.0311048162536949</c:v>
                </c:pt>
                <c:pt idx="48">
                  <c:v>1.0445351682941322</c:v>
                </c:pt>
                <c:pt idx="49">
                  <c:v>-2.6421875728401432</c:v>
                </c:pt>
                <c:pt idx="50">
                  <c:v>-1.729669920171709</c:v>
                </c:pt>
                <c:pt idx="51">
                  <c:v>1.5794848366467704</c:v>
                </c:pt>
                <c:pt idx="52">
                  <c:v>-3.5792308776958137</c:v>
                </c:pt>
                <c:pt idx="53">
                  <c:v>5.8863449090686402</c:v>
                </c:pt>
                <c:pt idx="54">
                  <c:v>-1.8201174047345177</c:v>
                </c:pt>
                <c:pt idx="55">
                  <c:v>0.29543130520192307</c:v>
                </c:pt>
                <c:pt idx="56">
                  <c:v>0.79375703090589411</c:v>
                </c:pt>
                <c:pt idx="57">
                  <c:v>-4.0705062780562855</c:v>
                </c:pt>
                <c:pt idx="58">
                  <c:v>-2.8693371174584144</c:v>
                </c:pt>
                <c:pt idx="59">
                  <c:v>-1.9805326979542954</c:v>
                </c:pt>
                <c:pt idx="60">
                  <c:v>-3.6350481489262734</c:v>
                </c:pt>
                <c:pt idx="61">
                  <c:v>-1.3317842080124009</c:v>
                </c:pt>
                <c:pt idx="62">
                  <c:v>-1.2890810448816765</c:v>
                </c:pt>
                <c:pt idx="63">
                  <c:v>-1.9545442440556826</c:v>
                </c:pt>
                <c:pt idx="64">
                  <c:v>-3.1837646317462855</c:v>
                </c:pt>
                <c:pt idx="65">
                  <c:v>1.2123148789367519</c:v>
                </c:pt>
                <c:pt idx="66">
                  <c:v>0.89256516840969624</c:v>
                </c:pt>
                <c:pt idx="67">
                  <c:v>-0.63298947796594973</c:v>
                </c:pt>
                <c:pt idx="68">
                  <c:v>6.21840289191924</c:v>
                </c:pt>
                <c:pt idx="69">
                  <c:v>-3.2627583373640547</c:v>
                </c:pt>
                <c:pt idx="70">
                  <c:v>2.8565594092610453</c:v>
                </c:pt>
                <c:pt idx="71">
                  <c:v>-3.2591695097031916</c:v>
                </c:pt>
                <c:pt idx="72">
                  <c:v>-2.3212396846851604</c:v>
                </c:pt>
                <c:pt idx="73">
                  <c:v>1.0702276256090855</c:v>
                </c:pt>
                <c:pt idx="74">
                  <c:v>-3.4395451603671319</c:v>
                </c:pt>
                <c:pt idx="75">
                  <c:v>-3.971260686424074</c:v>
                </c:pt>
                <c:pt idx="76">
                  <c:v>5.5637750807179174</c:v>
                </c:pt>
                <c:pt idx="77">
                  <c:v>-1.2550968914064171</c:v>
                </c:pt>
                <c:pt idx="78">
                  <c:v>4.6861057229408303</c:v>
                </c:pt>
                <c:pt idx="79">
                  <c:v>5.0144692199144032</c:v>
                </c:pt>
                <c:pt idx="80">
                  <c:v>-2.4328077580580043</c:v>
                </c:pt>
                <c:pt idx="81">
                  <c:v>3.3912850690378278</c:v>
                </c:pt>
                <c:pt idx="82">
                  <c:v>1.3821993988176615</c:v>
                </c:pt>
                <c:pt idx="83">
                  <c:v>3.3531667804153926</c:v>
                </c:pt>
                <c:pt idx="84">
                  <c:v>-1.0917139707264312</c:v>
                </c:pt>
                <c:pt idx="85">
                  <c:v>0.80820385358546787</c:v>
                </c:pt>
                <c:pt idx="86">
                  <c:v>2.3634613619772438</c:v>
                </c:pt>
                <c:pt idx="87">
                  <c:v>0.70218599180596186</c:v>
                </c:pt>
                <c:pt idx="88">
                  <c:v>-3.4583977650453974</c:v>
                </c:pt>
                <c:pt idx="89">
                  <c:v>2.0567427994603023</c:v>
                </c:pt>
                <c:pt idx="90">
                  <c:v>-1.1804801980768929</c:v>
                </c:pt>
                <c:pt idx="91">
                  <c:v>-3.2295526881088037</c:v>
                </c:pt>
                <c:pt idx="92">
                  <c:v>-2.1486540529183387</c:v>
                </c:pt>
                <c:pt idx="93">
                  <c:v>-3.3626643054256391</c:v>
                </c:pt>
                <c:pt idx="94">
                  <c:v>-1.9637906690978397</c:v>
                </c:pt>
                <c:pt idx="95">
                  <c:v>-4.6163386982678247</c:v>
                </c:pt>
                <c:pt idx="96">
                  <c:v>-0.87064019964294204</c:v>
                </c:pt>
                <c:pt idx="97">
                  <c:v>2.2755317997147699</c:v>
                </c:pt>
                <c:pt idx="98">
                  <c:v>-1.5454086362198396</c:v>
                </c:pt>
                <c:pt idx="99">
                  <c:v>-0.88212383064063005</c:v>
                </c:pt>
                <c:pt idx="100">
                  <c:v>2.1922745794727803</c:v>
                </c:pt>
                <c:pt idx="101">
                  <c:v>1.3449590109611833</c:v>
                </c:pt>
                <c:pt idx="102">
                  <c:v>1.6490774542693316</c:v>
                </c:pt>
                <c:pt idx="103">
                  <c:v>3.8484819159833634</c:v>
                </c:pt>
                <c:pt idx="104">
                  <c:v>-0.86582925878177264</c:v>
                </c:pt>
                <c:pt idx="105">
                  <c:v>-2.0656722660924203</c:v>
                </c:pt>
                <c:pt idx="106">
                  <c:v>1.59989845627981</c:v>
                </c:pt>
                <c:pt idx="107">
                  <c:v>0.18795861458369956</c:v>
                </c:pt>
                <c:pt idx="108">
                  <c:v>-2.4826838631063737</c:v>
                </c:pt>
                <c:pt idx="109">
                  <c:v>-2.9775297039474964</c:v>
                </c:pt>
                <c:pt idx="110">
                  <c:v>-0.62832250720686744</c:v>
                </c:pt>
                <c:pt idx="111">
                  <c:v>2.3712428411510231</c:v>
                </c:pt>
                <c:pt idx="112">
                  <c:v>3.8004576126818677</c:v>
                </c:pt>
                <c:pt idx="113">
                  <c:v>2.9546718262207889</c:v>
                </c:pt>
                <c:pt idx="114">
                  <c:v>-0.9244174442216746</c:v>
                </c:pt>
                <c:pt idx="115">
                  <c:v>-1.1309513319879372</c:v>
                </c:pt>
                <c:pt idx="116">
                  <c:v>2.7236139688160961</c:v>
                </c:pt>
                <c:pt idx="117">
                  <c:v>3.8977118491998297</c:v>
                </c:pt>
                <c:pt idx="118">
                  <c:v>4.0134223778137823</c:v>
                </c:pt>
                <c:pt idx="119">
                  <c:v>-0.518515587238916</c:v>
                </c:pt>
                <c:pt idx="120">
                  <c:v>-0.47318038579174981</c:v>
                </c:pt>
                <c:pt idx="121">
                  <c:v>-1.1940213810124476</c:v>
                </c:pt>
                <c:pt idx="122">
                  <c:v>0.22018978593980165</c:v>
                </c:pt>
                <c:pt idx="123">
                  <c:v>-1.2282390596629043</c:v>
                </c:pt>
                <c:pt idx="124">
                  <c:v>-5.1717213375708724</c:v>
                </c:pt>
                <c:pt idx="125">
                  <c:v>6.2419948744559477</c:v>
                </c:pt>
                <c:pt idx="126">
                  <c:v>-1.8245846940971902</c:v>
                </c:pt>
                <c:pt idx="127">
                  <c:v>4.0671806998654176</c:v>
                </c:pt>
                <c:pt idx="128">
                  <c:v>3.5327742901622372</c:v>
                </c:pt>
                <c:pt idx="129">
                  <c:v>-1.7125515119743824</c:v>
                </c:pt>
                <c:pt idx="130">
                  <c:v>-1.1828167753346293</c:v>
                </c:pt>
                <c:pt idx="131">
                  <c:v>-0.69332963669434378</c:v>
                </c:pt>
                <c:pt idx="132">
                  <c:v>-2.1274594087691412</c:v>
                </c:pt>
                <c:pt idx="133">
                  <c:v>-3.3869052195260494</c:v>
                </c:pt>
                <c:pt idx="134">
                  <c:v>0.53919924700066701</c:v>
                </c:pt>
                <c:pt idx="135">
                  <c:v>-3.5952014322934431</c:v>
                </c:pt>
                <c:pt idx="136">
                  <c:v>3.8629412105149896</c:v>
                </c:pt>
                <c:pt idx="137">
                  <c:v>1.246016751524067</c:v>
                </c:pt>
                <c:pt idx="138">
                  <c:v>-2.8605357198874231</c:v>
                </c:pt>
                <c:pt idx="139">
                  <c:v>-3.1261243170708255</c:v>
                </c:pt>
                <c:pt idx="140">
                  <c:v>-1.3305816961993102</c:v>
                </c:pt>
                <c:pt idx="141">
                  <c:v>2.5311956056189473</c:v>
                </c:pt>
                <c:pt idx="142">
                  <c:v>4.486665133602628</c:v>
                </c:pt>
                <c:pt idx="143">
                  <c:v>2.0514266776508521</c:v>
                </c:pt>
                <c:pt idx="144">
                  <c:v>1.2416102009724099</c:v>
                </c:pt>
                <c:pt idx="145">
                  <c:v>0.62023647381354863</c:v>
                </c:pt>
                <c:pt idx="146">
                  <c:v>3.4107310501770058</c:v>
                </c:pt>
                <c:pt idx="147">
                  <c:v>-3.8183861152202923</c:v>
                </c:pt>
                <c:pt idx="148">
                  <c:v>-0.42740428248913531</c:v>
                </c:pt>
                <c:pt idx="149">
                  <c:v>0.1371414297805984</c:v>
                </c:pt>
                <c:pt idx="150">
                  <c:v>-3.6091469570886048</c:v>
                </c:pt>
                <c:pt idx="151">
                  <c:v>-3.0434300713189089E-2</c:v>
                </c:pt>
                <c:pt idx="152">
                  <c:v>-1.3693317171857586</c:v>
                </c:pt>
                <c:pt idx="153">
                  <c:v>-3.8289277743363641</c:v>
                </c:pt>
                <c:pt idx="154">
                  <c:v>2.7251194943646766</c:v>
                </c:pt>
                <c:pt idx="155">
                  <c:v>-1.1357391615899388</c:v>
                </c:pt>
                <c:pt idx="156">
                  <c:v>4.5284435482955345</c:v>
                </c:pt>
                <c:pt idx="157">
                  <c:v>1.3068517190684901</c:v>
                </c:pt>
                <c:pt idx="158">
                  <c:v>4.9877280230118828</c:v>
                </c:pt>
                <c:pt idx="159">
                  <c:v>-1.6005459907167037</c:v>
                </c:pt>
                <c:pt idx="160">
                  <c:v>3.8366591731711139</c:v>
                </c:pt>
                <c:pt idx="161">
                  <c:v>-0.91612441017690571</c:v>
                </c:pt>
                <c:pt idx="162">
                  <c:v>-2.0793905594634765</c:v>
                </c:pt>
                <c:pt idx="163">
                  <c:v>1.5016081546717928</c:v>
                </c:pt>
                <c:pt idx="164">
                  <c:v>-0.54782150931595908</c:v>
                </c:pt>
                <c:pt idx="165">
                  <c:v>-1.2940676895683794</c:v>
                </c:pt>
                <c:pt idx="166">
                  <c:v>1.2743782149055534</c:v>
                </c:pt>
                <c:pt idx="167">
                  <c:v>-2.5151485047259357</c:v>
                </c:pt>
                <c:pt idx="168">
                  <c:v>0.10064386608207343</c:v>
                </c:pt>
                <c:pt idx="169">
                  <c:v>-1.3601836179118578</c:v>
                </c:pt>
                <c:pt idx="170">
                  <c:v>0.19678436571016533</c:v>
                </c:pt>
                <c:pt idx="171">
                  <c:v>-4.9024283568868015</c:v>
                </c:pt>
                <c:pt idx="172">
                  <c:v>-3.8187991377266144</c:v>
                </c:pt>
                <c:pt idx="173">
                  <c:v>-2.9961743708372808</c:v>
                </c:pt>
                <c:pt idx="174">
                  <c:v>0.47672240096849805</c:v>
                </c:pt>
                <c:pt idx="175">
                  <c:v>-2.3949175248223682</c:v>
                </c:pt>
                <c:pt idx="176">
                  <c:v>-3.3026763709727689</c:v>
                </c:pt>
                <c:pt idx="177">
                  <c:v>3.7530337230266326</c:v>
                </c:pt>
                <c:pt idx="178">
                  <c:v>-3.9603209898891265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5B-48A4-A7CC-0093C362E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9310400"/>
        <c:axId val="1559311840"/>
      </c:scatterChart>
      <c:valAx>
        <c:axId val="155931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GDP_per_capita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11840"/>
        <c:crosses val="autoZero"/>
        <c:crossBetween val="midCat"/>
      </c:valAx>
      <c:valAx>
        <c:axId val="155931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1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Schooling 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Sheet1!$C$1:$C$179</c:f>
              <c:numCache>
                <c:formatCode>General</c:formatCode>
                <c:ptCount val="179"/>
                <c:pt idx="0">
                  <c:v>9.9</c:v>
                </c:pt>
                <c:pt idx="1">
                  <c:v>6.6</c:v>
                </c:pt>
                <c:pt idx="2">
                  <c:v>2.8</c:v>
                </c:pt>
                <c:pt idx="3">
                  <c:v>12.4</c:v>
                </c:pt>
                <c:pt idx="4">
                  <c:v>4.5</c:v>
                </c:pt>
                <c:pt idx="5">
                  <c:v>8</c:v>
                </c:pt>
                <c:pt idx="6">
                  <c:v>4</c:v>
                </c:pt>
                <c:pt idx="7">
                  <c:v>3.6</c:v>
                </c:pt>
                <c:pt idx="8">
                  <c:v>9</c:v>
                </c:pt>
                <c:pt idx="9">
                  <c:v>5.5</c:v>
                </c:pt>
                <c:pt idx="10">
                  <c:v>4.7</c:v>
                </c:pt>
                <c:pt idx="11">
                  <c:v>9.1</c:v>
                </c:pt>
                <c:pt idx="12">
                  <c:v>1</c:v>
                </c:pt>
                <c:pt idx="13">
                  <c:v>7.3</c:v>
                </c:pt>
                <c:pt idx="14">
                  <c:v>10.7</c:v>
                </c:pt>
                <c:pt idx="15">
                  <c:v>5.9</c:v>
                </c:pt>
                <c:pt idx="16">
                  <c:v>8</c:v>
                </c:pt>
                <c:pt idx="17">
                  <c:v>7.5</c:v>
                </c:pt>
                <c:pt idx="18">
                  <c:v>2.2000000000000002</c:v>
                </c:pt>
                <c:pt idx="19">
                  <c:v>7.9</c:v>
                </c:pt>
                <c:pt idx="20">
                  <c:v>12.2</c:v>
                </c:pt>
                <c:pt idx="21">
                  <c:v>8.3000000000000007</c:v>
                </c:pt>
                <c:pt idx="22">
                  <c:v>5.2</c:v>
                </c:pt>
                <c:pt idx="23">
                  <c:v>8.6999999999999993</c:v>
                </c:pt>
                <c:pt idx="24">
                  <c:v>4.3</c:v>
                </c:pt>
                <c:pt idx="25">
                  <c:v>6</c:v>
                </c:pt>
                <c:pt idx="26">
                  <c:v>4.4000000000000004</c:v>
                </c:pt>
                <c:pt idx="27">
                  <c:v>10.9</c:v>
                </c:pt>
                <c:pt idx="28">
                  <c:v>5.3</c:v>
                </c:pt>
                <c:pt idx="29">
                  <c:v>8</c:v>
                </c:pt>
                <c:pt idx="30">
                  <c:v>4.8</c:v>
                </c:pt>
                <c:pt idx="31">
                  <c:v>5.5</c:v>
                </c:pt>
                <c:pt idx="32">
                  <c:v>8.5</c:v>
                </c:pt>
                <c:pt idx="33">
                  <c:v>9.1</c:v>
                </c:pt>
                <c:pt idx="34">
                  <c:v>9.5</c:v>
                </c:pt>
                <c:pt idx="35">
                  <c:v>10.9</c:v>
                </c:pt>
                <c:pt idx="36">
                  <c:v>6.5</c:v>
                </c:pt>
                <c:pt idx="37">
                  <c:v>6.6</c:v>
                </c:pt>
                <c:pt idx="38">
                  <c:v>5.8</c:v>
                </c:pt>
                <c:pt idx="39">
                  <c:v>1.9</c:v>
                </c:pt>
                <c:pt idx="40">
                  <c:v>9.5</c:v>
                </c:pt>
                <c:pt idx="41">
                  <c:v>13.3</c:v>
                </c:pt>
                <c:pt idx="42">
                  <c:v>3.4</c:v>
                </c:pt>
                <c:pt idx="43">
                  <c:v>5.2</c:v>
                </c:pt>
                <c:pt idx="44">
                  <c:v>12.9</c:v>
                </c:pt>
                <c:pt idx="45">
                  <c:v>11.5</c:v>
                </c:pt>
                <c:pt idx="46">
                  <c:v>8.1999999999999993</c:v>
                </c:pt>
                <c:pt idx="47">
                  <c:v>14.4</c:v>
                </c:pt>
                <c:pt idx="48">
                  <c:v>7.4</c:v>
                </c:pt>
                <c:pt idx="49">
                  <c:v>10.7</c:v>
                </c:pt>
                <c:pt idx="50">
                  <c:v>10.199999999999999</c:v>
                </c:pt>
                <c:pt idx="51">
                  <c:v>9.6</c:v>
                </c:pt>
                <c:pt idx="52">
                  <c:v>11.9</c:v>
                </c:pt>
                <c:pt idx="53">
                  <c:v>8.3000000000000007</c:v>
                </c:pt>
                <c:pt idx="54">
                  <c:v>11.5</c:v>
                </c:pt>
                <c:pt idx="55">
                  <c:v>8.1999999999999993</c:v>
                </c:pt>
                <c:pt idx="56">
                  <c:v>9.1999999999999993</c:v>
                </c:pt>
                <c:pt idx="57">
                  <c:v>6.6</c:v>
                </c:pt>
                <c:pt idx="58">
                  <c:v>8.9</c:v>
                </c:pt>
                <c:pt idx="59">
                  <c:v>7.9</c:v>
                </c:pt>
                <c:pt idx="60">
                  <c:v>7.7</c:v>
                </c:pt>
                <c:pt idx="61">
                  <c:v>8.3000000000000007</c:v>
                </c:pt>
                <c:pt idx="62">
                  <c:v>14.5</c:v>
                </c:pt>
                <c:pt idx="63">
                  <c:v>5.5</c:v>
                </c:pt>
                <c:pt idx="64">
                  <c:v>9</c:v>
                </c:pt>
                <c:pt idx="65">
                  <c:v>4</c:v>
                </c:pt>
                <c:pt idx="66">
                  <c:v>7.7</c:v>
                </c:pt>
                <c:pt idx="67">
                  <c:v>6.6</c:v>
                </c:pt>
                <c:pt idx="68">
                  <c:v>10.1</c:v>
                </c:pt>
                <c:pt idx="69">
                  <c:v>12.7</c:v>
                </c:pt>
                <c:pt idx="70">
                  <c:v>7.3</c:v>
                </c:pt>
                <c:pt idx="71">
                  <c:v>11.2</c:v>
                </c:pt>
                <c:pt idx="72">
                  <c:v>12.5</c:v>
                </c:pt>
                <c:pt idx="73">
                  <c:v>9.1999999999999993</c:v>
                </c:pt>
                <c:pt idx="74">
                  <c:v>9.1</c:v>
                </c:pt>
                <c:pt idx="75">
                  <c:v>5</c:v>
                </c:pt>
                <c:pt idx="76">
                  <c:v>6.3</c:v>
                </c:pt>
                <c:pt idx="77">
                  <c:v>7.7</c:v>
                </c:pt>
                <c:pt idx="78">
                  <c:v>7.2</c:v>
                </c:pt>
                <c:pt idx="79">
                  <c:v>9.6999999999999993</c:v>
                </c:pt>
                <c:pt idx="80">
                  <c:v>3.2</c:v>
                </c:pt>
                <c:pt idx="81">
                  <c:v>13.1</c:v>
                </c:pt>
                <c:pt idx="82">
                  <c:v>12.6</c:v>
                </c:pt>
                <c:pt idx="83">
                  <c:v>10.8</c:v>
                </c:pt>
                <c:pt idx="84">
                  <c:v>6.2</c:v>
                </c:pt>
                <c:pt idx="85">
                  <c:v>7.3</c:v>
                </c:pt>
                <c:pt idx="86">
                  <c:v>8.3000000000000007</c:v>
                </c:pt>
                <c:pt idx="87">
                  <c:v>5.7</c:v>
                </c:pt>
                <c:pt idx="88">
                  <c:v>9.9</c:v>
                </c:pt>
                <c:pt idx="89">
                  <c:v>5.4</c:v>
                </c:pt>
                <c:pt idx="90">
                  <c:v>9.6</c:v>
                </c:pt>
                <c:pt idx="91">
                  <c:v>9.1</c:v>
                </c:pt>
                <c:pt idx="92">
                  <c:v>9</c:v>
                </c:pt>
                <c:pt idx="93">
                  <c:v>8.9</c:v>
                </c:pt>
                <c:pt idx="94">
                  <c:v>1.9</c:v>
                </c:pt>
                <c:pt idx="95">
                  <c:v>9</c:v>
                </c:pt>
                <c:pt idx="96">
                  <c:v>3.6</c:v>
                </c:pt>
                <c:pt idx="97">
                  <c:v>8.5</c:v>
                </c:pt>
                <c:pt idx="98">
                  <c:v>8.1999999999999993</c:v>
                </c:pt>
                <c:pt idx="99">
                  <c:v>7.2</c:v>
                </c:pt>
                <c:pt idx="100">
                  <c:v>10.6</c:v>
                </c:pt>
                <c:pt idx="101">
                  <c:v>2.7</c:v>
                </c:pt>
                <c:pt idx="102">
                  <c:v>15</c:v>
                </c:pt>
                <c:pt idx="103">
                  <c:v>5.6</c:v>
                </c:pt>
                <c:pt idx="104">
                  <c:v>5</c:v>
                </c:pt>
                <c:pt idx="105">
                  <c:v>7.5</c:v>
                </c:pt>
                <c:pt idx="106">
                  <c:v>4.0999999999999996</c:v>
                </c:pt>
                <c:pt idx="107">
                  <c:v>7.3</c:v>
                </c:pt>
                <c:pt idx="108">
                  <c:v>13.5</c:v>
                </c:pt>
                <c:pt idx="109">
                  <c:v>8</c:v>
                </c:pt>
                <c:pt idx="110">
                  <c:v>7.9</c:v>
                </c:pt>
                <c:pt idx="111">
                  <c:v>1</c:v>
                </c:pt>
                <c:pt idx="112">
                  <c:v>3.8</c:v>
                </c:pt>
                <c:pt idx="113">
                  <c:v>10.199999999999999</c:v>
                </c:pt>
                <c:pt idx="114">
                  <c:v>7.3</c:v>
                </c:pt>
                <c:pt idx="115">
                  <c:v>4.8</c:v>
                </c:pt>
                <c:pt idx="116">
                  <c:v>10.8</c:v>
                </c:pt>
                <c:pt idx="117">
                  <c:v>3.3</c:v>
                </c:pt>
                <c:pt idx="118">
                  <c:v>8.6</c:v>
                </c:pt>
                <c:pt idx="119">
                  <c:v>8.3000000000000007</c:v>
                </c:pt>
                <c:pt idx="120">
                  <c:v>4</c:v>
                </c:pt>
                <c:pt idx="121">
                  <c:v>6.4</c:v>
                </c:pt>
                <c:pt idx="122">
                  <c:v>11.1</c:v>
                </c:pt>
                <c:pt idx="123">
                  <c:v>2.5</c:v>
                </c:pt>
                <c:pt idx="124">
                  <c:v>8.6</c:v>
                </c:pt>
                <c:pt idx="125">
                  <c:v>5.0999999999999996</c:v>
                </c:pt>
                <c:pt idx="126">
                  <c:v>5.4</c:v>
                </c:pt>
                <c:pt idx="127">
                  <c:v>11.4</c:v>
                </c:pt>
                <c:pt idx="128">
                  <c:v>10.1</c:v>
                </c:pt>
                <c:pt idx="129">
                  <c:v>5.8</c:v>
                </c:pt>
                <c:pt idx="130">
                  <c:v>9.1</c:v>
                </c:pt>
                <c:pt idx="131">
                  <c:v>7.8</c:v>
                </c:pt>
                <c:pt idx="132">
                  <c:v>4.8</c:v>
                </c:pt>
                <c:pt idx="133">
                  <c:v>10.8</c:v>
                </c:pt>
                <c:pt idx="134">
                  <c:v>8.6999999999999993</c:v>
                </c:pt>
                <c:pt idx="135">
                  <c:v>12.3</c:v>
                </c:pt>
                <c:pt idx="136">
                  <c:v>8.1999999999999993</c:v>
                </c:pt>
                <c:pt idx="137">
                  <c:v>6.7</c:v>
                </c:pt>
                <c:pt idx="138">
                  <c:v>4</c:v>
                </c:pt>
                <c:pt idx="139">
                  <c:v>12.7</c:v>
                </c:pt>
                <c:pt idx="140">
                  <c:v>4.5999999999999996</c:v>
                </c:pt>
                <c:pt idx="141">
                  <c:v>6.1</c:v>
                </c:pt>
                <c:pt idx="142">
                  <c:v>12.3</c:v>
                </c:pt>
                <c:pt idx="143">
                  <c:v>8.6</c:v>
                </c:pt>
                <c:pt idx="144">
                  <c:v>8.9</c:v>
                </c:pt>
                <c:pt idx="145">
                  <c:v>3.9</c:v>
                </c:pt>
                <c:pt idx="146">
                  <c:v>8</c:v>
                </c:pt>
                <c:pt idx="147">
                  <c:v>10</c:v>
                </c:pt>
                <c:pt idx="148">
                  <c:v>10.5</c:v>
                </c:pt>
                <c:pt idx="149">
                  <c:v>7.5</c:v>
                </c:pt>
                <c:pt idx="150">
                  <c:v>8.1</c:v>
                </c:pt>
                <c:pt idx="151">
                  <c:v>9.9</c:v>
                </c:pt>
                <c:pt idx="152">
                  <c:v>7.7</c:v>
                </c:pt>
                <c:pt idx="153">
                  <c:v>11.2</c:v>
                </c:pt>
                <c:pt idx="154">
                  <c:v>6.3</c:v>
                </c:pt>
                <c:pt idx="155">
                  <c:v>3.7</c:v>
                </c:pt>
                <c:pt idx="156">
                  <c:v>8.6999999999999993</c:v>
                </c:pt>
                <c:pt idx="157">
                  <c:v>13.5</c:v>
                </c:pt>
                <c:pt idx="158">
                  <c:v>7.3</c:v>
                </c:pt>
                <c:pt idx="159">
                  <c:v>9</c:v>
                </c:pt>
                <c:pt idx="160">
                  <c:v>8.6</c:v>
                </c:pt>
                <c:pt idx="161">
                  <c:v>7.9</c:v>
                </c:pt>
                <c:pt idx="162">
                  <c:v>6.7</c:v>
                </c:pt>
                <c:pt idx="163">
                  <c:v>10.4</c:v>
                </c:pt>
                <c:pt idx="164">
                  <c:v>12.5</c:v>
                </c:pt>
                <c:pt idx="165">
                  <c:v>7.3</c:v>
                </c:pt>
                <c:pt idx="166">
                  <c:v>6.3</c:v>
                </c:pt>
                <c:pt idx="167">
                  <c:v>10.1</c:v>
                </c:pt>
                <c:pt idx="168">
                  <c:v>12</c:v>
                </c:pt>
                <c:pt idx="169">
                  <c:v>6</c:v>
                </c:pt>
                <c:pt idx="170">
                  <c:v>7.9</c:v>
                </c:pt>
                <c:pt idx="171">
                  <c:v>9.8000000000000007</c:v>
                </c:pt>
                <c:pt idx="172">
                  <c:v>6.6</c:v>
                </c:pt>
                <c:pt idx="173">
                  <c:v>13.1</c:v>
                </c:pt>
                <c:pt idx="174">
                  <c:v>10</c:v>
                </c:pt>
                <c:pt idx="175">
                  <c:v>9.5</c:v>
                </c:pt>
                <c:pt idx="176">
                  <c:v>9.6</c:v>
                </c:pt>
                <c:pt idx="177">
                  <c:v>6.9</c:v>
                </c:pt>
                <c:pt idx="178">
                  <c:v>7.9</c:v>
                </c:pt>
              </c:numCache>
            </c:numRef>
          </c:xVal>
          <c:yVal>
            <c:numRef>
              <c:f>Sheet1!$D$1:$D$179</c:f>
              <c:numCache>
                <c:formatCode>General</c:formatCode>
                <c:ptCount val="179"/>
                <c:pt idx="0">
                  <c:v>-2.2304106230606635</c:v>
                </c:pt>
                <c:pt idx="1">
                  <c:v>-2.8257902863386803</c:v>
                </c:pt>
                <c:pt idx="2">
                  <c:v>-1.2752730122067248</c:v>
                </c:pt>
                <c:pt idx="3">
                  <c:v>-5.8145306214827883</c:v>
                </c:pt>
                <c:pt idx="4">
                  <c:v>-3.3479272679776741</c:v>
                </c:pt>
                <c:pt idx="5">
                  <c:v>-4.0948131613823051</c:v>
                </c:pt>
                <c:pt idx="6">
                  <c:v>1.9278313432467229</c:v>
                </c:pt>
                <c:pt idx="7">
                  <c:v>-0.35475815941045141</c:v>
                </c:pt>
                <c:pt idx="8">
                  <c:v>1.1061277743371534</c:v>
                </c:pt>
                <c:pt idx="9">
                  <c:v>-1.1793339085805883</c:v>
                </c:pt>
                <c:pt idx="10">
                  <c:v>2.8340981127100662</c:v>
                </c:pt>
                <c:pt idx="11">
                  <c:v>2.1557127469516573</c:v>
                </c:pt>
                <c:pt idx="12">
                  <c:v>-1.4457929903600046</c:v>
                </c:pt>
                <c:pt idx="13">
                  <c:v>1.6687607998071314</c:v>
                </c:pt>
                <c:pt idx="14">
                  <c:v>1.2592930345062854</c:v>
                </c:pt>
                <c:pt idx="15">
                  <c:v>-3.9084728572082028</c:v>
                </c:pt>
                <c:pt idx="16">
                  <c:v>-0.16744483213894767</c:v>
                </c:pt>
                <c:pt idx="17">
                  <c:v>2.7759565272197477</c:v>
                </c:pt>
                <c:pt idx="18">
                  <c:v>1.7769579171086605</c:v>
                </c:pt>
                <c:pt idx="19">
                  <c:v>1.2056244029206127</c:v>
                </c:pt>
                <c:pt idx="20">
                  <c:v>3.5671905475412728</c:v>
                </c:pt>
                <c:pt idx="21">
                  <c:v>1.1604829154878118</c:v>
                </c:pt>
                <c:pt idx="22">
                  <c:v>-2.4804312749192263</c:v>
                </c:pt>
                <c:pt idx="23">
                  <c:v>1.349618950200842</c:v>
                </c:pt>
                <c:pt idx="24">
                  <c:v>1.6223703796786282</c:v>
                </c:pt>
                <c:pt idx="25">
                  <c:v>-1.5568532911032378</c:v>
                </c:pt>
                <c:pt idx="26">
                  <c:v>1.1588568853669514</c:v>
                </c:pt>
                <c:pt idx="27">
                  <c:v>1.1557194127745021</c:v>
                </c:pt>
                <c:pt idx="28">
                  <c:v>-0.83896538865793246</c:v>
                </c:pt>
                <c:pt idx="29">
                  <c:v>6.7498741055588098</c:v>
                </c:pt>
                <c:pt idx="30">
                  <c:v>-1.7772069313199239</c:v>
                </c:pt>
                <c:pt idx="31">
                  <c:v>-7.8760716623627047E-2</c:v>
                </c:pt>
                <c:pt idx="32">
                  <c:v>0.20310416990508173</c:v>
                </c:pt>
                <c:pt idx="33">
                  <c:v>-1.237358454787433</c:v>
                </c:pt>
                <c:pt idx="34">
                  <c:v>7.4295402559632961</c:v>
                </c:pt>
                <c:pt idx="35">
                  <c:v>2.8794107833114921</c:v>
                </c:pt>
                <c:pt idx="36">
                  <c:v>5.1765547382822632</c:v>
                </c:pt>
                <c:pt idx="37">
                  <c:v>-3.1867048910823641</c:v>
                </c:pt>
                <c:pt idx="38">
                  <c:v>-2.4929880547536314</c:v>
                </c:pt>
                <c:pt idx="39">
                  <c:v>-0.47932348073575071</c:v>
                </c:pt>
                <c:pt idx="40">
                  <c:v>0.33718295112096541</c:v>
                </c:pt>
                <c:pt idx="41">
                  <c:v>5.74676798659452</c:v>
                </c:pt>
                <c:pt idx="42">
                  <c:v>3.5363224170258079</c:v>
                </c:pt>
                <c:pt idx="43">
                  <c:v>-2.6635473942143548</c:v>
                </c:pt>
                <c:pt idx="44">
                  <c:v>0.80272821660913962</c:v>
                </c:pt>
                <c:pt idx="45">
                  <c:v>2.6841217810012665</c:v>
                </c:pt>
                <c:pt idx="46">
                  <c:v>-1.3528427510772474</c:v>
                </c:pt>
                <c:pt idx="47">
                  <c:v>2.0311048162536949</c:v>
                </c:pt>
                <c:pt idx="48">
                  <c:v>1.0445351682941322</c:v>
                </c:pt>
                <c:pt idx="49">
                  <c:v>-2.6421875728401432</c:v>
                </c:pt>
                <c:pt idx="50">
                  <c:v>-1.729669920171709</c:v>
                </c:pt>
                <c:pt idx="51">
                  <c:v>1.5794848366467704</c:v>
                </c:pt>
                <c:pt idx="52">
                  <c:v>-3.5792308776958137</c:v>
                </c:pt>
                <c:pt idx="53">
                  <c:v>5.8863449090686402</c:v>
                </c:pt>
                <c:pt idx="54">
                  <c:v>-1.8201174047345177</c:v>
                </c:pt>
                <c:pt idx="55">
                  <c:v>0.29543130520192307</c:v>
                </c:pt>
                <c:pt idx="56">
                  <c:v>0.79375703090589411</c:v>
                </c:pt>
                <c:pt idx="57">
                  <c:v>-4.0705062780562855</c:v>
                </c:pt>
                <c:pt idx="58">
                  <c:v>-2.8693371174584144</c:v>
                </c:pt>
                <c:pt idx="59">
                  <c:v>-1.9805326979542954</c:v>
                </c:pt>
                <c:pt idx="60">
                  <c:v>-3.6350481489262734</c:v>
                </c:pt>
                <c:pt idx="61">
                  <c:v>-1.3317842080124009</c:v>
                </c:pt>
                <c:pt idx="62">
                  <c:v>-1.2890810448816765</c:v>
                </c:pt>
                <c:pt idx="63">
                  <c:v>-1.9545442440556826</c:v>
                </c:pt>
                <c:pt idx="64">
                  <c:v>-3.1837646317462855</c:v>
                </c:pt>
                <c:pt idx="65">
                  <c:v>1.2123148789367519</c:v>
                </c:pt>
                <c:pt idx="66">
                  <c:v>0.89256516840969624</c:v>
                </c:pt>
                <c:pt idx="67">
                  <c:v>-0.63298947796594973</c:v>
                </c:pt>
                <c:pt idx="68">
                  <c:v>6.21840289191924</c:v>
                </c:pt>
                <c:pt idx="69">
                  <c:v>-3.2627583373640547</c:v>
                </c:pt>
                <c:pt idx="70">
                  <c:v>2.8565594092610453</c:v>
                </c:pt>
                <c:pt idx="71">
                  <c:v>-3.2591695097031916</c:v>
                </c:pt>
                <c:pt idx="72">
                  <c:v>-2.3212396846851604</c:v>
                </c:pt>
                <c:pt idx="73">
                  <c:v>1.0702276256090855</c:v>
                </c:pt>
                <c:pt idx="74">
                  <c:v>-3.4395451603671319</c:v>
                </c:pt>
                <c:pt idx="75">
                  <c:v>-3.971260686424074</c:v>
                </c:pt>
                <c:pt idx="76">
                  <c:v>5.5637750807179174</c:v>
                </c:pt>
                <c:pt idx="77">
                  <c:v>-1.2550968914064171</c:v>
                </c:pt>
                <c:pt idx="78">
                  <c:v>4.6861057229408303</c:v>
                </c:pt>
                <c:pt idx="79">
                  <c:v>5.0144692199144032</c:v>
                </c:pt>
                <c:pt idx="80">
                  <c:v>-2.4328077580580043</c:v>
                </c:pt>
                <c:pt idx="81">
                  <c:v>3.3912850690378278</c:v>
                </c:pt>
                <c:pt idx="82">
                  <c:v>1.3821993988176615</c:v>
                </c:pt>
                <c:pt idx="83">
                  <c:v>3.3531667804153926</c:v>
                </c:pt>
                <c:pt idx="84">
                  <c:v>-1.0917139707264312</c:v>
                </c:pt>
                <c:pt idx="85">
                  <c:v>0.80820385358546787</c:v>
                </c:pt>
                <c:pt idx="86">
                  <c:v>2.3634613619772438</c:v>
                </c:pt>
                <c:pt idx="87">
                  <c:v>0.70218599180596186</c:v>
                </c:pt>
                <c:pt idx="88">
                  <c:v>-3.4583977650453974</c:v>
                </c:pt>
                <c:pt idx="89">
                  <c:v>2.0567427994603023</c:v>
                </c:pt>
                <c:pt idx="90">
                  <c:v>-1.1804801980768929</c:v>
                </c:pt>
                <c:pt idx="91">
                  <c:v>-3.2295526881088037</c:v>
                </c:pt>
                <c:pt idx="92">
                  <c:v>-2.1486540529183387</c:v>
                </c:pt>
                <c:pt idx="93">
                  <c:v>-3.3626643054256391</c:v>
                </c:pt>
                <c:pt idx="94">
                  <c:v>-1.9637906690978397</c:v>
                </c:pt>
                <c:pt idx="95">
                  <c:v>-4.6163386982678247</c:v>
                </c:pt>
                <c:pt idx="96">
                  <c:v>-0.87064019964294204</c:v>
                </c:pt>
                <c:pt idx="97">
                  <c:v>2.2755317997147699</c:v>
                </c:pt>
                <c:pt idx="98">
                  <c:v>-1.5454086362198396</c:v>
                </c:pt>
                <c:pt idx="99">
                  <c:v>-0.88212383064063005</c:v>
                </c:pt>
                <c:pt idx="100">
                  <c:v>2.1922745794727803</c:v>
                </c:pt>
                <c:pt idx="101">
                  <c:v>1.3449590109611833</c:v>
                </c:pt>
                <c:pt idx="102">
                  <c:v>1.6490774542693316</c:v>
                </c:pt>
                <c:pt idx="103">
                  <c:v>3.8484819159833634</c:v>
                </c:pt>
                <c:pt idx="104">
                  <c:v>-0.86582925878177264</c:v>
                </c:pt>
                <c:pt idx="105">
                  <c:v>-2.0656722660924203</c:v>
                </c:pt>
                <c:pt idx="106">
                  <c:v>1.59989845627981</c:v>
                </c:pt>
                <c:pt idx="107">
                  <c:v>0.18795861458369956</c:v>
                </c:pt>
                <c:pt idx="108">
                  <c:v>-2.4826838631063737</c:v>
                </c:pt>
                <c:pt idx="109">
                  <c:v>-2.9775297039474964</c:v>
                </c:pt>
                <c:pt idx="110">
                  <c:v>-0.62832250720686744</c:v>
                </c:pt>
                <c:pt idx="111">
                  <c:v>2.3712428411510231</c:v>
                </c:pt>
                <c:pt idx="112">
                  <c:v>3.8004576126818677</c:v>
                </c:pt>
                <c:pt idx="113">
                  <c:v>2.9546718262207889</c:v>
                </c:pt>
                <c:pt idx="114">
                  <c:v>-0.9244174442216746</c:v>
                </c:pt>
                <c:pt idx="115">
                  <c:v>-1.1309513319879372</c:v>
                </c:pt>
                <c:pt idx="116">
                  <c:v>2.7236139688160961</c:v>
                </c:pt>
                <c:pt idx="117">
                  <c:v>3.8977118491998297</c:v>
                </c:pt>
                <c:pt idx="118">
                  <c:v>4.0134223778137823</c:v>
                </c:pt>
                <c:pt idx="119">
                  <c:v>-0.518515587238916</c:v>
                </c:pt>
                <c:pt idx="120">
                  <c:v>-0.47318038579174981</c:v>
                </c:pt>
                <c:pt idx="121">
                  <c:v>-1.1940213810124476</c:v>
                </c:pt>
                <c:pt idx="122">
                  <c:v>0.22018978593980165</c:v>
                </c:pt>
                <c:pt idx="123">
                  <c:v>-1.2282390596629043</c:v>
                </c:pt>
                <c:pt idx="124">
                  <c:v>-5.1717213375708724</c:v>
                </c:pt>
                <c:pt idx="125">
                  <c:v>6.2419948744559477</c:v>
                </c:pt>
                <c:pt idx="126">
                  <c:v>-1.8245846940971902</c:v>
                </c:pt>
                <c:pt idx="127">
                  <c:v>4.0671806998654176</c:v>
                </c:pt>
                <c:pt idx="128">
                  <c:v>3.5327742901622372</c:v>
                </c:pt>
                <c:pt idx="129">
                  <c:v>-1.7125515119743824</c:v>
                </c:pt>
                <c:pt idx="130">
                  <c:v>-1.1828167753346293</c:v>
                </c:pt>
                <c:pt idx="131">
                  <c:v>-0.69332963669434378</c:v>
                </c:pt>
                <c:pt idx="132">
                  <c:v>-2.1274594087691412</c:v>
                </c:pt>
                <c:pt idx="133">
                  <c:v>-3.3869052195260494</c:v>
                </c:pt>
                <c:pt idx="134">
                  <c:v>0.53919924700066701</c:v>
                </c:pt>
                <c:pt idx="135">
                  <c:v>-3.5952014322934431</c:v>
                </c:pt>
                <c:pt idx="136">
                  <c:v>3.8629412105149896</c:v>
                </c:pt>
                <c:pt idx="137">
                  <c:v>1.246016751524067</c:v>
                </c:pt>
                <c:pt idx="138">
                  <c:v>-2.8605357198874231</c:v>
                </c:pt>
                <c:pt idx="139">
                  <c:v>-3.1261243170708255</c:v>
                </c:pt>
                <c:pt idx="140">
                  <c:v>-1.3305816961993102</c:v>
                </c:pt>
                <c:pt idx="141">
                  <c:v>2.5311956056189473</c:v>
                </c:pt>
                <c:pt idx="142">
                  <c:v>4.486665133602628</c:v>
                </c:pt>
                <c:pt idx="143">
                  <c:v>2.0514266776508521</c:v>
                </c:pt>
                <c:pt idx="144">
                  <c:v>1.2416102009724099</c:v>
                </c:pt>
                <c:pt idx="145">
                  <c:v>0.62023647381354863</c:v>
                </c:pt>
                <c:pt idx="146">
                  <c:v>3.4107310501770058</c:v>
                </c:pt>
                <c:pt idx="147">
                  <c:v>-3.8183861152202923</c:v>
                </c:pt>
                <c:pt idx="148">
                  <c:v>-0.42740428248913531</c:v>
                </c:pt>
                <c:pt idx="149">
                  <c:v>0.1371414297805984</c:v>
                </c:pt>
                <c:pt idx="150">
                  <c:v>-3.6091469570886048</c:v>
                </c:pt>
                <c:pt idx="151">
                  <c:v>-3.0434300713189089E-2</c:v>
                </c:pt>
                <c:pt idx="152">
                  <c:v>-1.3693317171857586</c:v>
                </c:pt>
                <c:pt idx="153">
                  <c:v>-3.8289277743363641</c:v>
                </c:pt>
                <c:pt idx="154">
                  <c:v>2.7251194943646766</c:v>
                </c:pt>
                <c:pt idx="155">
                  <c:v>-1.1357391615899388</c:v>
                </c:pt>
                <c:pt idx="156">
                  <c:v>4.5284435482955345</c:v>
                </c:pt>
                <c:pt idx="157">
                  <c:v>1.3068517190684901</c:v>
                </c:pt>
                <c:pt idx="158">
                  <c:v>4.9877280230118828</c:v>
                </c:pt>
                <c:pt idx="159">
                  <c:v>-1.6005459907167037</c:v>
                </c:pt>
                <c:pt idx="160">
                  <c:v>3.8366591731711139</c:v>
                </c:pt>
                <c:pt idx="161">
                  <c:v>-0.91612441017690571</c:v>
                </c:pt>
                <c:pt idx="162">
                  <c:v>-2.0793905594634765</c:v>
                </c:pt>
                <c:pt idx="163">
                  <c:v>1.5016081546717928</c:v>
                </c:pt>
                <c:pt idx="164">
                  <c:v>-0.54782150931595908</c:v>
                </c:pt>
                <c:pt idx="165">
                  <c:v>-1.2940676895683794</c:v>
                </c:pt>
                <c:pt idx="166">
                  <c:v>1.2743782149055534</c:v>
                </c:pt>
                <c:pt idx="167">
                  <c:v>-2.5151485047259357</c:v>
                </c:pt>
                <c:pt idx="168">
                  <c:v>0.10064386608207343</c:v>
                </c:pt>
                <c:pt idx="169">
                  <c:v>-1.3601836179118578</c:v>
                </c:pt>
                <c:pt idx="170">
                  <c:v>0.19678436571016533</c:v>
                </c:pt>
                <c:pt idx="171">
                  <c:v>-4.9024283568868015</c:v>
                </c:pt>
                <c:pt idx="172">
                  <c:v>-3.8187991377266144</c:v>
                </c:pt>
                <c:pt idx="173">
                  <c:v>-2.9961743708372808</c:v>
                </c:pt>
                <c:pt idx="174">
                  <c:v>0.47672240096849805</c:v>
                </c:pt>
                <c:pt idx="175">
                  <c:v>-2.3949175248223682</c:v>
                </c:pt>
                <c:pt idx="176">
                  <c:v>-3.3026763709727689</c:v>
                </c:pt>
                <c:pt idx="177">
                  <c:v>3.7530337230266326</c:v>
                </c:pt>
                <c:pt idx="178">
                  <c:v>-3.9603209898891265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FC-44BD-8222-D8E5F823F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0563151"/>
        <c:axId val="1130563631"/>
      </c:scatterChart>
      <c:valAx>
        <c:axId val="1130563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Schooling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563631"/>
        <c:crosses val="autoZero"/>
        <c:crossBetween val="midCat"/>
      </c:valAx>
      <c:valAx>
        <c:axId val="113056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563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BMI 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Sheet1!$E$1:$E$179</c:f>
              <c:numCache>
                <c:formatCode>General</c:formatCode>
                <c:ptCount val="179"/>
                <c:pt idx="0">
                  <c:v>29.6</c:v>
                </c:pt>
                <c:pt idx="1">
                  <c:v>26.6</c:v>
                </c:pt>
                <c:pt idx="2">
                  <c:v>23.3</c:v>
                </c:pt>
                <c:pt idx="3">
                  <c:v>24.3</c:v>
                </c:pt>
                <c:pt idx="4">
                  <c:v>26.1</c:v>
                </c:pt>
                <c:pt idx="5">
                  <c:v>21.8</c:v>
                </c:pt>
                <c:pt idx="6">
                  <c:v>25.6</c:v>
                </c:pt>
                <c:pt idx="7">
                  <c:v>22.8</c:v>
                </c:pt>
                <c:pt idx="8">
                  <c:v>23.8</c:v>
                </c:pt>
                <c:pt idx="9">
                  <c:v>24.1</c:v>
                </c:pt>
                <c:pt idx="10">
                  <c:v>21.4</c:v>
                </c:pt>
                <c:pt idx="11">
                  <c:v>23.1</c:v>
                </c:pt>
                <c:pt idx="12">
                  <c:v>27.5</c:v>
                </c:pt>
                <c:pt idx="13">
                  <c:v>26.1</c:v>
                </c:pt>
                <c:pt idx="14">
                  <c:v>26</c:v>
                </c:pt>
                <c:pt idx="15">
                  <c:v>24</c:v>
                </c:pt>
                <c:pt idx="16">
                  <c:v>24.3</c:v>
                </c:pt>
                <c:pt idx="17">
                  <c:v>26.2</c:v>
                </c:pt>
                <c:pt idx="18">
                  <c:v>24.9</c:v>
                </c:pt>
                <c:pt idx="19">
                  <c:v>21.5</c:v>
                </c:pt>
                <c:pt idx="20">
                  <c:v>20.8</c:v>
                </c:pt>
                <c:pt idx="21">
                  <c:v>23.5</c:v>
                </c:pt>
                <c:pt idx="22">
                  <c:v>29.6</c:v>
                </c:pt>
                <c:pt idx="23">
                  <c:v>28.9</c:v>
                </c:pt>
                <c:pt idx="24">
                  <c:v>21</c:v>
                </c:pt>
                <c:pt idx="25">
                  <c:v>25.7</c:v>
                </c:pt>
                <c:pt idx="26">
                  <c:v>27</c:v>
                </c:pt>
                <c:pt idx="27">
                  <c:v>26.2</c:v>
                </c:pt>
                <c:pt idx="28">
                  <c:v>22.6</c:v>
                </c:pt>
                <c:pt idx="29">
                  <c:v>29.4</c:v>
                </c:pt>
                <c:pt idx="30">
                  <c:v>26.4</c:v>
                </c:pt>
                <c:pt idx="31">
                  <c:v>20.5</c:v>
                </c:pt>
                <c:pt idx="32">
                  <c:v>26.2</c:v>
                </c:pt>
                <c:pt idx="33">
                  <c:v>26.7</c:v>
                </c:pt>
                <c:pt idx="34">
                  <c:v>26.5</c:v>
                </c:pt>
                <c:pt idx="35">
                  <c:v>27</c:v>
                </c:pt>
                <c:pt idx="36">
                  <c:v>25.2</c:v>
                </c:pt>
                <c:pt idx="37">
                  <c:v>28.3</c:v>
                </c:pt>
                <c:pt idx="38">
                  <c:v>25.6</c:v>
                </c:pt>
                <c:pt idx="39">
                  <c:v>25.6</c:v>
                </c:pt>
                <c:pt idx="40">
                  <c:v>27.6</c:v>
                </c:pt>
                <c:pt idx="41">
                  <c:v>26.2</c:v>
                </c:pt>
                <c:pt idx="42">
                  <c:v>23.5</c:v>
                </c:pt>
                <c:pt idx="43">
                  <c:v>24.8</c:v>
                </c:pt>
                <c:pt idx="44">
                  <c:v>20.7</c:v>
                </c:pt>
                <c:pt idx="45">
                  <c:v>25</c:v>
                </c:pt>
                <c:pt idx="46">
                  <c:v>23.8</c:v>
                </c:pt>
                <c:pt idx="47">
                  <c:v>19.100000000000001</c:v>
                </c:pt>
                <c:pt idx="48">
                  <c:v>23.5</c:v>
                </c:pt>
                <c:pt idx="49">
                  <c:v>25.9</c:v>
                </c:pt>
                <c:pt idx="50">
                  <c:v>26.8</c:v>
                </c:pt>
                <c:pt idx="51">
                  <c:v>24.4</c:v>
                </c:pt>
                <c:pt idx="52">
                  <c:v>25.1</c:v>
                </c:pt>
                <c:pt idx="53">
                  <c:v>26.8</c:v>
                </c:pt>
                <c:pt idx="54">
                  <c:v>27.4</c:v>
                </c:pt>
                <c:pt idx="55">
                  <c:v>23</c:v>
                </c:pt>
                <c:pt idx="56">
                  <c:v>23.3</c:v>
                </c:pt>
                <c:pt idx="57">
                  <c:v>25.7</c:v>
                </c:pt>
                <c:pt idx="58">
                  <c:v>29.4</c:v>
                </c:pt>
                <c:pt idx="59">
                  <c:v>24.1</c:v>
                </c:pt>
                <c:pt idx="60">
                  <c:v>26.2</c:v>
                </c:pt>
                <c:pt idx="61">
                  <c:v>22.7</c:v>
                </c:pt>
                <c:pt idx="62">
                  <c:v>22.7</c:v>
                </c:pt>
                <c:pt idx="63">
                  <c:v>23.2</c:v>
                </c:pt>
                <c:pt idx="64">
                  <c:v>30.6</c:v>
                </c:pt>
                <c:pt idx="65">
                  <c:v>30.5</c:v>
                </c:pt>
                <c:pt idx="66">
                  <c:v>28.7</c:v>
                </c:pt>
                <c:pt idx="67">
                  <c:v>26.9</c:v>
                </c:pt>
                <c:pt idx="68">
                  <c:v>21.6</c:v>
                </c:pt>
                <c:pt idx="69">
                  <c:v>25.3</c:v>
                </c:pt>
                <c:pt idx="70">
                  <c:v>27.9</c:v>
                </c:pt>
                <c:pt idx="71">
                  <c:v>19.7</c:v>
                </c:pt>
                <c:pt idx="72">
                  <c:v>25.2</c:v>
                </c:pt>
                <c:pt idx="73">
                  <c:v>24.9</c:v>
                </c:pt>
                <c:pt idx="74">
                  <c:v>22.2</c:v>
                </c:pt>
                <c:pt idx="75">
                  <c:v>26.5</c:v>
                </c:pt>
                <c:pt idx="76">
                  <c:v>21.4</c:v>
                </c:pt>
                <c:pt idx="77">
                  <c:v>24.3</c:v>
                </c:pt>
                <c:pt idx="78">
                  <c:v>18.100000000000001</c:v>
                </c:pt>
                <c:pt idx="79">
                  <c:v>25.9</c:v>
                </c:pt>
                <c:pt idx="80">
                  <c:v>25.6</c:v>
                </c:pt>
                <c:pt idx="81">
                  <c:v>27.6</c:v>
                </c:pt>
                <c:pt idx="82">
                  <c:v>26.6</c:v>
                </c:pt>
                <c:pt idx="83">
                  <c:v>30.7</c:v>
                </c:pt>
                <c:pt idx="84">
                  <c:v>22.4</c:v>
                </c:pt>
                <c:pt idx="85">
                  <c:v>22.3</c:v>
                </c:pt>
                <c:pt idx="86">
                  <c:v>27.3</c:v>
                </c:pt>
                <c:pt idx="87">
                  <c:v>19.600000000000001</c:v>
                </c:pt>
                <c:pt idx="88">
                  <c:v>20</c:v>
                </c:pt>
                <c:pt idx="89">
                  <c:v>23.8</c:v>
                </c:pt>
                <c:pt idx="90">
                  <c:v>29.3</c:v>
                </c:pt>
                <c:pt idx="91">
                  <c:v>23.2</c:v>
                </c:pt>
                <c:pt idx="92">
                  <c:v>23.8</c:v>
                </c:pt>
                <c:pt idx="93">
                  <c:v>31.2</c:v>
                </c:pt>
                <c:pt idx="94">
                  <c:v>22</c:v>
                </c:pt>
                <c:pt idx="95">
                  <c:v>24.3</c:v>
                </c:pt>
                <c:pt idx="96">
                  <c:v>28.4</c:v>
                </c:pt>
                <c:pt idx="97">
                  <c:v>25.7</c:v>
                </c:pt>
                <c:pt idx="98">
                  <c:v>23.6</c:v>
                </c:pt>
                <c:pt idx="99">
                  <c:v>22.1</c:v>
                </c:pt>
                <c:pt idx="100">
                  <c:v>29.1</c:v>
                </c:pt>
                <c:pt idx="101">
                  <c:v>29.5</c:v>
                </c:pt>
                <c:pt idx="102">
                  <c:v>25.4</c:v>
                </c:pt>
                <c:pt idx="103">
                  <c:v>26.4</c:v>
                </c:pt>
                <c:pt idx="104">
                  <c:v>24.6</c:v>
                </c:pt>
                <c:pt idx="105">
                  <c:v>23.7</c:v>
                </c:pt>
                <c:pt idx="106">
                  <c:v>21.1</c:v>
                </c:pt>
                <c:pt idx="107">
                  <c:v>24.2</c:v>
                </c:pt>
                <c:pt idx="108">
                  <c:v>28.4</c:v>
                </c:pt>
                <c:pt idx="109">
                  <c:v>24.9</c:v>
                </c:pt>
                <c:pt idx="110">
                  <c:v>23.4</c:v>
                </c:pt>
                <c:pt idx="111">
                  <c:v>28.3</c:v>
                </c:pt>
                <c:pt idx="112">
                  <c:v>22.7</c:v>
                </c:pt>
                <c:pt idx="113">
                  <c:v>21.6</c:v>
                </c:pt>
                <c:pt idx="114">
                  <c:v>23.9</c:v>
                </c:pt>
                <c:pt idx="115">
                  <c:v>26.8</c:v>
                </c:pt>
                <c:pt idx="116">
                  <c:v>24.4</c:v>
                </c:pt>
                <c:pt idx="117">
                  <c:v>26.8</c:v>
                </c:pt>
                <c:pt idx="118">
                  <c:v>24.7</c:v>
                </c:pt>
                <c:pt idx="119">
                  <c:v>25.5</c:v>
                </c:pt>
                <c:pt idx="120">
                  <c:v>27.2</c:v>
                </c:pt>
                <c:pt idx="121">
                  <c:v>22.7</c:v>
                </c:pt>
                <c:pt idx="122">
                  <c:v>26.4</c:v>
                </c:pt>
                <c:pt idx="123">
                  <c:v>21.2</c:v>
                </c:pt>
                <c:pt idx="124">
                  <c:v>22.7</c:v>
                </c:pt>
                <c:pt idx="125">
                  <c:v>28.2</c:v>
                </c:pt>
                <c:pt idx="126">
                  <c:v>27.1</c:v>
                </c:pt>
                <c:pt idx="127">
                  <c:v>22.9</c:v>
                </c:pt>
                <c:pt idx="128">
                  <c:v>23.3</c:v>
                </c:pt>
                <c:pt idx="129">
                  <c:v>24.3</c:v>
                </c:pt>
                <c:pt idx="130">
                  <c:v>26.8</c:v>
                </c:pt>
                <c:pt idx="131">
                  <c:v>20</c:v>
                </c:pt>
                <c:pt idx="132">
                  <c:v>28.2</c:v>
                </c:pt>
                <c:pt idx="133">
                  <c:v>23.5</c:v>
                </c:pt>
                <c:pt idx="134">
                  <c:v>23.6</c:v>
                </c:pt>
                <c:pt idx="135">
                  <c:v>25.6</c:v>
                </c:pt>
                <c:pt idx="136">
                  <c:v>28.2</c:v>
                </c:pt>
                <c:pt idx="137">
                  <c:v>29.4</c:v>
                </c:pt>
                <c:pt idx="138">
                  <c:v>22.2</c:v>
                </c:pt>
                <c:pt idx="139">
                  <c:v>22</c:v>
                </c:pt>
                <c:pt idx="140">
                  <c:v>26.1</c:v>
                </c:pt>
                <c:pt idx="141">
                  <c:v>23.4</c:v>
                </c:pt>
                <c:pt idx="142">
                  <c:v>23.3</c:v>
                </c:pt>
                <c:pt idx="143">
                  <c:v>20.5</c:v>
                </c:pt>
                <c:pt idx="144">
                  <c:v>26</c:v>
                </c:pt>
                <c:pt idx="145">
                  <c:v>22.8</c:v>
                </c:pt>
                <c:pt idx="146">
                  <c:v>28.6</c:v>
                </c:pt>
                <c:pt idx="147">
                  <c:v>30.5</c:v>
                </c:pt>
                <c:pt idx="148">
                  <c:v>26.5</c:v>
                </c:pt>
                <c:pt idx="149">
                  <c:v>25.4</c:v>
                </c:pt>
                <c:pt idx="150">
                  <c:v>28.8</c:v>
                </c:pt>
                <c:pt idx="151">
                  <c:v>31.5</c:v>
                </c:pt>
                <c:pt idx="152">
                  <c:v>25.8</c:v>
                </c:pt>
                <c:pt idx="153">
                  <c:v>21.9</c:v>
                </c:pt>
                <c:pt idx="154">
                  <c:v>26.1</c:v>
                </c:pt>
                <c:pt idx="155">
                  <c:v>18.399999999999999</c:v>
                </c:pt>
                <c:pt idx="156">
                  <c:v>23.3</c:v>
                </c:pt>
                <c:pt idx="157">
                  <c:v>21.8</c:v>
                </c:pt>
                <c:pt idx="158">
                  <c:v>26.1</c:v>
                </c:pt>
                <c:pt idx="159">
                  <c:v>26.4</c:v>
                </c:pt>
                <c:pt idx="160">
                  <c:v>27.1</c:v>
                </c:pt>
                <c:pt idx="161">
                  <c:v>20.7</c:v>
                </c:pt>
                <c:pt idx="162">
                  <c:v>19.3</c:v>
                </c:pt>
                <c:pt idx="163">
                  <c:v>26.3</c:v>
                </c:pt>
                <c:pt idx="164">
                  <c:v>27.6</c:v>
                </c:pt>
                <c:pt idx="165">
                  <c:v>23</c:v>
                </c:pt>
                <c:pt idx="166">
                  <c:v>26.7</c:v>
                </c:pt>
                <c:pt idx="167">
                  <c:v>26.2</c:v>
                </c:pt>
                <c:pt idx="168">
                  <c:v>25.6</c:v>
                </c:pt>
                <c:pt idx="169">
                  <c:v>23.5</c:v>
                </c:pt>
                <c:pt idx="170">
                  <c:v>31.4</c:v>
                </c:pt>
                <c:pt idx="171">
                  <c:v>21.9</c:v>
                </c:pt>
                <c:pt idx="172">
                  <c:v>29.7</c:v>
                </c:pt>
                <c:pt idx="173">
                  <c:v>23.6</c:v>
                </c:pt>
                <c:pt idx="174">
                  <c:v>20.3</c:v>
                </c:pt>
                <c:pt idx="175">
                  <c:v>25.8</c:v>
                </c:pt>
                <c:pt idx="176">
                  <c:v>23.9</c:v>
                </c:pt>
                <c:pt idx="177">
                  <c:v>21.6</c:v>
                </c:pt>
                <c:pt idx="178">
                  <c:v>26.4</c:v>
                </c:pt>
              </c:numCache>
            </c:numRef>
          </c:xVal>
          <c:yVal>
            <c:numRef>
              <c:f>Sheet1!$F$1:$F$179</c:f>
              <c:numCache>
                <c:formatCode>General</c:formatCode>
                <c:ptCount val="179"/>
                <c:pt idx="0">
                  <c:v>-2.2304106230606635</c:v>
                </c:pt>
                <c:pt idx="1">
                  <c:v>-2.8257902863386803</c:v>
                </c:pt>
                <c:pt idx="2">
                  <c:v>-1.2752730122067248</c:v>
                </c:pt>
                <c:pt idx="3">
                  <c:v>-5.8145306214827883</c:v>
                </c:pt>
                <c:pt idx="4">
                  <c:v>-3.3479272679776741</c:v>
                </c:pt>
                <c:pt idx="5">
                  <c:v>-4.0948131613823051</c:v>
                </c:pt>
                <c:pt idx="6">
                  <c:v>1.9278313432467229</c:v>
                </c:pt>
                <c:pt idx="7">
                  <c:v>-0.35475815941045141</c:v>
                </c:pt>
                <c:pt idx="8">
                  <c:v>1.1061277743371534</c:v>
                </c:pt>
                <c:pt idx="9">
                  <c:v>-1.1793339085805883</c:v>
                </c:pt>
                <c:pt idx="10">
                  <c:v>2.8340981127100662</c:v>
                </c:pt>
                <c:pt idx="11">
                  <c:v>2.1557127469516573</c:v>
                </c:pt>
                <c:pt idx="12">
                  <c:v>-1.4457929903600046</c:v>
                </c:pt>
                <c:pt idx="13">
                  <c:v>1.6687607998071314</c:v>
                </c:pt>
                <c:pt idx="14">
                  <c:v>1.2592930345062854</c:v>
                </c:pt>
                <c:pt idx="15">
                  <c:v>-3.9084728572082028</c:v>
                </c:pt>
                <c:pt idx="16">
                  <c:v>-0.16744483213894767</c:v>
                </c:pt>
                <c:pt idx="17">
                  <c:v>2.7759565272197477</c:v>
                </c:pt>
                <c:pt idx="18">
                  <c:v>1.7769579171086605</c:v>
                </c:pt>
                <c:pt idx="19">
                  <c:v>1.2056244029206127</c:v>
                </c:pt>
                <c:pt idx="20">
                  <c:v>3.5671905475412728</c:v>
                </c:pt>
                <c:pt idx="21">
                  <c:v>1.1604829154878118</c:v>
                </c:pt>
                <c:pt idx="22">
                  <c:v>-2.4804312749192263</c:v>
                </c:pt>
                <c:pt idx="23">
                  <c:v>1.349618950200842</c:v>
                </c:pt>
                <c:pt idx="24">
                  <c:v>1.6223703796786282</c:v>
                </c:pt>
                <c:pt idx="25">
                  <c:v>-1.5568532911032378</c:v>
                </c:pt>
                <c:pt idx="26">
                  <c:v>1.1588568853669514</c:v>
                </c:pt>
                <c:pt idx="27">
                  <c:v>1.1557194127745021</c:v>
                </c:pt>
                <c:pt idx="28">
                  <c:v>-0.83896538865793246</c:v>
                </c:pt>
                <c:pt idx="29">
                  <c:v>6.7498741055588098</c:v>
                </c:pt>
                <c:pt idx="30">
                  <c:v>-1.7772069313199239</c:v>
                </c:pt>
                <c:pt idx="31">
                  <c:v>-7.8760716623627047E-2</c:v>
                </c:pt>
                <c:pt idx="32">
                  <c:v>0.20310416990508173</c:v>
                </c:pt>
                <c:pt idx="33">
                  <c:v>-1.237358454787433</c:v>
                </c:pt>
                <c:pt idx="34">
                  <c:v>7.4295402559632961</c:v>
                </c:pt>
                <c:pt idx="35">
                  <c:v>2.8794107833114921</c:v>
                </c:pt>
                <c:pt idx="36">
                  <c:v>5.1765547382822632</c:v>
                </c:pt>
                <c:pt idx="37">
                  <c:v>-3.1867048910823641</c:v>
                </c:pt>
                <c:pt idx="38">
                  <c:v>-2.4929880547536314</c:v>
                </c:pt>
                <c:pt idx="39">
                  <c:v>-0.47932348073575071</c:v>
                </c:pt>
                <c:pt idx="40">
                  <c:v>0.33718295112096541</c:v>
                </c:pt>
                <c:pt idx="41">
                  <c:v>5.74676798659452</c:v>
                </c:pt>
                <c:pt idx="42">
                  <c:v>3.5363224170258079</c:v>
                </c:pt>
                <c:pt idx="43">
                  <c:v>-2.6635473942143548</c:v>
                </c:pt>
                <c:pt idx="44">
                  <c:v>0.80272821660913962</c:v>
                </c:pt>
                <c:pt idx="45">
                  <c:v>2.6841217810012665</c:v>
                </c:pt>
                <c:pt idx="46">
                  <c:v>-1.3528427510772474</c:v>
                </c:pt>
                <c:pt idx="47">
                  <c:v>2.0311048162536949</c:v>
                </c:pt>
                <c:pt idx="48">
                  <c:v>1.0445351682941322</c:v>
                </c:pt>
                <c:pt idx="49">
                  <c:v>-2.6421875728401432</c:v>
                </c:pt>
                <c:pt idx="50">
                  <c:v>-1.729669920171709</c:v>
                </c:pt>
                <c:pt idx="51">
                  <c:v>1.5794848366467704</c:v>
                </c:pt>
                <c:pt idx="52">
                  <c:v>-3.5792308776958137</c:v>
                </c:pt>
                <c:pt idx="53">
                  <c:v>5.8863449090686402</c:v>
                </c:pt>
                <c:pt idx="54">
                  <c:v>-1.8201174047345177</c:v>
                </c:pt>
                <c:pt idx="55">
                  <c:v>0.29543130520192307</c:v>
                </c:pt>
                <c:pt idx="56">
                  <c:v>0.79375703090589411</c:v>
                </c:pt>
                <c:pt idx="57">
                  <c:v>-4.0705062780562855</c:v>
                </c:pt>
                <c:pt idx="58">
                  <c:v>-2.8693371174584144</c:v>
                </c:pt>
                <c:pt idx="59">
                  <c:v>-1.9805326979542954</c:v>
                </c:pt>
                <c:pt idx="60">
                  <c:v>-3.6350481489262734</c:v>
                </c:pt>
                <c:pt idx="61">
                  <c:v>-1.3317842080124009</c:v>
                </c:pt>
                <c:pt idx="62">
                  <c:v>-1.2890810448816765</c:v>
                </c:pt>
                <c:pt idx="63">
                  <c:v>-1.9545442440556826</c:v>
                </c:pt>
                <c:pt idx="64">
                  <c:v>-3.1837646317462855</c:v>
                </c:pt>
                <c:pt idx="65">
                  <c:v>1.2123148789367519</c:v>
                </c:pt>
                <c:pt idx="66">
                  <c:v>0.89256516840969624</c:v>
                </c:pt>
                <c:pt idx="67">
                  <c:v>-0.63298947796594973</c:v>
                </c:pt>
                <c:pt idx="68">
                  <c:v>6.21840289191924</c:v>
                </c:pt>
                <c:pt idx="69">
                  <c:v>-3.2627583373640547</c:v>
                </c:pt>
                <c:pt idx="70">
                  <c:v>2.8565594092610453</c:v>
                </c:pt>
                <c:pt idx="71">
                  <c:v>-3.2591695097031916</c:v>
                </c:pt>
                <c:pt idx="72">
                  <c:v>-2.3212396846851604</c:v>
                </c:pt>
                <c:pt idx="73">
                  <c:v>1.0702276256090855</c:v>
                </c:pt>
                <c:pt idx="74">
                  <c:v>-3.4395451603671319</c:v>
                </c:pt>
                <c:pt idx="75">
                  <c:v>-3.971260686424074</c:v>
                </c:pt>
                <c:pt idx="76">
                  <c:v>5.5637750807179174</c:v>
                </c:pt>
                <c:pt idx="77">
                  <c:v>-1.2550968914064171</c:v>
                </c:pt>
                <c:pt idx="78">
                  <c:v>4.6861057229408303</c:v>
                </c:pt>
                <c:pt idx="79">
                  <c:v>5.0144692199144032</c:v>
                </c:pt>
                <c:pt idx="80">
                  <c:v>-2.4328077580580043</c:v>
                </c:pt>
                <c:pt idx="81">
                  <c:v>3.3912850690378278</c:v>
                </c:pt>
                <c:pt idx="82">
                  <c:v>1.3821993988176615</c:v>
                </c:pt>
                <c:pt idx="83">
                  <c:v>3.3531667804153926</c:v>
                </c:pt>
                <c:pt idx="84">
                  <c:v>-1.0917139707264312</c:v>
                </c:pt>
                <c:pt idx="85">
                  <c:v>0.80820385358546787</c:v>
                </c:pt>
                <c:pt idx="86">
                  <c:v>2.3634613619772438</c:v>
                </c:pt>
                <c:pt idx="87">
                  <c:v>0.70218599180596186</c:v>
                </c:pt>
                <c:pt idx="88">
                  <c:v>-3.4583977650453974</c:v>
                </c:pt>
                <c:pt idx="89">
                  <c:v>2.0567427994603023</c:v>
                </c:pt>
                <c:pt idx="90">
                  <c:v>-1.1804801980768929</c:v>
                </c:pt>
                <c:pt idx="91">
                  <c:v>-3.2295526881088037</c:v>
                </c:pt>
                <c:pt idx="92">
                  <c:v>-2.1486540529183387</c:v>
                </c:pt>
                <c:pt idx="93">
                  <c:v>-3.3626643054256391</c:v>
                </c:pt>
                <c:pt idx="94">
                  <c:v>-1.9637906690978397</c:v>
                </c:pt>
                <c:pt idx="95">
                  <c:v>-4.6163386982678247</c:v>
                </c:pt>
                <c:pt idx="96">
                  <c:v>-0.87064019964294204</c:v>
                </c:pt>
                <c:pt idx="97">
                  <c:v>2.2755317997147699</c:v>
                </c:pt>
                <c:pt idx="98">
                  <c:v>-1.5454086362198396</c:v>
                </c:pt>
                <c:pt idx="99">
                  <c:v>-0.88212383064063005</c:v>
                </c:pt>
                <c:pt idx="100">
                  <c:v>2.1922745794727803</c:v>
                </c:pt>
                <c:pt idx="101">
                  <c:v>1.3449590109611833</c:v>
                </c:pt>
                <c:pt idx="102">
                  <c:v>1.6490774542693316</c:v>
                </c:pt>
                <c:pt idx="103">
                  <c:v>3.8484819159833634</c:v>
                </c:pt>
                <c:pt idx="104">
                  <c:v>-0.86582925878177264</c:v>
                </c:pt>
                <c:pt idx="105">
                  <c:v>-2.0656722660924203</c:v>
                </c:pt>
                <c:pt idx="106">
                  <c:v>1.59989845627981</c:v>
                </c:pt>
                <c:pt idx="107">
                  <c:v>0.18795861458369956</c:v>
                </c:pt>
                <c:pt idx="108">
                  <c:v>-2.4826838631063737</c:v>
                </c:pt>
                <c:pt idx="109">
                  <c:v>-2.9775297039474964</c:v>
                </c:pt>
                <c:pt idx="110">
                  <c:v>-0.62832250720686744</c:v>
                </c:pt>
                <c:pt idx="111">
                  <c:v>2.3712428411510231</c:v>
                </c:pt>
                <c:pt idx="112">
                  <c:v>3.8004576126818677</c:v>
                </c:pt>
                <c:pt idx="113">
                  <c:v>2.9546718262207889</c:v>
                </c:pt>
                <c:pt idx="114">
                  <c:v>-0.9244174442216746</c:v>
                </c:pt>
                <c:pt idx="115">
                  <c:v>-1.1309513319879372</c:v>
                </c:pt>
                <c:pt idx="116">
                  <c:v>2.7236139688160961</c:v>
                </c:pt>
                <c:pt idx="117">
                  <c:v>3.8977118491998297</c:v>
                </c:pt>
                <c:pt idx="118">
                  <c:v>4.0134223778137823</c:v>
                </c:pt>
                <c:pt idx="119">
                  <c:v>-0.518515587238916</c:v>
                </c:pt>
                <c:pt idx="120">
                  <c:v>-0.47318038579174981</c:v>
                </c:pt>
                <c:pt idx="121">
                  <c:v>-1.1940213810124476</c:v>
                </c:pt>
                <c:pt idx="122">
                  <c:v>0.22018978593980165</c:v>
                </c:pt>
                <c:pt idx="123">
                  <c:v>-1.2282390596629043</c:v>
                </c:pt>
                <c:pt idx="124">
                  <c:v>-5.1717213375708724</c:v>
                </c:pt>
                <c:pt idx="125">
                  <c:v>6.2419948744559477</c:v>
                </c:pt>
                <c:pt idx="126">
                  <c:v>-1.8245846940971902</c:v>
                </c:pt>
                <c:pt idx="127">
                  <c:v>4.0671806998654176</c:v>
                </c:pt>
                <c:pt idx="128">
                  <c:v>3.5327742901622372</c:v>
                </c:pt>
                <c:pt idx="129">
                  <c:v>-1.7125515119743824</c:v>
                </c:pt>
                <c:pt idx="130">
                  <c:v>-1.1828167753346293</c:v>
                </c:pt>
                <c:pt idx="131">
                  <c:v>-0.69332963669434378</c:v>
                </c:pt>
                <c:pt idx="132">
                  <c:v>-2.1274594087691412</c:v>
                </c:pt>
                <c:pt idx="133">
                  <c:v>-3.3869052195260494</c:v>
                </c:pt>
                <c:pt idx="134">
                  <c:v>0.53919924700066701</c:v>
                </c:pt>
                <c:pt idx="135">
                  <c:v>-3.5952014322934431</c:v>
                </c:pt>
                <c:pt idx="136">
                  <c:v>3.8629412105149896</c:v>
                </c:pt>
                <c:pt idx="137">
                  <c:v>1.246016751524067</c:v>
                </c:pt>
                <c:pt idx="138">
                  <c:v>-2.8605357198874231</c:v>
                </c:pt>
                <c:pt idx="139">
                  <c:v>-3.1261243170708255</c:v>
                </c:pt>
                <c:pt idx="140">
                  <c:v>-1.3305816961993102</c:v>
                </c:pt>
                <c:pt idx="141">
                  <c:v>2.5311956056189473</c:v>
                </c:pt>
                <c:pt idx="142">
                  <c:v>4.486665133602628</c:v>
                </c:pt>
                <c:pt idx="143">
                  <c:v>2.0514266776508521</c:v>
                </c:pt>
                <c:pt idx="144">
                  <c:v>1.2416102009724099</c:v>
                </c:pt>
                <c:pt idx="145">
                  <c:v>0.62023647381354863</c:v>
                </c:pt>
                <c:pt idx="146">
                  <c:v>3.4107310501770058</c:v>
                </c:pt>
                <c:pt idx="147">
                  <c:v>-3.8183861152202923</c:v>
                </c:pt>
                <c:pt idx="148">
                  <c:v>-0.42740428248913531</c:v>
                </c:pt>
                <c:pt idx="149">
                  <c:v>0.1371414297805984</c:v>
                </c:pt>
                <c:pt idx="150">
                  <c:v>-3.6091469570886048</c:v>
                </c:pt>
                <c:pt idx="151">
                  <c:v>-3.0434300713189089E-2</c:v>
                </c:pt>
                <c:pt idx="152">
                  <c:v>-1.3693317171857586</c:v>
                </c:pt>
                <c:pt idx="153">
                  <c:v>-3.8289277743363641</c:v>
                </c:pt>
                <c:pt idx="154">
                  <c:v>2.7251194943646766</c:v>
                </c:pt>
                <c:pt idx="155">
                  <c:v>-1.1357391615899388</c:v>
                </c:pt>
                <c:pt idx="156">
                  <c:v>4.5284435482955345</c:v>
                </c:pt>
                <c:pt idx="157">
                  <c:v>1.3068517190684901</c:v>
                </c:pt>
                <c:pt idx="158">
                  <c:v>4.9877280230118828</c:v>
                </c:pt>
                <c:pt idx="159">
                  <c:v>-1.6005459907167037</c:v>
                </c:pt>
                <c:pt idx="160">
                  <c:v>3.8366591731711139</c:v>
                </c:pt>
                <c:pt idx="161">
                  <c:v>-0.91612441017690571</c:v>
                </c:pt>
                <c:pt idx="162">
                  <c:v>-2.0793905594634765</c:v>
                </c:pt>
                <c:pt idx="163">
                  <c:v>1.5016081546717928</c:v>
                </c:pt>
                <c:pt idx="164">
                  <c:v>-0.54782150931595908</c:v>
                </c:pt>
                <c:pt idx="165">
                  <c:v>-1.2940676895683794</c:v>
                </c:pt>
                <c:pt idx="166">
                  <c:v>1.2743782149055534</c:v>
                </c:pt>
                <c:pt idx="167">
                  <c:v>-2.5151485047259357</c:v>
                </c:pt>
                <c:pt idx="168">
                  <c:v>0.10064386608207343</c:v>
                </c:pt>
                <c:pt idx="169">
                  <c:v>-1.3601836179118578</c:v>
                </c:pt>
                <c:pt idx="170">
                  <c:v>0.19678436571016533</c:v>
                </c:pt>
                <c:pt idx="171">
                  <c:v>-4.9024283568868015</c:v>
                </c:pt>
                <c:pt idx="172">
                  <c:v>-3.8187991377266144</c:v>
                </c:pt>
                <c:pt idx="173">
                  <c:v>-2.9961743708372808</c:v>
                </c:pt>
                <c:pt idx="174">
                  <c:v>0.47672240096849805</c:v>
                </c:pt>
                <c:pt idx="175">
                  <c:v>-2.3949175248223682</c:v>
                </c:pt>
                <c:pt idx="176">
                  <c:v>-3.3026763709727689</c:v>
                </c:pt>
                <c:pt idx="177">
                  <c:v>3.7530337230266326</c:v>
                </c:pt>
                <c:pt idx="178">
                  <c:v>-3.9603209898891265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87-436F-88D5-2BD5DE425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2762575"/>
        <c:axId val="1492764975"/>
      </c:scatterChart>
      <c:valAx>
        <c:axId val="149276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BMI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764975"/>
        <c:crosses val="autoZero"/>
        <c:crossBetween val="midCat"/>
      </c:valAx>
      <c:valAx>
        <c:axId val="149276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762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Adult_mortality Residual Plot</a:t>
            </a:r>
          </a:p>
        </c:rich>
      </c:tx>
      <c:layout>
        <c:manualLayout>
          <c:xMode val="edge"/>
          <c:yMode val="edge"/>
          <c:x val="0.2606804461942257"/>
          <c:y val="2.89505428226779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Sheet1!$G$1:$G$179</c:f>
              <c:numCache>
                <c:formatCode>General</c:formatCode>
                <c:ptCount val="179"/>
                <c:pt idx="0">
                  <c:v>131.30000000000001</c:v>
                </c:pt>
                <c:pt idx="1">
                  <c:v>112.9</c:v>
                </c:pt>
                <c:pt idx="2">
                  <c:v>69</c:v>
                </c:pt>
                <c:pt idx="3">
                  <c:v>155.4</c:v>
                </c:pt>
                <c:pt idx="4">
                  <c:v>101.9</c:v>
                </c:pt>
                <c:pt idx="5">
                  <c:v>215.8</c:v>
                </c:pt>
                <c:pt idx="6">
                  <c:v>209.1</c:v>
                </c:pt>
                <c:pt idx="7">
                  <c:v>113.1</c:v>
                </c:pt>
                <c:pt idx="8">
                  <c:v>95.8</c:v>
                </c:pt>
                <c:pt idx="9">
                  <c:v>176.5</c:v>
                </c:pt>
                <c:pt idx="10">
                  <c:v>215</c:v>
                </c:pt>
                <c:pt idx="11">
                  <c:v>178.9</c:v>
                </c:pt>
                <c:pt idx="12">
                  <c:v>157</c:v>
                </c:pt>
                <c:pt idx="13">
                  <c:v>268.2</c:v>
                </c:pt>
                <c:pt idx="14">
                  <c:v>107.6</c:v>
                </c:pt>
                <c:pt idx="15">
                  <c:v>118.6</c:v>
                </c:pt>
                <c:pt idx="16">
                  <c:v>50</c:v>
                </c:pt>
                <c:pt idx="17">
                  <c:v>300.89999999999998</c:v>
                </c:pt>
                <c:pt idx="18">
                  <c:v>154.80000000000001</c:v>
                </c:pt>
                <c:pt idx="19">
                  <c:v>241.4</c:v>
                </c:pt>
                <c:pt idx="20">
                  <c:v>196.9</c:v>
                </c:pt>
                <c:pt idx="21">
                  <c:v>50</c:v>
                </c:pt>
                <c:pt idx="22">
                  <c:v>87.3</c:v>
                </c:pt>
                <c:pt idx="23">
                  <c:v>50</c:v>
                </c:pt>
                <c:pt idx="24">
                  <c:v>191.8</c:v>
                </c:pt>
                <c:pt idx="25">
                  <c:v>173.4</c:v>
                </c:pt>
                <c:pt idx="26">
                  <c:v>72</c:v>
                </c:pt>
                <c:pt idx="27">
                  <c:v>215.8</c:v>
                </c:pt>
                <c:pt idx="28">
                  <c:v>143.80000000000001</c:v>
                </c:pt>
                <c:pt idx="29">
                  <c:v>128.80000000000001</c:v>
                </c:pt>
                <c:pt idx="30">
                  <c:v>132.1</c:v>
                </c:pt>
                <c:pt idx="31">
                  <c:v>114.3</c:v>
                </c:pt>
                <c:pt idx="32">
                  <c:v>79.3</c:v>
                </c:pt>
                <c:pt idx="33">
                  <c:v>236.6</c:v>
                </c:pt>
                <c:pt idx="34">
                  <c:v>191.2</c:v>
                </c:pt>
                <c:pt idx="35">
                  <c:v>124.8</c:v>
                </c:pt>
                <c:pt idx="36">
                  <c:v>335.2</c:v>
                </c:pt>
                <c:pt idx="37">
                  <c:v>155.1</c:v>
                </c:pt>
                <c:pt idx="38">
                  <c:v>153.6</c:v>
                </c:pt>
                <c:pt idx="39">
                  <c:v>97.1</c:v>
                </c:pt>
                <c:pt idx="40">
                  <c:v>54</c:v>
                </c:pt>
                <c:pt idx="41">
                  <c:v>50</c:v>
                </c:pt>
                <c:pt idx="42">
                  <c:v>251.4</c:v>
                </c:pt>
                <c:pt idx="43">
                  <c:v>50</c:v>
                </c:pt>
                <c:pt idx="44">
                  <c:v>114.8</c:v>
                </c:pt>
                <c:pt idx="45">
                  <c:v>71.5</c:v>
                </c:pt>
                <c:pt idx="46">
                  <c:v>159.1</c:v>
                </c:pt>
                <c:pt idx="47">
                  <c:v>137.9</c:v>
                </c:pt>
                <c:pt idx="48">
                  <c:v>102.9</c:v>
                </c:pt>
                <c:pt idx="49">
                  <c:v>215</c:v>
                </c:pt>
                <c:pt idx="50">
                  <c:v>148.30000000000001</c:v>
                </c:pt>
                <c:pt idx="51">
                  <c:v>132.6</c:v>
                </c:pt>
                <c:pt idx="52">
                  <c:v>204.6</c:v>
                </c:pt>
                <c:pt idx="53">
                  <c:v>84.5</c:v>
                </c:pt>
                <c:pt idx="54">
                  <c:v>199.9</c:v>
                </c:pt>
                <c:pt idx="55">
                  <c:v>228</c:v>
                </c:pt>
                <c:pt idx="56">
                  <c:v>84.2</c:v>
                </c:pt>
                <c:pt idx="57">
                  <c:v>50</c:v>
                </c:pt>
                <c:pt idx="58">
                  <c:v>218.6</c:v>
                </c:pt>
                <c:pt idx="59">
                  <c:v>175.8</c:v>
                </c:pt>
                <c:pt idx="60">
                  <c:v>205.2</c:v>
                </c:pt>
                <c:pt idx="61">
                  <c:v>152</c:v>
                </c:pt>
                <c:pt idx="62">
                  <c:v>219.8</c:v>
                </c:pt>
                <c:pt idx="63">
                  <c:v>50</c:v>
                </c:pt>
                <c:pt idx="64">
                  <c:v>226</c:v>
                </c:pt>
                <c:pt idx="65">
                  <c:v>244.4</c:v>
                </c:pt>
                <c:pt idx="66">
                  <c:v>50</c:v>
                </c:pt>
                <c:pt idx="67">
                  <c:v>64.599999999999994</c:v>
                </c:pt>
                <c:pt idx="68">
                  <c:v>50</c:v>
                </c:pt>
                <c:pt idx="69">
                  <c:v>244.3</c:v>
                </c:pt>
                <c:pt idx="70">
                  <c:v>201.6</c:v>
                </c:pt>
                <c:pt idx="71">
                  <c:v>55.3</c:v>
                </c:pt>
                <c:pt idx="72">
                  <c:v>280.3</c:v>
                </c:pt>
                <c:pt idx="73">
                  <c:v>50</c:v>
                </c:pt>
                <c:pt idx="74">
                  <c:v>108.9</c:v>
                </c:pt>
                <c:pt idx="75">
                  <c:v>107.6</c:v>
                </c:pt>
                <c:pt idx="76">
                  <c:v>307.2</c:v>
                </c:pt>
                <c:pt idx="77">
                  <c:v>199.1</c:v>
                </c:pt>
                <c:pt idx="78">
                  <c:v>50</c:v>
                </c:pt>
                <c:pt idx="79">
                  <c:v>396.3</c:v>
                </c:pt>
                <c:pt idx="80">
                  <c:v>89.5</c:v>
                </c:pt>
                <c:pt idx="81">
                  <c:v>149.4</c:v>
                </c:pt>
                <c:pt idx="82">
                  <c:v>67</c:v>
                </c:pt>
                <c:pt idx="83">
                  <c:v>50</c:v>
                </c:pt>
                <c:pt idx="84">
                  <c:v>153.9</c:v>
                </c:pt>
                <c:pt idx="85">
                  <c:v>103.9</c:v>
                </c:pt>
                <c:pt idx="86">
                  <c:v>50</c:v>
                </c:pt>
                <c:pt idx="87">
                  <c:v>50</c:v>
                </c:pt>
                <c:pt idx="88">
                  <c:v>144.69999999999999</c:v>
                </c:pt>
                <c:pt idx="89">
                  <c:v>230.5</c:v>
                </c:pt>
                <c:pt idx="90">
                  <c:v>50</c:v>
                </c:pt>
                <c:pt idx="91">
                  <c:v>156.9</c:v>
                </c:pt>
                <c:pt idx="92">
                  <c:v>111</c:v>
                </c:pt>
                <c:pt idx="93">
                  <c:v>219.7</c:v>
                </c:pt>
                <c:pt idx="94">
                  <c:v>50</c:v>
                </c:pt>
                <c:pt idx="95">
                  <c:v>216.4</c:v>
                </c:pt>
                <c:pt idx="96">
                  <c:v>177.1</c:v>
                </c:pt>
                <c:pt idx="97">
                  <c:v>113.3</c:v>
                </c:pt>
                <c:pt idx="98">
                  <c:v>188.3</c:v>
                </c:pt>
                <c:pt idx="99">
                  <c:v>114.5</c:v>
                </c:pt>
                <c:pt idx="100">
                  <c:v>183.1</c:v>
                </c:pt>
                <c:pt idx="101">
                  <c:v>202.3</c:v>
                </c:pt>
                <c:pt idx="102">
                  <c:v>158.80000000000001</c:v>
                </c:pt>
                <c:pt idx="103">
                  <c:v>300.60000000000002</c:v>
                </c:pt>
                <c:pt idx="104">
                  <c:v>154.5</c:v>
                </c:pt>
                <c:pt idx="105">
                  <c:v>69</c:v>
                </c:pt>
                <c:pt idx="106">
                  <c:v>123.1</c:v>
                </c:pt>
                <c:pt idx="107">
                  <c:v>50</c:v>
                </c:pt>
                <c:pt idx="108">
                  <c:v>128.5</c:v>
                </c:pt>
                <c:pt idx="109">
                  <c:v>165.8</c:v>
                </c:pt>
                <c:pt idx="110">
                  <c:v>93</c:v>
                </c:pt>
                <c:pt idx="111">
                  <c:v>249.7</c:v>
                </c:pt>
                <c:pt idx="112">
                  <c:v>61.2</c:v>
                </c:pt>
                <c:pt idx="113">
                  <c:v>108</c:v>
                </c:pt>
                <c:pt idx="114">
                  <c:v>206.9</c:v>
                </c:pt>
                <c:pt idx="115">
                  <c:v>197.4</c:v>
                </c:pt>
                <c:pt idx="116">
                  <c:v>108.2</c:v>
                </c:pt>
                <c:pt idx="117">
                  <c:v>50</c:v>
                </c:pt>
                <c:pt idx="118">
                  <c:v>106.4</c:v>
                </c:pt>
                <c:pt idx="119">
                  <c:v>120.9</c:v>
                </c:pt>
                <c:pt idx="120">
                  <c:v>163.69999999999999</c:v>
                </c:pt>
                <c:pt idx="121">
                  <c:v>165.7</c:v>
                </c:pt>
                <c:pt idx="122">
                  <c:v>170.5</c:v>
                </c:pt>
                <c:pt idx="123">
                  <c:v>100</c:v>
                </c:pt>
                <c:pt idx="124">
                  <c:v>101.1</c:v>
                </c:pt>
                <c:pt idx="125">
                  <c:v>74</c:v>
                </c:pt>
                <c:pt idx="126">
                  <c:v>103.9</c:v>
                </c:pt>
                <c:pt idx="127">
                  <c:v>147.19999999999999</c:v>
                </c:pt>
                <c:pt idx="128">
                  <c:v>200.6</c:v>
                </c:pt>
                <c:pt idx="129">
                  <c:v>144</c:v>
                </c:pt>
                <c:pt idx="130">
                  <c:v>194.8</c:v>
                </c:pt>
                <c:pt idx="131">
                  <c:v>184.4</c:v>
                </c:pt>
                <c:pt idx="132">
                  <c:v>146.80000000000001</c:v>
                </c:pt>
                <c:pt idx="133">
                  <c:v>157.69999999999999</c:v>
                </c:pt>
                <c:pt idx="134">
                  <c:v>250.5</c:v>
                </c:pt>
                <c:pt idx="135">
                  <c:v>232.5</c:v>
                </c:pt>
                <c:pt idx="136">
                  <c:v>108.6</c:v>
                </c:pt>
                <c:pt idx="137">
                  <c:v>276.39999999999998</c:v>
                </c:pt>
                <c:pt idx="138">
                  <c:v>69.7</c:v>
                </c:pt>
                <c:pt idx="139">
                  <c:v>228.7</c:v>
                </c:pt>
                <c:pt idx="140">
                  <c:v>163.30000000000001</c:v>
                </c:pt>
                <c:pt idx="141">
                  <c:v>100.1</c:v>
                </c:pt>
                <c:pt idx="142">
                  <c:v>83.4</c:v>
                </c:pt>
                <c:pt idx="143">
                  <c:v>273.8</c:v>
                </c:pt>
                <c:pt idx="144">
                  <c:v>202.7</c:v>
                </c:pt>
                <c:pt idx="145">
                  <c:v>147.30000000000001</c:v>
                </c:pt>
                <c:pt idx="146">
                  <c:v>352.2</c:v>
                </c:pt>
                <c:pt idx="147">
                  <c:v>196.7</c:v>
                </c:pt>
                <c:pt idx="148">
                  <c:v>235.3</c:v>
                </c:pt>
                <c:pt idx="149">
                  <c:v>246.5</c:v>
                </c:pt>
                <c:pt idx="150">
                  <c:v>165.3</c:v>
                </c:pt>
                <c:pt idx="151">
                  <c:v>125.4</c:v>
                </c:pt>
                <c:pt idx="152">
                  <c:v>198.6</c:v>
                </c:pt>
                <c:pt idx="153">
                  <c:v>160.6</c:v>
                </c:pt>
                <c:pt idx="154">
                  <c:v>275.2</c:v>
                </c:pt>
                <c:pt idx="155">
                  <c:v>185.2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195.6</c:v>
                </c:pt>
                <c:pt idx="160">
                  <c:v>142.80000000000001</c:v>
                </c:pt>
                <c:pt idx="161">
                  <c:v>160.19999999999999</c:v>
                </c:pt>
                <c:pt idx="162">
                  <c:v>113.8</c:v>
                </c:pt>
                <c:pt idx="163">
                  <c:v>72.599999999999994</c:v>
                </c:pt>
                <c:pt idx="164">
                  <c:v>132.30000000000001</c:v>
                </c:pt>
                <c:pt idx="165">
                  <c:v>69.900000000000006</c:v>
                </c:pt>
                <c:pt idx="166">
                  <c:v>261.89999999999998</c:v>
                </c:pt>
                <c:pt idx="167">
                  <c:v>221.6</c:v>
                </c:pt>
                <c:pt idx="168">
                  <c:v>316</c:v>
                </c:pt>
                <c:pt idx="169">
                  <c:v>124.4</c:v>
                </c:pt>
                <c:pt idx="170">
                  <c:v>288.2</c:v>
                </c:pt>
                <c:pt idx="171">
                  <c:v>129.4</c:v>
                </c:pt>
                <c:pt idx="172">
                  <c:v>51.9</c:v>
                </c:pt>
                <c:pt idx="173">
                  <c:v>236.3</c:v>
                </c:pt>
                <c:pt idx="174">
                  <c:v>268.10000000000002</c:v>
                </c:pt>
                <c:pt idx="175">
                  <c:v>106</c:v>
                </c:pt>
                <c:pt idx="176">
                  <c:v>211.7</c:v>
                </c:pt>
                <c:pt idx="177">
                  <c:v>50</c:v>
                </c:pt>
                <c:pt idx="178">
                  <c:v>156.1</c:v>
                </c:pt>
              </c:numCache>
            </c:numRef>
          </c:xVal>
          <c:yVal>
            <c:numRef>
              <c:f>Sheet1!$H$1:$H$179</c:f>
              <c:numCache>
                <c:formatCode>General</c:formatCode>
                <c:ptCount val="179"/>
                <c:pt idx="0">
                  <c:v>-2.2304106230606635</c:v>
                </c:pt>
                <c:pt idx="1">
                  <c:v>-2.8257902863386803</c:v>
                </c:pt>
                <c:pt idx="2">
                  <c:v>-1.2752730122067248</c:v>
                </c:pt>
                <c:pt idx="3">
                  <c:v>-5.8145306214827883</c:v>
                </c:pt>
                <c:pt idx="4">
                  <c:v>-3.3479272679776741</c:v>
                </c:pt>
                <c:pt idx="5">
                  <c:v>-4.0948131613823051</c:v>
                </c:pt>
                <c:pt idx="6">
                  <c:v>1.9278313432467229</c:v>
                </c:pt>
                <c:pt idx="7">
                  <c:v>-0.35475815941045141</c:v>
                </c:pt>
                <c:pt idx="8">
                  <c:v>1.1061277743371534</c:v>
                </c:pt>
                <c:pt idx="9">
                  <c:v>-1.1793339085805883</c:v>
                </c:pt>
                <c:pt idx="10">
                  <c:v>2.8340981127100662</c:v>
                </c:pt>
                <c:pt idx="11">
                  <c:v>2.1557127469516573</c:v>
                </c:pt>
                <c:pt idx="12">
                  <c:v>-1.4457929903600046</c:v>
                </c:pt>
                <c:pt idx="13">
                  <c:v>1.6687607998071314</c:v>
                </c:pt>
                <c:pt idx="14">
                  <c:v>1.2592930345062854</c:v>
                </c:pt>
                <c:pt idx="15">
                  <c:v>-3.9084728572082028</c:v>
                </c:pt>
                <c:pt idx="16">
                  <c:v>-0.16744483213894767</c:v>
                </c:pt>
                <c:pt idx="17">
                  <c:v>2.7759565272197477</c:v>
                </c:pt>
                <c:pt idx="18">
                  <c:v>1.7769579171086605</c:v>
                </c:pt>
                <c:pt idx="19">
                  <c:v>1.2056244029206127</c:v>
                </c:pt>
                <c:pt idx="20">
                  <c:v>3.5671905475412728</c:v>
                </c:pt>
                <c:pt idx="21">
                  <c:v>1.1604829154878118</c:v>
                </c:pt>
                <c:pt idx="22">
                  <c:v>-2.4804312749192263</c:v>
                </c:pt>
                <c:pt idx="23">
                  <c:v>1.349618950200842</c:v>
                </c:pt>
                <c:pt idx="24">
                  <c:v>1.6223703796786282</c:v>
                </c:pt>
                <c:pt idx="25">
                  <c:v>-1.5568532911032378</c:v>
                </c:pt>
                <c:pt idx="26">
                  <c:v>1.1588568853669514</c:v>
                </c:pt>
                <c:pt idx="27">
                  <c:v>1.1557194127745021</c:v>
                </c:pt>
                <c:pt idx="28">
                  <c:v>-0.83896538865793246</c:v>
                </c:pt>
                <c:pt idx="29">
                  <c:v>6.7498741055588098</c:v>
                </c:pt>
                <c:pt idx="30">
                  <c:v>-1.7772069313199239</c:v>
                </c:pt>
                <c:pt idx="31">
                  <c:v>-7.8760716623627047E-2</c:v>
                </c:pt>
                <c:pt idx="32">
                  <c:v>0.20310416990508173</c:v>
                </c:pt>
                <c:pt idx="33">
                  <c:v>-1.237358454787433</c:v>
                </c:pt>
                <c:pt idx="34">
                  <c:v>7.4295402559632961</c:v>
                </c:pt>
                <c:pt idx="35">
                  <c:v>2.8794107833114921</c:v>
                </c:pt>
                <c:pt idx="36">
                  <c:v>5.1765547382822632</c:v>
                </c:pt>
                <c:pt idx="37">
                  <c:v>-3.1867048910823641</c:v>
                </c:pt>
                <c:pt idx="38">
                  <c:v>-2.4929880547536314</c:v>
                </c:pt>
                <c:pt idx="39">
                  <c:v>-0.47932348073575071</c:v>
                </c:pt>
                <c:pt idx="40">
                  <c:v>0.33718295112096541</c:v>
                </c:pt>
                <c:pt idx="41">
                  <c:v>5.74676798659452</c:v>
                </c:pt>
                <c:pt idx="42">
                  <c:v>3.5363224170258079</c:v>
                </c:pt>
                <c:pt idx="43">
                  <c:v>-2.6635473942143548</c:v>
                </c:pt>
                <c:pt idx="44">
                  <c:v>0.80272821660913962</c:v>
                </c:pt>
                <c:pt idx="45">
                  <c:v>2.6841217810012665</c:v>
                </c:pt>
                <c:pt idx="46">
                  <c:v>-1.3528427510772474</c:v>
                </c:pt>
                <c:pt idx="47">
                  <c:v>2.0311048162536949</c:v>
                </c:pt>
                <c:pt idx="48">
                  <c:v>1.0445351682941322</c:v>
                </c:pt>
                <c:pt idx="49">
                  <c:v>-2.6421875728401432</c:v>
                </c:pt>
                <c:pt idx="50">
                  <c:v>-1.729669920171709</c:v>
                </c:pt>
                <c:pt idx="51">
                  <c:v>1.5794848366467704</c:v>
                </c:pt>
                <c:pt idx="52">
                  <c:v>-3.5792308776958137</c:v>
                </c:pt>
                <c:pt idx="53">
                  <c:v>5.8863449090686402</c:v>
                </c:pt>
                <c:pt idx="54">
                  <c:v>-1.8201174047345177</c:v>
                </c:pt>
                <c:pt idx="55">
                  <c:v>0.29543130520192307</c:v>
                </c:pt>
                <c:pt idx="56">
                  <c:v>0.79375703090589411</c:v>
                </c:pt>
                <c:pt idx="57">
                  <c:v>-4.0705062780562855</c:v>
                </c:pt>
                <c:pt idx="58">
                  <c:v>-2.8693371174584144</c:v>
                </c:pt>
                <c:pt idx="59">
                  <c:v>-1.9805326979542954</c:v>
                </c:pt>
                <c:pt idx="60">
                  <c:v>-3.6350481489262734</c:v>
                </c:pt>
                <c:pt idx="61">
                  <c:v>-1.3317842080124009</c:v>
                </c:pt>
                <c:pt idx="62">
                  <c:v>-1.2890810448816765</c:v>
                </c:pt>
                <c:pt idx="63">
                  <c:v>-1.9545442440556826</c:v>
                </c:pt>
                <c:pt idx="64">
                  <c:v>-3.1837646317462855</c:v>
                </c:pt>
                <c:pt idx="65">
                  <c:v>1.2123148789367519</c:v>
                </c:pt>
                <c:pt idx="66">
                  <c:v>0.89256516840969624</c:v>
                </c:pt>
                <c:pt idx="67">
                  <c:v>-0.63298947796594973</c:v>
                </c:pt>
                <c:pt idx="68">
                  <c:v>6.21840289191924</c:v>
                </c:pt>
                <c:pt idx="69">
                  <c:v>-3.2627583373640547</c:v>
                </c:pt>
                <c:pt idx="70">
                  <c:v>2.8565594092610453</c:v>
                </c:pt>
                <c:pt idx="71">
                  <c:v>-3.2591695097031916</c:v>
                </c:pt>
                <c:pt idx="72">
                  <c:v>-2.3212396846851604</c:v>
                </c:pt>
                <c:pt idx="73">
                  <c:v>1.0702276256090855</c:v>
                </c:pt>
                <c:pt idx="74">
                  <c:v>-3.4395451603671319</c:v>
                </c:pt>
                <c:pt idx="75">
                  <c:v>-3.971260686424074</c:v>
                </c:pt>
                <c:pt idx="76">
                  <c:v>5.5637750807179174</c:v>
                </c:pt>
                <c:pt idx="77">
                  <c:v>-1.2550968914064171</c:v>
                </c:pt>
                <c:pt idx="78">
                  <c:v>4.6861057229408303</c:v>
                </c:pt>
                <c:pt idx="79">
                  <c:v>5.0144692199144032</c:v>
                </c:pt>
                <c:pt idx="80">
                  <c:v>-2.4328077580580043</c:v>
                </c:pt>
                <c:pt idx="81">
                  <c:v>3.3912850690378278</c:v>
                </c:pt>
                <c:pt idx="82">
                  <c:v>1.3821993988176615</c:v>
                </c:pt>
                <c:pt idx="83">
                  <c:v>3.3531667804153926</c:v>
                </c:pt>
                <c:pt idx="84">
                  <c:v>-1.0917139707264312</c:v>
                </c:pt>
                <c:pt idx="85">
                  <c:v>0.80820385358546787</c:v>
                </c:pt>
                <c:pt idx="86">
                  <c:v>2.3634613619772438</c:v>
                </c:pt>
                <c:pt idx="87">
                  <c:v>0.70218599180596186</c:v>
                </c:pt>
                <c:pt idx="88">
                  <c:v>-3.4583977650453974</c:v>
                </c:pt>
                <c:pt idx="89">
                  <c:v>2.0567427994603023</c:v>
                </c:pt>
                <c:pt idx="90">
                  <c:v>-1.1804801980768929</c:v>
                </c:pt>
                <c:pt idx="91">
                  <c:v>-3.2295526881088037</c:v>
                </c:pt>
                <c:pt idx="92">
                  <c:v>-2.1486540529183387</c:v>
                </c:pt>
                <c:pt idx="93">
                  <c:v>-3.3626643054256391</c:v>
                </c:pt>
                <c:pt idx="94">
                  <c:v>-1.9637906690978397</c:v>
                </c:pt>
                <c:pt idx="95">
                  <c:v>-4.6163386982678247</c:v>
                </c:pt>
                <c:pt idx="96">
                  <c:v>-0.87064019964294204</c:v>
                </c:pt>
                <c:pt idx="97">
                  <c:v>2.2755317997147699</c:v>
                </c:pt>
                <c:pt idx="98">
                  <c:v>-1.5454086362198396</c:v>
                </c:pt>
                <c:pt idx="99">
                  <c:v>-0.88212383064063005</c:v>
                </c:pt>
                <c:pt idx="100">
                  <c:v>2.1922745794727803</c:v>
                </c:pt>
                <c:pt idx="101">
                  <c:v>1.3449590109611833</c:v>
                </c:pt>
                <c:pt idx="102">
                  <c:v>1.6490774542693316</c:v>
                </c:pt>
                <c:pt idx="103">
                  <c:v>3.8484819159833634</c:v>
                </c:pt>
                <c:pt idx="104">
                  <c:v>-0.86582925878177264</c:v>
                </c:pt>
                <c:pt idx="105">
                  <c:v>-2.0656722660924203</c:v>
                </c:pt>
                <c:pt idx="106">
                  <c:v>1.59989845627981</c:v>
                </c:pt>
                <c:pt idx="107">
                  <c:v>0.18795861458369956</c:v>
                </c:pt>
                <c:pt idx="108">
                  <c:v>-2.4826838631063737</c:v>
                </c:pt>
                <c:pt idx="109">
                  <c:v>-2.9775297039474964</c:v>
                </c:pt>
                <c:pt idx="110">
                  <c:v>-0.62832250720686744</c:v>
                </c:pt>
                <c:pt idx="111">
                  <c:v>2.3712428411510231</c:v>
                </c:pt>
                <c:pt idx="112">
                  <c:v>3.8004576126818677</c:v>
                </c:pt>
                <c:pt idx="113">
                  <c:v>2.9546718262207889</c:v>
                </c:pt>
                <c:pt idx="114">
                  <c:v>-0.9244174442216746</c:v>
                </c:pt>
                <c:pt idx="115">
                  <c:v>-1.1309513319879372</c:v>
                </c:pt>
                <c:pt idx="116">
                  <c:v>2.7236139688160961</c:v>
                </c:pt>
                <c:pt idx="117">
                  <c:v>3.8977118491998297</c:v>
                </c:pt>
                <c:pt idx="118">
                  <c:v>4.0134223778137823</c:v>
                </c:pt>
                <c:pt idx="119">
                  <c:v>-0.518515587238916</c:v>
                </c:pt>
                <c:pt idx="120">
                  <c:v>-0.47318038579174981</c:v>
                </c:pt>
                <c:pt idx="121">
                  <c:v>-1.1940213810124476</c:v>
                </c:pt>
                <c:pt idx="122">
                  <c:v>0.22018978593980165</c:v>
                </c:pt>
                <c:pt idx="123">
                  <c:v>-1.2282390596629043</c:v>
                </c:pt>
                <c:pt idx="124">
                  <c:v>-5.1717213375708724</c:v>
                </c:pt>
                <c:pt idx="125">
                  <c:v>6.2419948744559477</c:v>
                </c:pt>
                <c:pt idx="126">
                  <c:v>-1.8245846940971902</c:v>
                </c:pt>
                <c:pt idx="127">
                  <c:v>4.0671806998654176</c:v>
                </c:pt>
                <c:pt idx="128">
                  <c:v>3.5327742901622372</c:v>
                </c:pt>
                <c:pt idx="129">
                  <c:v>-1.7125515119743824</c:v>
                </c:pt>
                <c:pt idx="130">
                  <c:v>-1.1828167753346293</c:v>
                </c:pt>
                <c:pt idx="131">
                  <c:v>-0.69332963669434378</c:v>
                </c:pt>
                <c:pt idx="132">
                  <c:v>-2.1274594087691412</c:v>
                </c:pt>
                <c:pt idx="133">
                  <c:v>-3.3869052195260494</c:v>
                </c:pt>
                <c:pt idx="134">
                  <c:v>0.53919924700066701</c:v>
                </c:pt>
                <c:pt idx="135">
                  <c:v>-3.5952014322934431</c:v>
                </c:pt>
                <c:pt idx="136">
                  <c:v>3.8629412105149896</c:v>
                </c:pt>
                <c:pt idx="137">
                  <c:v>1.246016751524067</c:v>
                </c:pt>
                <c:pt idx="138">
                  <c:v>-2.8605357198874231</c:v>
                </c:pt>
                <c:pt idx="139">
                  <c:v>-3.1261243170708255</c:v>
                </c:pt>
                <c:pt idx="140">
                  <c:v>-1.3305816961993102</c:v>
                </c:pt>
                <c:pt idx="141">
                  <c:v>2.5311956056189473</c:v>
                </c:pt>
                <c:pt idx="142">
                  <c:v>4.486665133602628</c:v>
                </c:pt>
                <c:pt idx="143">
                  <c:v>2.0514266776508521</c:v>
                </c:pt>
                <c:pt idx="144">
                  <c:v>1.2416102009724099</c:v>
                </c:pt>
                <c:pt idx="145">
                  <c:v>0.62023647381354863</c:v>
                </c:pt>
                <c:pt idx="146">
                  <c:v>3.4107310501770058</c:v>
                </c:pt>
                <c:pt idx="147">
                  <c:v>-3.8183861152202923</c:v>
                </c:pt>
                <c:pt idx="148">
                  <c:v>-0.42740428248913531</c:v>
                </c:pt>
                <c:pt idx="149">
                  <c:v>0.1371414297805984</c:v>
                </c:pt>
                <c:pt idx="150">
                  <c:v>-3.6091469570886048</c:v>
                </c:pt>
                <c:pt idx="151">
                  <c:v>-3.0434300713189089E-2</c:v>
                </c:pt>
                <c:pt idx="152">
                  <c:v>-1.3693317171857586</c:v>
                </c:pt>
                <c:pt idx="153">
                  <c:v>-3.8289277743363641</c:v>
                </c:pt>
                <c:pt idx="154">
                  <c:v>2.7251194943646766</c:v>
                </c:pt>
                <c:pt idx="155">
                  <c:v>-1.1357391615899388</c:v>
                </c:pt>
                <c:pt idx="156">
                  <c:v>4.5284435482955345</c:v>
                </c:pt>
                <c:pt idx="157">
                  <c:v>1.3068517190684901</c:v>
                </c:pt>
                <c:pt idx="158">
                  <c:v>4.9877280230118828</c:v>
                </c:pt>
                <c:pt idx="159">
                  <c:v>-1.6005459907167037</c:v>
                </c:pt>
                <c:pt idx="160">
                  <c:v>3.8366591731711139</c:v>
                </c:pt>
                <c:pt idx="161">
                  <c:v>-0.91612441017690571</c:v>
                </c:pt>
                <c:pt idx="162">
                  <c:v>-2.0793905594634765</c:v>
                </c:pt>
                <c:pt idx="163">
                  <c:v>1.5016081546717928</c:v>
                </c:pt>
                <c:pt idx="164">
                  <c:v>-0.54782150931595908</c:v>
                </c:pt>
                <c:pt idx="165">
                  <c:v>-1.2940676895683794</c:v>
                </c:pt>
                <c:pt idx="166">
                  <c:v>1.2743782149055534</c:v>
                </c:pt>
                <c:pt idx="167">
                  <c:v>-2.5151485047259357</c:v>
                </c:pt>
                <c:pt idx="168">
                  <c:v>0.10064386608207343</c:v>
                </c:pt>
                <c:pt idx="169">
                  <c:v>-1.3601836179118578</c:v>
                </c:pt>
                <c:pt idx="170">
                  <c:v>0.19678436571016533</c:v>
                </c:pt>
                <c:pt idx="171">
                  <c:v>-4.9024283568868015</c:v>
                </c:pt>
                <c:pt idx="172">
                  <c:v>-3.8187991377266144</c:v>
                </c:pt>
                <c:pt idx="173">
                  <c:v>-2.9961743708372808</c:v>
                </c:pt>
                <c:pt idx="174">
                  <c:v>0.47672240096849805</c:v>
                </c:pt>
                <c:pt idx="175">
                  <c:v>-2.3949175248223682</c:v>
                </c:pt>
                <c:pt idx="176">
                  <c:v>-3.3026763709727689</c:v>
                </c:pt>
                <c:pt idx="177">
                  <c:v>3.7530337230266326</c:v>
                </c:pt>
                <c:pt idx="178">
                  <c:v>-3.9603209898891265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C6-4F42-8843-07030E7AD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1999087"/>
        <c:axId val="1391999567"/>
      </c:scatterChart>
      <c:valAx>
        <c:axId val="1391999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Adult_mortality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999567"/>
        <c:crosses val="autoZero"/>
        <c:crossBetween val="midCat"/>
      </c:valAx>
      <c:valAx>
        <c:axId val="139199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999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GDP_per_capita Line Fit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Predicted Life_expectancy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Sheet1!$A$180:$A$358</c:f>
              <c:numCache>
                <c:formatCode>General</c:formatCode>
                <c:ptCount val="179"/>
                <c:pt idx="0">
                  <c:v>2423</c:v>
                </c:pt>
                <c:pt idx="1">
                  <c:v>9425</c:v>
                </c:pt>
                <c:pt idx="2">
                  <c:v>300</c:v>
                </c:pt>
                <c:pt idx="3">
                  <c:v>358</c:v>
                </c:pt>
                <c:pt idx="4">
                  <c:v>3521</c:v>
                </c:pt>
                <c:pt idx="5">
                  <c:v>47974</c:v>
                </c:pt>
                <c:pt idx="6">
                  <c:v>300</c:v>
                </c:pt>
                <c:pt idx="7">
                  <c:v>1898</c:v>
                </c:pt>
                <c:pt idx="8">
                  <c:v>300</c:v>
                </c:pt>
                <c:pt idx="9">
                  <c:v>12051</c:v>
                </c:pt>
                <c:pt idx="10">
                  <c:v>2256</c:v>
                </c:pt>
                <c:pt idx="11">
                  <c:v>13431</c:v>
                </c:pt>
                <c:pt idx="12">
                  <c:v>31162</c:v>
                </c:pt>
                <c:pt idx="13">
                  <c:v>300</c:v>
                </c:pt>
                <c:pt idx="14">
                  <c:v>1404</c:v>
                </c:pt>
                <c:pt idx="15">
                  <c:v>12746</c:v>
                </c:pt>
                <c:pt idx="16">
                  <c:v>4410</c:v>
                </c:pt>
                <c:pt idx="17">
                  <c:v>895</c:v>
                </c:pt>
                <c:pt idx="18">
                  <c:v>2666</c:v>
                </c:pt>
                <c:pt idx="19">
                  <c:v>4686</c:v>
                </c:pt>
                <c:pt idx="20">
                  <c:v>762</c:v>
                </c:pt>
                <c:pt idx="21">
                  <c:v>1275</c:v>
                </c:pt>
                <c:pt idx="22">
                  <c:v>6066</c:v>
                </c:pt>
                <c:pt idx="23">
                  <c:v>470</c:v>
                </c:pt>
                <c:pt idx="24">
                  <c:v>9631</c:v>
                </c:pt>
                <c:pt idx="25">
                  <c:v>5012</c:v>
                </c:pt>
                <c:pt idx="26">
                  <c:v>6068</c:v>
                </c:pt>
                <c:pt idx="27">
                  <c:v>870</c:v>
                </c:pt>
                <c:pt idx="28">
                  <c:v>962</c:v>
                </c:pt>
                <c:pt idx="29">
                  <c:v>10309</c:v>
                </c:pt>
                <c:pt idx="30">
                  <c:v>824</c:v>
                </c:pt>
                <c:pt idx="31">
                  <c:v>2672</c:v>
                </c:pt>
                <c:pt idx="32">
                  <c:v>460</c:v>
                </c:pt>
                <c:pt idx="33">
                  <c:v>537</c:v>
                </c:pt>
                <c:pt idx="34">
                  <c:v>730</c:v>
                </c:pt>
                <c:pt idx="35">
                  <c:v>16372</c:v>
                </c:pt>
                <c:pt idx="36">
                  <c:v>2090</c:v>
                </c:pt>
                <c:pt idx="37">
                  <c:v>300</c:v>
                </c:pt>
                <c:pt idx="38">
                  <c:v>8262</c:v>
                </c:pt>
                <c:pt idx="39">
                  <c:v>7715</c:v>
                </c:pt>
                <c:pt idx="40">
                  <c:v>2510</c:v>
                </c:pt>
                <c:pt idx="41">
                  <c:v>1119</c:v>
                </c:pt>
                <c:pt idx="42">
                  <c:v>14026</c:v>
                </c:pt>
                <c:pt idx="43">
                  <c:v>9528</c:v>
                </c:pt>
                <c:pt idx="44">
                  <c:v>459</c:v>
                </c:pt>
                <c:pt idx="45">
                  <c:v>346</c:v>
                </c:pt>
                <c:pt idx="46">
                  <c:v>1212</c:v>
                </c:pt>
                <c:pt idx="47">
                  <c:v>466</c:v>
                </c:pt>
                <c:pt idx="48">
                  <c:v>1171</c:v>
                </c:pt>
                <c:pt idx="49">
                  <c:v>1054</c:v>
                </c:pt>
                <c:pt idx="50">
                  <c:v>1287</c:v>
                </c:pt>
                <c:pt idx="51">
                  <c:v>1227</c:v>
                </c:pt>
                <c:pt idx="52">
                  <c:v>10100</c:v>
                </c:pt>
                <c:pt idx="53">
                  <c:v>2452</c:v>
                </c:pt>
                <c:pt idx="54">
                  <c:v>482</c:v>
                </c:pt>
                <c:pt idx="55">
                  <c:v>776</c:v>
                </c:pt>
                <c:pt idx="56">
                  <c:v>1841</c:v>
                </c:pt>
                <c:pt idx="57">
                  <c:v>1394</c:v>
                </c:pt>
                <c:pt idx="58">
                  <c:v>2164</c:v>
                </c:pt>
                <c:pt idx="59">
                  <c:v>663</c:v>
                </c:pt>
                <c:pt idx="60">
                  <c:v>29706</c:v>
                </c:pt>
                <c:pt idx="61">
                  <c:v>3038</c:v>
                </c:pt>
                <c:pt idx="62">
                  <c:v>12568</c:v>
                </c:pt>
                <c:pt idx="63">
                  <c:v>887</c:v>
                </c:pt>
                <c:pt idx="64">
                  <c:v>3735</c:v>
                </c:pt>
                <c:pt idx="65">
                  <c:v>6235</c:v>
                </c:pt>
                <c:pt idx="66">
                  <c:v>22716</c:v>
                </c:pt>
                <c:pt idx="67">
                  <c:v>3199</c:v>
                </c:pt>
                <c:pt idx="68">
                  <c:v>6449</c:v>
                </c:pt>
                <c:pt idx="69">
                  <c:v>970</c:v>
                </c:pt>
                <c:pt idx="70">
                  <c:v>41482</c:v>
                </c:pt>
                <c:pt idx="71">
                  <c:v>8342</c:v>
                </c:pt>
                <c:pt idx="72">
                  <c:v>8746</c:v>
                </c:pt>
                <c:pt idx="73">
                  <c:v>2743</c:v>
                </c:pt>
                <c:pt idx="74">
                  <c:v>8140</c:v>
                </c:pt>
                <c:pt idx="75">
                  <c:v>12490</c:v>
                </c:pt>
                <c:pt idx="76">
                  <c:v>631</c:v>
                </c:pt>
                <c:pt idx="77">
                  <c:v>4109</c:v>
                </c:pt>
                <c:pt idx="78">
                  <c:v>1257</c:v>
                </c:pt>
                <c:pt idx="79">
                  <c:v>2052</c:v>
                </c:pt>
                <c:pt idx="80">
                  <c:v>711</c:v>
                </c:pt>
                <c:pt idx="81">
                  <c:v>589</c:v>
                </c:pt>
                <c:pt idx="82">
                  <c:v>819</c:v>
                </c:pt>
                <c:pt idx="83">
                  <c:v>375</c:v>
                </c:pt>
                <c:pt idx="84">
                  <c:v>1436</c:v>
                </c:pt>
                <c:pt idx="85">
                  <c:v>2765</c:v>
                </c:pt>
                <c:pt idx="86">
                  <c:v>688</c:v>
                </c:pt>
                <c:pt idx="87">
                  <c:v>7016</c:v>
                </c:pt>
                <c:pt idx="88">
                  <c:v>768</c:v>
                </c:pt>
                <c:pt idx="89">
                  <c:v>3201</c:v>
                </c:pt>
                <c:pt idx="90">
                  <c:v>548</c:v>
                </c:pt>
                <c:pt idx="91">
                  <c:v>2198</c:v>
                </c:pt>
                <c:pt idx="92">
                  <c:v>4366</c:v>
                </c:pt>
                <c:pt idx="93">
                  <c:v>1585</c:v>
                </c:pt>
                <c:pt idx="94">
                  <c:v>1616</c:v>
                </c:pt>
                <c:pt idx="95">
                  <c:v>36852</c:v>
                </c:pt>
                <c:pt idx="96">
                  <c:v>9474</c:v>
                </c:pt>
                <c:pt idx="97">
                  <c:v>60000</c:v>
                </c:pt>
                <c:pt idx="98">
                  <c:v>825</c:v>
                </c:pt>
                <c:pt idx="99">
                  <c:v>1387</c:v>
                </c:pt>
                <c:pt idx="100">
                  <c:v>748</c:v>
                </c:pt>
                <c:pt idx="101">
                  <c:v>461</c:v>
                </c:pt>
                <c:pt idx="102">
                  <c:v>551</c:v>
                </c:pt>
                <c:pt idx="103">
                  <c:v>4171</c:v>
                </c:pt>
                <c:pt idx="104">
                  <c:v>1385</c:v>
                </c:pt>
                <c:pt idx="105">
                  <c:v>29564</c:v>
                </c:pt>
                <c:pt idx="106">
                  <c:v>3328</c:v>
                </c:pt>
                <c:pt idx="107">
                  <c:v>313</c:v>
                </c:pt>
                <c:pt idx="108">
                  <c:v>8470</c:v>
                </c:pt>
                <c:pt idx="109">
                  <c:v>3258</c:v>
                </c:pt>
                <c:pt idx="110">
                  <c:v>1313</c:v>
                </c:pt>
                <c:pt idx="111">
                  <c:v>28452</c:v>
                </c:pt>
                <c:pt idx="112">
                  <c:v>1708</c:v>
                </c:pt>
                <c:pt idx="113">
                  <c:v>20077</c:v>
                </c:pt>
                <c:pt idx="114">
                  <c:v>8686</c:v>
                </c:pt>
                <c:pt idx="115">
                  <c:v>16966</c:v>
                </c:pt>
                <c:pt idx="116">
                  <c:v>456</c:v>
                </c:pt>
                <c:pt idx="117">
                  <c:v>360</c:v>
                </c:pt>
                <c:pt idx="118">
                  <c:v>37975</c:v>
                </c:pt>
                <c:pt idx="119">
                  <c:v>15599</c:v>
                </c:pt>
                <c:pt idx="120">
                  <c:v>300</c:v>
                </c:pt>
                <c:pt idx="121">
                  <c:v>5021</c:v>
                </c:pt>
                <c:pt idx="122">
                  <c:v>300</c:v>
                </c:pt>
                <c:pt idx="123">
                  <c:v>13651</c:v>
                </c:pt>
                <c:pt idx="124">
                  <c:v>1004</c:v>
                </c:pt>
                <c:pt idx="125">
                  <c:v>392</c:v>
                </c:pt>
                <c:pt idx="126">
                  <c:v>3933</c:v>
                </c:pt>
                <c:pt idx="127">
                  <c:v>2581</c:v>
                </c:pt>
                <c:pt idx="128">
                  <c:v>45192</c:v>
                </c:pt>
                <c:pt idx="129">
                  <c:v>300</c:v>
                </c:pt>
                <c:pt idx="130">
                  <c:v>402</c:v>
                </c:pt>
                <c:pt idx="131">
                  <c:v>5936</c:v>
                </c:pt>
                <c:pt idx="132">
                  <c:v>439</c:v>
                </c:pt>
                <c:pt idx="133">
                  <c:v>3117</c:v>
                </c:pt>
                <c:pt idx="134">
                  <c:v>1875</c:v>
                </c:pt>
                <c:pt idx="135">
                  <c:v>1541</c:v>
                </c:pt>
                <c:pt idx="136">
                  <c:v>11321</c:v>
                </c:pt>
                <c:pt idx="137">
                  <c:v>1730</c:v>
                </c:pt>
                <c:pt idx="138">
                  <c:v>1953</c:v>
                </c:pt>
                <c:pt idx="139">
                  <c:v>4236</c:v>
                </c:pt>
                <c:pt idx="140">
                  <c:v>8203</c:v>
                </c:pt>
                <c:pt idx="141">
                  <c:v>60000</c:v>
                </c:pt>
                <c:pt idx="142">
                  <c:v>17739</c:v>
                </c:pt>
                <c:pt idx="143">
                  <c:v>7703</c:v>
                </c:pt>
                <c:pt idx="144">
                  <c:v>1666</c:v>
                </c:pt>
                <c:pt idx="145">
                  <c:v>900</c:v>
                </c:pt>
                <c:pt idx="146">
                  <c:v>4170</c:v>
                </c:pt>
                <c:pt idx="147">
                  <c:v>14275</c:v>
                </c:pt>
                <c:pt idx="148">
                  <c:v>15726</c:v>
                </c:pt>
                <c:pt idx="149">
                  <c:v>7888</c:v>
                </c:pt>
                <c:pt idx="150">
                  <c:v>1652</c:v>
                </c:pt>
                <c:pt idx="151">
                  <c:v>9131</c:v>
                </c:pt>
                <c:pt idx="152">
                  <c:v>31767</c:v>
                </c:pt>
                <c:pt idx="153">
                  <c:v>3988</c:v>
                </c:pt>
                <c:pt idx="154">
                  <c:v>303</c:v>
                </c:pt>
                <c:pt idx="155">
                  <c:v>50098</c:v>
                </c:pt>
                <c:pt idx="156">
                  <c:v>8626</c:v>
                </c:pt>
                <c:pt idx="157">
                  <c:v>2569</c:v>
                </c:pt>
                <c:pt idx="158">
                  <c:v>4294</c:v>
                </c:pt>
                <c:pt idx="159">
                  <c:v>15930</c:v>
                </c:pt>
                <c:pt idx="160">
                  <c:v>21889</c:v>
                </c:pt>
                <c:pt idx="161">
                  <c:v>44418</c:v>
                </c:pt>
                <c:pt idx="162">
                  <c:v>1120</c:v>
                </c:pt>
                <c:pt idx="163">
                  <c:v>9327</c:v>
                </c:pt>
                <c:pt idx="164">
                  <c:v>525</c:v>
                </c:pt>
                <c:pt idx="165">
                  <c:v>300</c:v>
                </c:pt>
                <c:pt idx="166">
                  <c:v>7795</c:v>
                </c:pt>
                <c:pt idx="167">
                  <c:v>1130</c:v>
                </c:pt>
                <c:pt idx="168">
                  <c:v>1336</c:v>
                </c:pt>
                <c:pt idx="169">
                  <c:v>4011</c:v>
                </c:pt>
                <c:pt idx="170">
                  <c:v>1261</c:v>
                </c:pt>
                <c:pt idx="171">
                  <c:v>3569</c:v>
                </c:pt>
                <c:pt idx="172">
                  <c:v>7870</c:v>
                </c:pt>
                <c:pt idx="173">
                  <c:v>14338</c:v>
                </c:pt>
                <c:pt idx="174">
                  <c:v>11220</c:v>
                </c:pt>
                <c:pt idx="175">
                  <c:v>5398</c:v>
                </c:pt>
                <c:pt idx="176">
                  <c:v>17311</c:v>
                </c:pt>
                <c:pt idx="177">
                  <c:v>300</c:v>
                </c:pt>
                <c:pt idx="178">
                  <c:v>5013</c:v>
                </c:pt>
              </c:numCache>
            </c:numRef>
          </c:xVal>
          <c:yVal>
            <c:numRef>
              <c:f>Sheet1!$B$180:$B$358</c:f>
              <c:numCache>
                <c:formatCode>General</c:formatCode>
                <c:ptCount val="179"/>
                <c:pt idx="0">
                  <c:v>57.330410623060665</c:v>
                </c:pt>
                <c:pt idx="1">
                  <c:v>55.225790286338679</c:v>
                </c:pt>
                <c:pt idx="2">
                  <c:v>52.175273012206723</c:v>
                </c:pt>
                <c:pt idx="3">
                  <c:v>56.314530621482788</c:v>
                </c:pt>
                <c:pt idx="4">
                  <c:v>53.347927267977674</c:v>
                </c:pt>
                <c:pt idx="5">
                  <c:v>54.094813161382305</c:v>
                </c:pt>
                <c:pt idx="6">
                  <c:v>48.072168656753277</c:v>
                </c:pt>
                <c:pt idx="7">
                  <c:v>50.954758159410453</c:v>
                </c:pt>
                <c:pt idx="8">
                  <c:v>55.993872225662848</c:v>
                </c:pt>
                <c:pt idx="9">
                  <c:v>51.179333908580588</c:v>
                </c:pt>
                <c:pt idx="10">
                  <c:v>47.165901887289934</c:v>
                </c:pt>
                <c:pt idx="11">
                  <c:v>53.64428725304834</c:v>
                </c:pt>
                <c:pt idx="12">
                  <c:v>51.445792990360005</c:v>
                </c:pt>
                <c:pt idx="13">
                  <c:v>48.331239200192869</c:v>
                </c:pt>
                <c:pt idx="14">
                  <c:v>57.640706965493713</c:v>
                </c:pt>
                <c:pt idx="15">
                  <c:v>53.908472857208203</c:v>
                </c:pt>
                <c:pt idx="16">
                  <c:v>57.667444832138948</c:v>
                </c:pt>
                <c:pt idx="17">
                  <c:v>47.224043472780252</c:v>
                </c:pt>
                <c:pt idx="18">
                  <c:v>48.923042082891342</c:v>
                </c:pt>
                <c:pt idx="19">
                  <c:v>48.794375597079387</c:v>
                </c:pt>
                <c:pt idx="20">
                  <c:v>53.332809452458726</c:v>
                </c:pt>
                <c:pt idx="21">
                  <c:v>57.339517084512188</c:v>
                </c:pt>
                <c:pt idx="22">
                  <c:v>55.880431274919225</c:v>
                </c:pt>
                <c:pt idx="23">
                  <c:v>59.350381049799161</c:v>
                </c:pt>
                <c:pt idx="24">
                  <c:v>48.377629620321372</c:v>
                </c:pt>
                <c:pt idx="25">
                  <c:v>51.556853291103238</c:v>
                </c:pt>
                <c:pt idx="26">
                  <c:v>55.041143114633051</c:v>
                </c:pt>
                <c:pt idx="27">
                  <c:v>53.344280587225498</c:v>
                </c:pt>
                <c:pt idx="28">
                  <c:v>50.838965388657932</c:v>
                </c:pt>
                <c:pt idx="29">
                  <c:v>56.650125894441189</c:v>
                </c:pt>
                <c:pt idx="30">
                  <c:v>52.177206931319922</c:v>
                </c:pt>
                <c:pt idx="31">
                  <c:v>51.678760716623628</c:v>
                </c:pt>
                <c:pt idx="32">
                  <c:v>57.096895830094915</c:v>
                </c:pt>
                <c:pt idx="33">
                  <c:v>51.237358454787433</c:v>
                </c:pt>
                <c:pt idx="34">
                  <c:v>53.370459744036701</c:v>
                </c:pt>
                <c:pt idx="35">
                  <c:v>58.820589216688511</c:v>
                </c:pt>
                <c:pt idx="36">
                  <c:v>44.823445261717737</c:v>
                </c:pt>
                <c:pt idx="37">
                  <c:v>53.186704891082364</c:v>
                </c:pt>
                <c:pt idx="38">
                  <c:v>52.492988054753631</c:v>
                </c:pt>
                <c:pt idx="39">
                  <c:v>51.779323480735748</c:v>
                </c:pt>
                <c:pt idx="40">
                  <c:v>59.562817048879033</c:v>
                </c:pt>
                <c:pt idx="41">
                  <c:v>62.053232013405477</c:v>
                </c:pt>
                <c:pt idx="42">
                  <c:v>46.463677582974192</c:v>
                </c:pt>
                <c:pt idx="43">
                  <c:v>56.163547394214355</c:v>
                </c:pt>
                <c:pt idx="44">
                  <c:v>57.19727178339086</c:v>
                </c:pt>
                <c:pt idx="45">
                  <c:v>59.315878218998733</c:v>
                </c:pt>
                <c:pt idx="46">
                  <c:v>52.852842751077247</c:v>
                </c:pt>
                <c:pt idx="47">
                  <c:v>56.868895183746304</c:v>
                </c:pt>
                <c:pt idx="48">
                  <c:v>54.455464831705868</c:v>
                </c:pt>
                <c:pt idx="49">
                  <c:v>53.142187572840143</c:v>
                </c:pt>
                <c:pt idx="50">
                  <c:v>55.82966992017171</c:v>
                </c:pt>
                <c:pt idx="51">
                  <c:v>55.220515163353227</c:v>
                </c:pt>
                <c:pt idx="52">
                  <c:v>55.079230877695814</c:v>
                </c:pt>
                <c:pt idx="53">
                  <c:v>57.11365509093136</c:v>
                </c:pt>
                <c:pt idx="54">
                  <c:v>54.820117404734518</c:v>
                </c:pt>
                <c:pt idx="55">
                  <c:v>49.704568694798077</c:v>
                </c:pt>
                <c:pt idx="56">
                  <c:v>56.606242969094104</c:v>
                </c:pt>
                <c:pt idx="57">
                  <c:v>56.770506278056288</c:v>
                </c:pt>
                <c:pt idx="58">
                  <c:v>52.869337117458414</c:v>
                </c:pt>
                <c:pt idx="59">
                  <c:v>51.980532697954295</c:v>
                </c:pt>
                <c:pt idx="60">
                  <c:v>54.035048148926272</c:v>
                </c:pt>
                <c:pt idx="61">
                  <c:v>53.031784208012404</c:v>
                </c:pt>
                <c:pt idx="62">
                  <c:v>55.889081044881678</c:v>
                </c:pt>
                <c:pt idx="63">
                  <c:v>55.054544244055684</c:v>
                </c:pt>
                <c:pt idx="64">
                  <c:v>53.183764631746286</c:v>
                </c:pt>
                <c:pt idx="65">
                  <c:v>48.787685121063248</c:v>
                </c:pt>
                <c:pt idx="66">
                  <c:v>60.607434831590304</c:v>
                </c:pt>
                <c:pt idx="67">
                  <c:v>56.732989477965951</c:v>
                </c:pt>
                <c:pt idx="68">
                  <c:v>58.581597108080757</c:v>
                </c:pt>
                <c:pt idx="69">
                  <c:v>53.262758337364055</c:v>
                </c:pt>
                <c:pt idx="70">
                  <c:v>55.543440590738953</c:v>
                </c:pt>
                <c:pt idx="71">
                  <c:v>58.759169509703192</c:v>
                </c:pt>
                <c:pt idx="72">
                  <c:v>52.32123968468516</c:v>
                </c:pt>
                <c:pt idx="73">
                  <c:v>58.629772374390917</c:v>
                </c:pt>
                <c:pt idx="74">
                  <c:v>55.739545160367129</c:v>
                </c:pt>
                <c:pt idx="75">
                  <c:v>54.471260686424074</c:v>
                </c:pt>
                <c:pt idx="76">
                  <c:v>44.436224919282083</c:v>
                </c:pt>
                <c:pt idx="77">
                  <c:v>51.255096891406417</c:v>
                </c:pt>
                <c:pt idx="78">
                  <c:v>54.713894277059168</c:v>
                </c:pt>
                <c:pt idx="79">
                  <c:v>44.985530780085597</c:v>
                </c:pt>
                <c:pt idx="80">
                  <c:v>52.432807758058004</c:v>
                </c:pt>
                <c:pt idx="81">
                  <c:v>58.208714930962174</c:v>
                </c:pt>
                <c:pt idx="82">
                  <c:v>60.917800601182336</c:v>
                </c:pt>
                <c:pt idx="83">
                  <c:v>61.546833219584613</c:v>
                </c:pt>
                <c:pt idx="84">
                  <c:v>51.091713970726431</c:v>
                </c:pt>
                <c:pt idx="85">
                  <c:v>54.091796146414531</c:v>
                </c:pt>
                <c:pt idx="86">
                  <c:v>58.536538638022755</c:v>
                </c:pt>
                <c:pt idx="87">
                  <c:v>54.597814008194035</c:v>
                </c:pt>
                <c:pt idx="88">
                  <c:v>53.458397765045397</c:v>
                </c:pt>
                <c:pt idx="89">
                  <c:v>47.943257200539698</c:v>
                </c:pt>
                <c:pt idx="90">
                  <c:v>60.180480198076893</c:v>
                </c:pt>
                <c:pt idx="91">
                  <c:v>53.529552688108801</c:v>
                </c:pt>
                <c:pt idx="92">
                  <c:v>55.74865405291834</c:v>
                </c:pt>
                <c:pt idx="93">
                  <c:v>53.362664305425639</c:v>
                </c:pt>
                <c:pt idx="94">
                  <c:v>51.96379066909784</c:v>
                </c:pt>
                <c:pt idx="95">
                  <c:v>54.616338698267825</c:v>
                </c:pt>
                <c:pt idx="96">
                  <c:v>50.870640199642942</c:v>
                </c:pt>
                <c:pt idx="97">
                  <c:v>61.124468200285229</c:v>
                </c:pt>
                <c:pt idx="98">
                  <c:v>51.54540863621984</c:v>
                </c:pt>
                <c:pt idx="99">
                  <c:v>53.38212383064063</c:v>
                </c:pt>
                <c:pt idx="100">
                  <c:v>55.407725420527221</c:v>
                </c:pt>
                <c:pt idx="101">
                  <c:v>48.655040989038817</c:v>
                </c:pt>
                <c:pt idx="102">
                  <c:v>58.550922545730671</c:v>
                </c:pt>
                <c:pt idx="103">
                  <c:v>46.151518084016637</c:v>
                </c:pt>
                <c:pt idx="104">
                  <c:v>50.865829258781773</c:v>
                </c:pt>
                <c:pt idx="105">
                  <c:v>58.665672266092422</c:v>
                </c:pt>
                <c:pt idx="106">
                  <c:v>50.500101543720191</c:v>
                </c:pt>
                <c:pt idx="107">
                  <c:v>56.712041385416299</c:v>
                </c:pt>
                <c:pt idx="108">
                  <c:v>60.382683863106372</c:v>
                </c:pt>
                <c:pt idx="109">
                  <c:v>52.977529703947496</c:v>
                </c:pt>
                <c:pt idx="110">
                  <c:v>55.228322507206869</c:v>
                </c:pt>
                <c:pt idx="111">
                  <c:v>47.628757158848977</c:v>
                </c:pt>
                <c:pt idx="112">
                  <c:v>53.199542387318132</c:v>
                </c:pt>
                <c:pt idx="113">
                  <c:v>57.545328173779211</c:v>
                </c:pt>
                <c:pt idx="114">
                  <c:v>50.924417444221675</c:v>
                </c:pt>
                <c:pt idx="115">
                  <c:v>51.130951331987937</c:v>
                </c:pt>
                <c:pt idx="116">
                  <c:v>57.076386031183901</c:v>
                </c:pt>
                <c:pt idx="117">
                  <c:v>54.502288150800169</c:v>
                </c:pt>
                <c:pt idx="118">
                  <c:v>59.086577622186219</c:v>
                </c:pt>
                <c:pt idx="119">
                  <c:v>56.418515587238915</c:v>
                </c:pt>
                <c:pt idx="120">
                  <c:v>50.47318038579175</c:v>
                </c:pt>
                <c:pt idx="121">
                  <c:v>51.194021381012448</c:v>
                </c:pt>
                <c:pt idx="122">
                  <c:v>55.3798102140602</c:v>
                </c:pt>
                <c:pt idx="123">
                  <c:v>51.228239059662904</c:v>
                </c:pt>
                <c:pt idx="124">
                  <c:v>55.171721337570872</c:v>
                </c:pt>
                <c:pt idx="125">
                  <c:v>55.358005125544054</c:v>
                </c:pt>
                <c:pt idx="126">
                  <c:v>54.32458469409719</c:v>
                </c:pt>
                <c:pt idx="127">
                  <c:v>55.632819300134585</c:v>
                </c:pt>
                <c:pt idx="128">
                  <c:v>56.567225709837764</c:v>
                </c:pt>
                <c:pt idx="129">
                  <c:v>51.712551511974382</c:v>
                </c:pt>
                <c:pt idx="130">
                  <c:v>52.982816775334626</c:v>
                </c:pt>
                <c:pt idx="131">
                  <c:v>50.693329636694344</c:v>
                </c:pt>
                <c:pt idx="132">
                  <c:v>52.127459408769141</c:v>
                </c:pt>
                <c:pt idx="133">
                  <c:v>54.986905219526051</c:v>
                </c:pt>
                <c:pt idx="134">
                  <c:v>49.460800752999333</c:v>
                </c:pt>
                <c:pt idx="135">
                  <c:v>53.595201432293443</c:v>
                </c:pt>
                <c:pt idx="136">
                  <c:v>57.337058789485013</c:v>
                </c:pt>
                <c:pt idx="137">
                  <c:v>48.753983248475933</c:v>
                </c:pt>
                <c:pt idx="138">
                  <c:v>52.860535719887423</c:v>
                </c:pt>
                <c:pt idx="139">
                  <c:v>53.126124317070825</c:v>
                </c:pt>
                <c:pt idx="140">
                  <c:v>51.33058169619931</c:v>
                </c:pt>
                <c:pt idx="141">
                  <c:v>59.068804394381054</c:v>
                </c:pt>
                <c:pt idx="142">
                  <c:v>60.513334866397372</c:v>
                </c:pt>
                <c:pt idx="143">
                  <c:v>47.948573322349148</c:v>
                </c:pt>
                <c:pt idx="144">
                  <c:v>52.358389799027591</c:v>
                </c:pt>
                <c:pt idx="145">
                  <c:v>49.679763526186449</c:v>
                </c:pt>
                <c:pt idx="146">
                  <c:v>46.589268949822994</c:v>
                </c:pt>
                <c:pt idx="147">
                  <c:v>56.118386115220289</c:v>
                </c:pt>
                <c:pt idx="148">
                  <c:v>53.727404282489132</c:v>
                </c:pt>
                <c:pt idx="149">
                  <c:v>49.862858570219402</c:v>
                </c:pt>
                <c:pt idx="150">
                  <c:v>54.209146957088606</c:v>
                </c:pt>
                <c:pt idx="151">
                  <c:v>58.830434300713186</c:v>
                </c:pt>
                <c:pt idx="152">
                  <c:v>54.369331717185759</c:v>
                </c:pt>
                <c:pt idx="153">
                  <c:v>54.728927774336363</c:v>
                </c:pt>
                <c:pt idx="154">
                  <c:v>47.274880505635323</c:v>
                </c:pt>
                <c:pt idx="155">
                  <c:v>51.135739161589939</c:v>
                </c:pt>
                <c:pt idx="156">
                  <c:v>58.271556451704463</c:v>
                </c:pt>
                <c:pt idx="157">
                  <c:v>60.893148280931513</c:v>
                </c:pt>
                <c:pt idx="158">
                  <c:v>57.71227197698812</c:v>
                </c:pt>
                <c:pt idx="159">
                  <c:v>54.200545990716705</c:v>
                </c:pt>
                <c:pt idx="160">
                  <c:v>56.863340826828889</c:v>
                </c:pt>
                <c:pt idx="161">
                  <c:v>55.616124410176909</c:v>
                </c:pt>
                <c:pt idx="162">
                  <c:v>52.079390559463477</c:v>
                </c:pt>
                <c:pt idx="163">
                  <c:v>59.69839184532821</c:v>
                </c:pt>
                <c:pt idx="164">
                  <c:v>58.447821509315958</c:v>
                </c:pt>
                <c:pt idx="165">
                  <c:v>55.494067689568382</c:v>
                </c:pt>
                <c:pt idx="166">
                  <c:v>48.725621785094447</c:v>
                </c:pt>
                <c:pt idx="167">
                  <c:v>52.515148504725936</c:v>
                </c:pt>
                <c:pt idx="168">
                  <c:v>49.899356133917927</c:v>
                </c:pt>
                <c:pt idx="169">
                  <c:v>52.760183617911856</c:v>
                </c:pt>
                <c:pt idx="170">
                  <c:v>49.803215634289835</c:v>
                </c:pt>
                <c:pt idx="171">
                  <c:v>54.902428356886801</c:v>
                </c:pt>
                <c:pt idx="172">
                  <c:v>58.618799137726612</c:v>
                </c:pt>
                <c:pt idx="173">
                  <c:v>54.596174370837282</c:v>
                </c:pt>
                <c:pt idx="174">
                  <c:v>49.523277599031502</c:v>
                </c:pt>
                <c:pt idx="175">
                  <c:v>57.094917524822371</c:v>
                </c:pt>
                <c:pt idx="176">
                  <c:v>53.302676370972769</c:v>
                </c:pt>
                <c:pt idx="177">
                  <c:v>55.546966276973365</c:v>
                </c:pt>
                <c:pt idx="178">
                  <c:v>53.960320989889127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49-4FFE-B24D-66E2925A14FB}"/>
            </c:ext>
          </c:extLst>
        </c:ser>
        <c:ser>
          <c:idx val="1"/>
          <c:order val="1"/>
          <c:tx>
            <c:v>Life_expectancy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Sheet1!$A$180:$A$358</c:f>
              <c:numCache>
                <c:formatCode>General</c:formatCode>
                <c:ptCount val="179"/>
                <c:pt idx="0">
                  <c:v>2423</c:v>
                </c:pt>
                <c:pt idx="1">
                  <c:v>9425</c:v>
                </c:pt>
                <c:pt idx="2">
                  <c:v>300</c:v>
                </c:pt>
                <c:pt idx="3">
                  <c:v>358</c:v>
                </c:pt>
                <c:pt idx="4">
                  <c:v>3521</c:v>
                </c:pt>
                <c:pt idx="5">
                  <c:v>47974</c:v>
                </c:pt>
                <c:pt idx="6">
                  <c:v>300</c:v>
                </c:pt>
                <c:pt idx="7">
                  <c:v>1898</c:v>
                </c:pt>
                <c:pt idx="8">
                  <c:v>300</c:v>
                </c:pt>
                <c:pt idx="9">
                  <c:v>12051</c:v>
                </c:pt>
                <c:pt idx="10">
                  <c:v>2256</c:v>
                </c:pt>
                <c:pt idx="11">
                  <c:v>13431</c:v>
                </c:pt>
                <c:pt idx="12">
                  <c:v>31162</c:v>
                </c:pt>
                <c:pt idx="13">
                  <c:v>300</c:v>
                </c:pt>
                <c:pt idx="14">
                  <c:v>1404</c:v>
                </c:pt>
                <c:pt idx="15">
                  <c:v>12746</c:v>
                </c:pt>
                <c:pt idx="16">
                  <c:v>4410</c:v>
                </c:pt>
                <c:pt idx="17">
                  <c:v>895</c:v>
                </c:pt>
                <c:pt idx="18">
                  <c:v>2666</c:v>
                </c:pt>
                <c:pt idx="19">
                  <c:v>4686</c:v>
                </c:pt>
                <c:pt idx="20">
                  <c:v>762</c:v>
                </c:pt>
                <c:pt idx="21">
                  <c:v>1275</c:v>
                </c:pt>
                <c:pt idx="22">
                  <c:v>6066</c:v>
                </c:pt>
                <c:pt idx="23">
                  <c:v>470</c:v>
                </c:pt>
                <c:pt idx="24">
                  <c:v>9631</c:v>
                </c:pt>
                <c:pt idx="25">
                  <c:v>5012</c:v>
                </c:pt>
                <c:pt idx="26">
                  <c:v>6068</c:v>
                </c:pt>
                <c:pt idx="27">
                  <c:v>870</c:v>
                </c:pt>
                <c:pt idx="28">
                  <c:v>962</c:v>
                </c:pt>
                <c:pt idx="29">
                  <c:v>10309</c:v>
                </c:pt>
                <c:pt idx="30">
                  <c:v>824</c:v>
                </c:pt>
                <c:pt idx="31">
                  <c:v>2672</c:v>
                </c:pt>
                <c:pt idx="32">
                  <c:v>460</c:v>
                </c:pt>
                <c:pt idx="33">
                  <c:v>537</c:v>
                </c:pt>
                <c:pt idx="34">
                  <c:v>730</c:v>
                </c:pt>
                <c:pt idx="35">
                  <c:v>16372</c:v>
                </c:pt>
                <c:pt idx="36">
                  <c:v>2090</c:v>
                </c:pt>
                <c:pt idx="37">
                  <c:v>300</c:v>
                </c:pt>
                <c:pt idx="38">
                  <c:v>8262</c:v>
                </c:pt>
                <c:pt idx="39">
                  <c:v>7715</c:v>
                </c:pt>
                <c:pt idx="40">
                  <c:v>2510</c:v>
                </c:pt>
                <c:pt idx="41">
                  <c:v>1119</c:v>
                </c:pt>
                <c:pt idx="42">
                  <c:v>14026</c:v>
                </c:pt>
                <c:pt idx="43">
                  <c:v>9528</c:v>
                </c:pt>
                <c:pt idx="44">
                  <c:v>459</c:v>
                </c:pt>
                <c:pt idx="45">
                  <c:v>346</c:v>
                </c:pt>
                <c:pt idx="46">
                  <c:v>1212</c:v>
                </c:pt>
                <c:pt idx="47">
                  <c:v>466</c:v>
                </c:pt>
                <c:pt idx="48">
                  <c:v>1171</c:v>
                </c:pt>
                <c:pt idx="49">
                  <c:v>1054</c:v>
                </c:pt>
                <c:pt idx="50">
                  <c:v>1287</c:v>
                </c:pt>
                <c:pt idx="51">
                  <c:v>1227</c:v>
                </c:pt>
                <c:pt idx="52">
                  <c:v>10100</c:v>
                </c:pt>
                <c:pt idx="53">
                  <c:v>2452</c:v>
                </c:pt>
                <c:pt idx="54">
                  <c:v>482</c:v>
                </c:pt>
                <c:pt idx="55">
                  <c:v>776</c:v>
                </c:pt>
                <c:pt idx="56">
                  <c:v>1841</c:v>
                </c:pt>
                <c:pt idx="57">
                  <c:v>1394</c:v>
                </c:pt>
                <c:pt idx="58">
                  <c:v>2164</c:v>
                </c:pt>
                <c:pt idx="59">
                  <c:v>663</c:v>
                </c:pt>
                <c:pt idx="60">
                  <c:v>29706</c:v>
                </c:pt>
                <c:pt idx="61">
                  <c:v>3038</c:v>
                </c:pt>
                <c:pt idx="62">
                  <c:v>12568</c:v>
                </c:pt>
                <c:pt idx="63">
                  <c:v>887</c:v>
                </c:pt>
                <c:pt idx="64">
                  <c:v>3735</c:v>
                </c:pt>
                <c:pt idx="65">
                  <c:v>6235</c:v>
                </c:pt>
                <c:pt idx="66">
                  <c:v>22716</c:v>
                </c:pt>
                <c:pt idx="67">
                  <c:v>3199</c:v>
                </c:pt>
                <c:pt idx="68">
                  <c:v>6449</c:v>
                </c:pt>
                <c:pt idx="69">
                  <c:v>970</c:v>
                </c:pt>
                <c:pt idx="70">
                  <c:v>41482</c:v>
                </c:pt>
                <c:pt idx="71">
                  <c:v>8342</c:v>
                </c:pt>
                <c:pt idx="72">
                  <c:v>8746</c:v>
                </c:pt>
                <c:pt idx="73">
                  <c:v>2743</c:v>
                </c:pt>
                <c:pt idx="74">
                  <c:v>8140</c:v>
                </c:pt>
                <c:pt idx="75">
                  <c:v>12490</c:v>
                </c:pt>
                <c:pt idx="76">
                  <c:v>631</c:v>
                </c:pt>
                <c:pt idx="77">
                  <c:v>4109</c:v>
                </c:pt>
                <c:pt idx="78">
                  <c:v>1257</c:v>
                </c:pt>
                <c:pt idx="79">
                  <c:v>2052</c:v>
                </c:pt>
                <c:pt idx="80">
                  <c:v>711</c:v>
                </c:pt>
                <c:pt idx="81">
                  <c:v>589</c:v>
                </c:pt>
                <c:pt idx="82">
                  <c:v>819</c:v>
                </c:pt>
                <c:pt idx="83">
                  <c:v>375</c:v>
                </c:pt>
                <c:pt idx="84">
                  <c:v>1436</c:v>
                </c:pt>
                <c:pt idx="85">
                  <c:v>2765</c:v>
                </c:pt>
                <c:pt idx="86">
                  <c:v>688</c:v>
                </c:pt>
                <c:pt idx="87">
                  <c:v>7016</c:v>
                </c:pt>
                <c:pt idx="88">
                  <c:v>768</c:v>
                </c:pt>
                <c:pt idx="89">
                  <c:v>3201</c:v>
                </c:pt>
                <c:pt idx="90">
                  <c:v>548</c:v>
                </c:pt>
                <c:pt idx="91">
                  <c:v>2198</c:v>
                </c:pt>
                <c:pt idx="92">
                  <c:v>4366</c:v>
                </c:pt>
                <c:pt idx="93">
                  <c:v>1585</c:v>
                </c:pt>
                <c:pt idx="94">
                  <c:v>1616</c:v>
                </c:pt>
                <c:pt idx="95">
                  <c:v>36852</c:v>
                </c:pt>
                <c:pt idx="96">
                  <c:v>9474</c:v>
                </c:pt>
                <c:pt idx="97">
                  <c:v>60000</c:v>
                </c:pt>
                <c:pt idx="98">
                  <c:v>825</c:v>
                </c:pt>
                <c:pt idx="99">
                  <c:v>1387</c:v>
                </c:pt>
                <c:pt idx="100">
                  <c:v>748</c:v>
                </c:pt>
                <c:pt idx="101">
                  <c:v>461</c:v>
                </c:pt>
                <c:pt idx="102">
                  <c:v>551</c:v>
                </c:pt>
                <c:pt idx="103">
                  <c:v>4171</c:v>
                </c:pt>
                <c:pt idx="104">
                  <c:v>1385</c:v>
                </c:pt>
                <c:pt idx="105">
                  <c:v>29564</c:v>
                </c:pt>
                <c:pt idx="106">
                  <c:v>3328</c:v>
                </c:pt>
                <c:pt idx="107">
                  <c:v>313</c:v>
                </c:pt>
                <c:pt idx="108">
                  <c:v>8470</c:v>
                </c:pt>
                <c:pt idx="109">
                  <c:v>3258</c:v>
                </c:pt>
                <c:pt idx="110">
                  <c:v>1313</c:v>
                </c:pt>
                <c:pt idx="111">
                  <c:v>28452</c:v>
                </c:pt>
                <c:pt idx="112">
                  <c:v>1708</c:v>
                </c:pt>
                <c:pt idx="113">
                  <c:v>20077</c:v>
                </c:pt>
                <c:pt idx="114">
                  <c:v>8686</c:v>
                </c:pt>
                <c:pt idx="115">
                  <c:v>16966</c:v>
                </c:pt>
                <c:pt idx="116">
                  <c:v>456</c:v>
                </c:pt>
                <c:pt idx="117">
                  <c:v>360</c:v>
                </c:pt>
                <c:pt idx="118">
                  <c:v>37975</c:v>
                </c:pt>
                <c:pt idx="119">
                  <c:v>15599</c:v>
                </c:pt>
                <c:pt idx="120">
                  <c:v>300</c:v>
                </c:pt>
                <c:pt idx="121">
                  <c:v>5021</c:v>
                </c:pt>
                <c:pt idx="122">
                  <c:v>300</c:v>
                </c:pt>
                <c:pt idx="123">
                  <c:v>13651</c:v>
                </c:pt>
                <c:pt idx="124">
                  <c:v>1004</c:v>
                </c:pt>
                <c:pt idx="125">
                  <c:v>392</c:v>
                </c:pt>
                <c:pt idx="126">
                  <c:v>3933</c:v>
                </c:pt>
                <c:pt idx="127">
                  <c:v>2581</c:v>
                </c:pt>
                <c:pt idx="128">
                  <c:v>45192</c:v>
                </c:pt>
                <c:pt idx="129">
                  <c:v>300</c:v>
                </c:pt>
                <c:pt idx="130">
                  <c:v>402</c:v>
                </c:pt>
                <c:pt idx="131">
                  <c:v>5936</c:v>
                </c:pt>
                <c:pt idx="132">
                  <c:v>439</c:v>
                </c:pt>
                <c:pt idx="133">
                  <c:v>3117</c:v>
                </c:pt>
                <c:pt idx="134">
                  <c:v>1875</c:v>
                </c:pt>
                <c:pt idx="135">
                  <c:v>1541</c:v>
                </c:pt>
                <c:pt idx="136">
                  <c:v>11321</c:v>
                </c:pt>
                <c:pt idx="137">
                  <c:v>1730</c:v>
                </c:pt>
                <c:pt idx="138">
                  <c:v>1953</c:v>
                </c:pt>
                <c:pt idx="139">
                  <c:v>4236</c:v>
                </c:pt>
                <c:pt idx="140">
                  <c:v>8203</c:v>
                </c:pt>
                <c:pt idx="141">
                  <c:v>60000</c:v>
                </c:pt>
                <c:pt idx="142">
                  <c:v>17739</c:v>
                </c:pt>
                <c:pt idx="143">
                  <c:v>7703</c:v>
                </c:pt>
                <c:pt idx="144">
                  <c:v>1666</c:v>
                </c:pt>
                <c:pt idx="145">
                  <c:v>900</c:v>
                </c:pt>
                <c:pt idx="146">
                  <c:v>4170</c:v>
                </c:pt>
                <c:pt idx="147">
                  <c:v>14275</c:v>
                </c:pt>
                <c:pt idx="148">
                  <c:v>15726</c:v>
                </c:pt>
                <c:pt idx="149">
                  <c:v>7888</c:v>
                </c:pt>
                <c:pt idx="150">
                  <c:v>1652</c:v>
                </c:pt>
                <c:pt idx="151">
                  <c:v>9131</c:v>
                </c:pt>
                <c:pt idx="152">
                  <c:v>31767</c:v>
                </c:pt>
                <c:pt idx="153">
                  <c:v>3988</c:v>
                </c:pt>
                <c:pt idx="154">
                  <c:v>303</c:v>
                </c:pt>
                <c:pt idx="155">
                  <c:v>50098</c:v>
                </c:pt>
                <c:pt idx="156">
                  <c:v>8626</c:v>
                </c:pt>
                <c:pt idx="157">
                  <c:v>2569</c:v>
                </c:pt>
                <c:pt idx="158">
                  <c:v>4294</c:v>
                </c:pt>
                <c:pt idx="159">
                  <c:v>15930</c:v>
                </c:pt>
                <c:pt idx="160">
                  <c:v>21889</c:v>
                </c:pt>
                <c:pt idx="161">
                  <c:v>44418</c:v>
                </c:pt>
                <c:pt idx="162">
                  <c:v>1120</c:v>
                </c:pt>
                <c:pt idx="163">
                  <c:v>9327</c:v>
                </c:pt>
                <c:pt idx="164">
                  <c:v>525</c:v>
                </c:pt>
                <c:pt idx="165">
                  <c:v>300</c:v>
                </c:pt>
                <c:pt idx="166">
                  <c:v>7795</c:v>
                </c:pt>
                <c:pt idx="167">
                  <c:v>1130</c:v>
                </c:pt>
                <c:pt idx="168">
                  <c:v>1336</c:v>
                </c:pt>
                <c:pt idx="169">
                  <c:v>4011</c:v>
                </c:pt>
                <c:pt idx="170">
                  <c:v>1261</c:v>
                </c:pt>
                <c:pt idx="171">
                  <c:v>3569</c:v>
                </c:pt>
                <c:pt idx="172">
                  <c:v>7870</c:v>
                </c:pt>
                <c:pt idx="173">
                  <c:v>14338</c:v>
                </c:pt>
                <c:pt idx="174">
                  <c:v>11220</c:v>
                </c:pt>
                <c:pt idx="175">
                  <c:v>5398</c:v>
                </c:pt>
                <c:pt idx="176">
                  <c:v>17311</c:v>
                </c:pt>
                <c:pt idx="177">
                  <c:v>300</c:v>
                </c:pt>
                <c:pt idx="178">
                  <c:v>5013</c:v>
                </c:pt>
              </c:numCache>
            </c:numRef>
          </c:xVal>
          <c:yVal>
            <c:numRef>
              <c:f>Sheet1!$C$180:$C$358</c:f>
              <c:numCache>
                <c:formatCode>General</c:formatCode>
                <c:ptCount val="179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50.3</c:v>
                </c:pt>
                <c:pt idx="72">
                  <c:v>50.3</c:v>
                </c:pt>
                <c:pt idx="73">
                  <c:v>50.4</c:v>
                </c:pt>
                <c:pt idx="74">
                  <c:v>50.4</c:v>
                </c:pt>
                <c:pt idx="75">
                  <c:v>50.5</c:v>
                </c:pt>
                <c:pt idx="76">
                  <c:v>50.5</c:v>
                </c:pt>
                <c:pt idx="77">
                  <c:v>50.5</c:v>
                </c:pt>
                <c:pt idx="78">
                  <c:v>50.6</c:v>
                </c:pt>
                <c:pt idx="79">
                  <c:v>50.6</c:v>
                </c:pt>
                <c:pt idx="80">
                  <c:v>50.7</c:v>
                </c:pt>
                <c:pt idx="81">
                  <c:v>50.9</c:v>
                </c:pt>
                <c:pt idx="82">
                  <c:v>50.9</c:v>
                </c:pt>
                <c:pt idx="83">
                  <c:v>51.3</c:v>
                </c:pt>
                <c:pt idx="84">
                  <c:v>51.4</c:v>
                </c:pt>
                <c:pt idx="85">
                  <c:v>51.5</c:v>
                </c:pt>
                <c:pt idx="86">
                  <c:v>51.5</c:v>
                </c:pt>
                <c:pt idx="87">
                  <c:v>51.6</c:v>
                </c:pt>
                <c:pt idx="88">
                  <c:v>51.6</c:v>
                </c:pt>
                <c:pt idx="89">
                  <c:v>51.6</c:v>
                </c:pt>
                <c:pt idx="90">
                  <c:v>51.7</c:v>
                </c:pt>
                <c:pt idx="91">
                  <c:v>51.8</c:v>
                </c:pt>
                <c:pt idx="92">
                  <c:v>52.1</c:v>
                </c:pt>
                <c:pt idx="93">
                  <c:v>52.3</c:v>
                </c:pt>
                <c:pt idx="94">
                  <c:v>52.3</c:v>
                </c:pt>
                <c:pt idx="95">
                  <c:v>52.4</c:v>
                </c:pt>
                <c:pt idx="96">
                  <c:v>52.5</c:v>
                </c:pt>
                <c:pt idx="97">
                  <c:v>52.5</c:v>
                </c:pt>
                <c:pt idx="98">
                  <c:v>52.6</c:v>
                </c:pt>
                <c:pt idx="99">
                  <c:v>52.7</c:v>
                </c:pt>
                <c:pt idx="100">
                  <c:v>53</c:v>
                </c:pt>
                <c:pt idx="101">
                  <c:v>53</c:v>
                </c:pt>
                <c:pt idx="102">
                  <c:v>53.1</c:v>
                </c:pt>
                <c:pt idx="103">
                  <c:v>53.3</c:v>
                </c:pt>
                <c:pt idx="104">
                  <c:v>53.4</c:v>
                </c:pt>
                <c:pt idx="105">
                  <c:v>53.5</c:v>
                </c:pt>
                <c:pt idx="106">
                  <c:v>53.6</c:v>
                </c:pt>
                <c:pt idx="107">
                  <c:v>53.6</c:v>
                </c:pt>
                <c:pt idx="108">
                  <c:v>54.1</c:v>
                </c:pt>
                <c:pt idx="109">
                  <c:v>54.2</c:v>
                </c:pt>
                <c:pt idx="110">
                  <c:v>54.5</c:v>
                </c:pt>
                <c:pt idx="111">
                  <c:v>54.6</c:v>
                </c:pt>
                <c:pt idx="112">
                  <c:v>54.6</c:v>
                </c:pt>
                <c:pt idx="113">
                  <c:v>54.7</c:v>
                </c:pt>
                <c:pt idx="114">
                  <c:v>54.7</c:v>
                </c:pt>
                <c:pt idx="115">
                  <c:v>54.8</c:v>
                </c:pt>
                <c:pt idx="116">
                  <c:v>54.9</c:v>
                </c:pt>
                <c:pt idx="117">
                  <c:v>55.1</c:v>
                </c:pt>
                <c:pt idx="118">
                  <c:v>55.3</c:v>
                </c:pt>
                <c:pt idx="119">
                  <c:v>55.5</c:v>
                </c:pt>
                <c:pt idx="120">
                  <c:v>55.5</c:v>
                </c:pt>
                <c:pt idx="121">
                  <c:v>55.6</c:v>
                </c:pt>
                <c:pt idx="122">
                  <c:v>55.8</c:v>
                </c:pt>
                <c:pt idx="123">
                  <c:v>55.9</c:v>
                </c:pt>
                <c:pt idx="124">
                  <c:v>56.1</c:v>
                </c:pt>
                <c:pt idx="125">
                  <c:v>56.2</c:v>
                </c:pt>
                <c:pt idx="126">
                  <c:v>56.6</c:v>
                </c:pt>
                <c:pt idx="127">
                  <c:v>56.8</c:v>
                </c:pt>
                <c:pt idx="128">
                  <c:v>56.9</c:v>
                </c:pt>
                <c:pt idx="129">
                  <c:v>56.9</c:v>
                </c:pt>
                <c:pt idx="130">
                  <c:v>57</c:v>
                </c:pt>
                <c:pt idx="131">
                  <c:v>57.1</c:v>
                </c:pt>
                <c:pt idx="132">
                  <c:v>57.3</c:v>
                </c:pt>
                <c:pt idx="133">
                  <c:v>57.4</c:v>
                </c:pt>
                <c:pt idx="134">
                  <c:v>57.5</c:v>
                </c:pt>
                <c:pt idx="135">
                  <c:v>57.6</c:v>
                </c:pt>
                <c:pt idx="136">
                  <c:v>57.9</c:v>
                </c:pt>
                <c:pt idx="137">
                  <c:v>57.9</c:v>
                </c:pt>
                <c:pt idx="138">
                  <c:v>58</c:v>
                </c:pt>
                <c:pt idx="139">
                  <c:v>58.4</c:v>
                </c:pt>
                <c:pt idx="140">
                  <c:v>58.4</c:v>
                </c:pt>
                <c:pt idx="141">
                  <c:v>58.5</c:v>
                </c:pt>
                <c:pt idx="142">
                  <c:v>58.8</c:v>
                </c:pt>
                <c:pt idx="143">
                  <c:v>58.9</c:v>
                </c:pt>
                <c:pt idx="144">
                  <c:v>58.9</c:v>
                </c:pt>
                <c:pt idx="145">
                  <c:v>59</c:v>
                </c:pt>
                <c:pt idx="146">
                  <c:v>59.3</c:v>
                </c:pt>
                <c:pt idx="147">
                  <c:v>59.4</c:v>
                </c:pt>
                <c:pt idx="148">
                  <c:v>59.7</c:v>
                </c:pt>
                <c:pt idx="149">
                  <c:v>59.7</c:v>
                </c:pt>
                <c:pt idx="150">
                  <c:v>59.8</c:v>
                </c:pt>
                <c:pt idx="151">
                  <c:v>59.9</c:v>
                </c:pt>
                <c:pt idx="152">
                  <c:v>60.1</c:v>
                </c:pt>
                <c:pt idx="153">
                  <c:v>60.2</c:v>
                </c:pt>
                <c:pt idx="154">
                  <c:v>60.5</c:v>
                </c:pt>
                <c:pt idx="155">
                  <c:v>60.7</c:v>
                </c:pt>
                <c:pt idx="156">
                  <c:v>60.7</c:v>
                </c:pt>
                <c:pt idx="157">
                  <c:v>60.8</c:v>
                </c:pt>
                <c:pt idx="158">
                  <c:v>60.9</c:v>
                </c:pt>
                <c:pt idx="159">
                  <c:v>61.2</c:v>
                </c:pt>
                <c:pt idx="160">
                  <c:v>61.2</c:v>
                </c:pt>
                <c:pt idx="161">
                  <c:v>61.5</c:v>
                </c:pt>
                <c:pt idx="162">
                  <c:v>61.6</c:v>
                </c:pt>
                <c:pt idx="163">
                  <c:v>61.6</c:v>
                </c:pt>
                <c:pt idx="164">
                  <c:v>61.6</c:v>
                </c:pt>
                <c:pt idx="165">
                  <c:v>61.7</c:v>
                </c:pt>
                <c:pt idx="166">
                  <c:v>62</c:v>
                </c:pt>
                <c:pt idx="167">
                  <c:v>62.2</c:v>
                </c:pt>
                <c:pt idx="168">
                  <c:v>62.3</c:v>
                </c:pt>
                <c:pt idx="169">
                  <c:v>62.7</c:v>
                </c:pt>
                <c:pt idx="170">
                  <c:v>62.8</c:v>
                </c:pt>
                <c:pt idx="171">
                  <c:v>63</c:v>
                </c:pt>
                <c:pt idx="172">
                  <c:v>63.1</c:v>
                </c:pt>
                <c:pt idx="173">
                  <c:v>63.4</c:v>
                </c:pt>
                <c:pt idx="174">
                  <c:v>63.4</c:v>
                </c:pt>
                <c:pt idx="175">
                  <c:v>64.8</c:v>
                </c:pt>
                <c:pt idx="176">
                  <c:v>64.900000000000006</c:v>
                </c:pt>
                <c:pt idx="177">
                  <c:v>65</c:v>
                </c:pt>
                <c:pt idx="178">
                  <c:v>67.8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49-4FFE-B24D-66E2925A1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3953392"/>
        <c:axId val="1295217311"/>
      </c:scatterChart>
      <c:valAx>
        <c:axId val="2013953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GDP_per_capita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217311"/>
        <c:crosses val="autoZero"/>
        <c:crossBetween val="midCat"/>
      </c:valAx>
      <c:valAx>
        <c:axId val="129521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Life_expectancy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953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Schooling Line Fit Plot</a:t>
            </a:r>
          </a:p>
        </c:rich>
      </c:tx>
      <c:layout>
        <c:manualLayout>
          <c:xMode val="edge"/>
          <c:yMode val="edge"/>
          <c:x val="0.29079155730533685"/>
          <c:y val="1.44752714113389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Predicted Life_expectancy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Sheet1!$D$180:$D$358</c:f>
              <c:numCache>
                <c:formatCode>General</c:formatCode>
                <c:ptCount val="179"/>
                <c:pt idx="0">
                  <c:v>9.9</c:v>
                </c:pt>
                <c:pt idx="1">
                  <c:v>6.6</c:v>
                </c:pt>
                <c:pt idx="2">
                  <c:v>2.8</c:v>
                </c:pt>
                <c:pt idx="3">
                  <c:v>12.4</c:v>
                </c:pt>
                <c:pt idx="4">
                  <c:v>4.5</c:v>
                </c:pt>
                <c:pt idx="5">
                  <c:v>8</c:v>
                </c:pt>
                <c:pt idx="6">
                  <c:v>4</c:v>
                </c:pt>
                <c:pt idx="7">
                  <c:v>3.6</c:v>
                </c:pt>
                <c:pt idx="8">
                  <c:v>9</c:v>
                </c:pt>
                <c:pt idx="9">
                  <c:v>5.5</c:v>
                </c:pt>
                <c:pt idx="10">
                  <c:v>4.7</c:v>
                </c:pt>
                <c:pt idx="11">
                  <c:v>9.1</c:v>
                </c:pt>
                <c:pt idx="12">
                  <c:v>1</c:v>
                </c:pt>
                <c:pt idx="13">
                  <c:v>7.3</c:v>
                </c:pt>
                <c:pt idx="14">
                  <c:v>10.7</c:v>
                </c:pt>
                <c:pt idx="15">
                  <c:v>5.9</c:v>
                </c:pt>
                <c:pt idx="16">
                  <c:v>8</c:v>
                </c:pt>
                <c:pt idx="17">
                  <c:v>7.5</c:v>
                </c:pt>
                <c:pt idx="18">
                  <c:v>2.2000000000000002</c:v>
                </c:pt>
                <c:pt idx="19">
                  <c:v>7.9</c:v>
                </c:pt>
                <c:pt idx="20">
                  <c:v>12.2</c:v>
                </c:pt>
                <c:pt idx="21">
                  <c:v>8.3000000000000007</c:v>
                </c:pt>
                <c:pt idx="22">
                  <c:v>5.2</c:v>
                </c:pt>
                <c:pt idx="23">
                  <c:v>8.6999999999999993</c:v>
                </c:pt>
                <c:pt idx="24">
                  <c:v>4.3</c:v>
                </c:pt>
                <c:pt idx="25">
                  <c:v>6</c:v>
                </c:pt>
                <c:pt idx="26">
                  <c:v>4.4000000000000004</c:v>
                </c:pt>
                <c:pt idx="27">
                  <c:v>10.9</c:v>
                </c:pt>
                <c:pt idx="28">
                  <c:v>5.3</c:v>
                </c:pt>
                <c:pt idx="29">
                  <c:v>8</c:v>
                </c:pt>
                <c:pt idx="30">
                  <c:v>4.8</c:v>
                </c:pt>
                <c:pt idx="31">
                  <c:v>5.5</c:v>
                </c:pt>
                <c:pt idx="32">
                  <c:v>8.5</c:v>
                </c:pt>
                <c:pt idx="33">
                  <c:v>9.1</c:v>
                </c:pt>
                <c:pt idx="34">
                  <c:v>9.5</c:v>
                </c:pt>
                <c:pt idx="35">
                  <c:v>10.9</c:v>
                </c:pt>
                <c:pt idx="36">
                  <c:v>6.5</c:v>
                </c:pt>
                <c:pt idx="37">
                  <c:v>6.6</c:v>
                </c:pt>
                <c:pt idx="38">
                  <c:v>5.8</c:v>
                </c:pt>
                <c:pt idx="39">
                  <c:v>1.9</c:v>
                </c:pt>
                <c:pt idx="40">
                  <c:v>9.5</c:v>
                </c:pt>
                <c:pt idx="41">
                  <c:v>13.3</c:v>
                </c:pt>
                <c:pt idx="42">
                  <c:v>3.4</c:v>
                </c:pt>
                <c:pt idx="43">
                  <c:v>5.2</c:v>
                </c:pt>
                <c:pt idx="44">
                  <c:v>12.9</c:v>
                </c:pt>
                <c:pt idx="45">
                  <c:v>11.5</c:v>
                </c:pt>
                <c:pt idx="46">
                  <c:v>8.1999999999999993</c:v>
                </c:pt>
                <c:pt idx="47">
                  <c:v>14.4</c:v>
                </c:pt>
                <c:pt idx="48">
                  <c:v>7.4</c:v>
                </c:pt>
                <c:pt idx="49">
                  <c:v>10.7</c:v>
                </c:pt>
                <c:pt idx="50">
                  <c:v>10.199999999999999</c:v>
                </c:pt>
                <c:pt idx="51">
                  <c:v>9.6</c:v>
                </c:pt>
                <c:pt idx="52">
                  <c:v>11.9</c:v>
                </c:pt>
                <c:pt idx="53">
                  <c:v>8.3000000000000007</c:v>
                </c:pt>
                <c:pt idx="54">
                  <c:v>11.5</c:v>
                </c:pt>
                <c:pt idx="55">
                  <c:v>8.1999999999999993</c:v>
                </c:pt>
                <c:pt idx="56">
                  <c:v>9.1999999999999993</c:v>
                </c:pt>
                <c:pt idx="57">
                  <c:v>6.6</c:v>
                </c:pt>
                <c:pt idx="58">
                  <c:v>8.9</c:v>
                </c:pt>
                <c:pt idx="59">
                  <c:v>7.9</c:v>
                </c:pt>
                <c:pt idx="60">
                  <c:v>7.7</c:v>
                </c:pt>
                <c:pt idx="61">
                  <c:v>8.3000000000000007</c:v>
                </c:pt>
                <c:pt idx="62">
                  <c:v>14.5</c:v>
                </c:pt>
                <c:pt idx="63">
                  <c:v>5.5</c:v>
                </c:pt>
                <c:pt idx="64">
                  <c:v>9</c:v>
                </c:pt>
                <c:pt idx="65">
                  <c:v>4</c:v>
                </c:pt>
                <c:pt idx="66">
                  <c:v>7.7</c:v>
                </c:pt>
                <c:pt idx="67">
                  <c:v>6.6</c:v>
                </c:pt>
                <c:pt idx="68">
                  <c:v>10.1</c:v>
                </c:pt>
                <c:pt idx="69">
                  <c:v>12.7</c:v>
                </c:pt>
                <c:pt idx="70">
                  <c:v>7.3</c:v>
                </c:pt>
                <c:pt idx="71">
                  <c:v>11.2</c:v>
                </c:pt>
                <c:pt idx="72">
                  <c:v>12.5</c:v>
                </c:pt>
                <c:pt idx="73">
                  <c:v>9.1999999999999993</c:v>
                </c:pt>
                <c:pt idx="74">
                  <c:v>9.1</c:v>
                </c:pt>
                <c:pt idx="75">
                  <c:v>5</c:v>
                </c:pt>
                <c:pt idx="76">
                  <c:v>6.3</c:v>
                </c:pt>
                <c:pt idx="77">
                  <c:v>7.7</c:v>
                </c:pt>
                <c:pt idx="78">
                  <c:v>7.2</c:v>
                </c:pt>
                <c:pt idx="79">
                  <c:v>9.6999999999999993</c:v>
                </c:pt>
                <c:pt idx="80">
                  <c:v>3.2</c:v>
                </c:pt>
                <c:pt idx="81">
                  <c:v>13.1</c:v>
                </c:pt>
                <c:pt idx="82">
                  <c:v>12.6</c:v>
                </c:pt>
                <c:pt idx="83">
                  <c:v>10.8</c:v>
                </c:pt>
                <c:pt idx="84">
                  <c:v>6.2</c:v>
                </c:pt>
                <c:pt idx="85">
                  <c:v>7.3</c:v>
                </c:pt>
                <c:pt idx="86">
                  <c:v>8.3000000000000007</c:v>
                </c:pt>
                <c:pt idx="87">
                  <c:v>5.7</c:v>
                </c:pt>
                <c:pt idx="88">
                  <c:v>9.9</c:v>
                </c:pt>
                <c:pt idx="89">
                  <c:v>5.4</c:v>
                </c:pt>
                <c:pt idx="90">
                  <c:v>9.6</c:v>
                </c:pt>
                <c:pt idx="91">
                  <c:v>9.1</c:v>
                </c:pt>
                <c:pt idx="92">
                  <c:v>9</c:v>
                </c:pt>
                <c:pt idx="93">
                  <c:v>8.9</c:v>
                </c:pt>
                <c:pt idx="94">
                  <c:v>1.9</c:v>
                </c:pt>
                <c:pt idx="95">
                  <c:v>9</c:v>
                </c:pt>
                <c:pt idx="96">
                  <c:v>3.6</c:v>
                </c:pt>
                <c:pt idx="97">
                  <c:v>8.5</c:v>
                </c:pt>
                <c:pt idx="98">
                  <c:v>8.1999999999999993</c:v>
                </c:pt>
                <c:pt idx="99">
                  <c:v>7.2</c:v>
                </c:pt>
                <c:pt idx="100">
                  <c:v>10.6</c:v>
                </c:pt>
                <c:pt idx="101">
                  <c:v>2.7</c:v>
                </c:pt>
                <c:pt idx="102">
                  <c:v>15</c:v>
                </c:pt>
                <c:pt idx="103">
                  <c:v>5.6</c:v>
                </c:pt>
                <c:pt idx="104">
                  <c:v>5</c:v>
                </c:pt>
                <c:pt idx="105">
                  <c:v>7.5</c:v>
                </c:pt>
                <c:pt idx="106">
                  <c:v>4.0999999999999996</c:v>
                </c:pt>
                <c:pt idx="107">
                  <c:v>7.3</c:v>
                </c:pt>
                <c:pt idx="108">
                  <c:v>13.5</c:v>
                </c:pt>
                <c:pt idx="109">
                  <c:v>8</c:v>
                </c:pt>
                <c:pt idx="110">
                  <c:v>7.9</c:v>
                </c:pt>
                <c:pt idx="111">
                  <c:v>1</c:v>
                </c:pt>
                <c:pt idx="112">
                  <c:v>3.8</c:v>
                </c:pt>
                <c:pt idx="113">
                  <c:v>10.199999999999999</c:v>
                </c:pt>
                <c:pt idx="114">
                  <c:v>7.3</c:v>
                </c:pt>
                <c:pt idx="115">
                  <c:v>4.8</c:v>
                </c:pt>
                <c:pt idx="116">
                  <c:v>10.8</c:v>
                </c:pt>
                <c:pt idx="117">
                  <c:v>3.3</c:v>
                </c:pt>
                <c:pt idx="118">
                  <c:v>8.6</c:v>
                </c:pt>
                <c:pt idx="119">
                  <c:v>8.3000000000000007</c:v>
                </c:pt>
                <c:pt idx="120">
                  <c:v>4</c:v>
                </c:pt>
                <c:pt idx="121">
                  <c:v>6.4</c:v>
                </c:pt>
                <c:pt idx="122">
                  <c:v>11.1</c:v>
                </c:pt>
                <c:pt idx="123">
                  <c:v>2.5</c:v>
                </c:pt>
                <c:pt idx="124">
                  <c:v>8.6</c:v>
                </c:pt>
                <c:pt idx="125">
                  <c:v>5.0999999999999996</c:v>
                </c:pt>
                <c:pt idx="126">
                  <c:v>5.4</c:v>
                </c:pt>
                <c:pt idx="127">
                  <c:v>11.4</c:v>
                </c:pt>
                <c:pt idx="128">
                  <c:v>10.1</c:v>
                </c:pt>
                <c:pt idx="129">
                  <c:v>5.8</c:v>
                </c:pt>
                <c:pt idx="130">
                  <c:v>9.1</c:v>
                </c:pt>
                <c:pt idx="131">
                  <c:v>7.8</c:v>
                </c:pt>
                <c:pt idx="132">
                  <c:v>4.8</c:v>
                </c:pt>
                <c:pt idx="133">
                  <c:v>10.8</c:v>
                </c:pt>
                <c:pt idx="134">
                  <c:v>8.6999999999999993</c:v>
                </c:pt>
                <c:pt idx="135">
                  <c:v>12.3</c:v>
                </c:pt>
                <c:pt idx="136">
                  <c:v>8.1999999999999993</c:v>
                </c:pt>
                <c:pt idx="137">
                  <c:v>6.7</c:v>
                </c:pt>
                <c:pt idx="138">
                  <c:v>4</c:v>
                </c:pt>
                <c:pt idx="139">
                  <c:v>12.7</c:v>
                </c:pt>
                <c:pt idx="140">
                  <c:v>4.5999999999999996</c:v>
                </c:pt>
                <c:pt idx="141">
                  <c:v>6.1</c:v>
                </c:pt>
                <c:pt idx="142">
                  <c:v>12.3</c:v>
                </c:pt>
                <c:pt idx="143">
                  <c:v>8.6</c:v>
                </c:pt>
                <c:pt idx="144">
                  <c:v>8.9</c:v>
                </c:pt>
                <c:pt idx="145">
                  <c:v>3.9</c:v>
                </c:pt>
                <c:pt idx="146">
                  <c:v>8</c:v>
                </c:pt>
                <c:pt idx="147">
                  <c:v>10</c:v>
                </c:pt>
                <c:pt idx="148">
                  <c:v>10.5</c:v>
                </c:pt>
                <c:pt idx="149">
                  <c:v>7.5</c:v>
                </c:pt>
                <c:pt idx="150">
                  <c:v>8.1</c:v>
                </c:pt>
                <c:pt idx="151">
                  <c:v>9.9</c:v>
                </c:pt>
                <c:pt idx="152">
                  <c:v>7.7</c:v>
                </c:pt>
                <c:pt idx="153">
                  <c:v>11.2</c:v>
                </c:pt>
                <c:pt idx="154">
                  <c:v>6.3</c:v>
                </c:pt>
                <c:pt idx="155">
                  <c:v>3.7</c:v>
                </c:pt>
                <c:pt idx="156">
                  <c:v>8.6999999999999993</c:v>
                </c:pt>
                <c:pt idx="157">
                  <c:v>13.5</c:v>
                </c:pt>
                <c:pt idx="158">
                  <c:v>7.3</c:v>
                </c:pt>
                <c:pt idx="159">
                  <c:v>9</c:v>
                </c:pt>
                <c:pt idx="160">
                  <c:v>8.6</c:v>
                </c:pt>
                <c:pt idx="161">
                  <c:v>7.9</c:v>
                </c:pt>
                <c:pt idx="162">
                  <c:v>6.7</c:v>
                </c:pt>
                <c:pt idx="163">
                  <c:v>10.4</c:v>
                </c:pt>
                <c:pt idx="164">
                  <c:v>12.5</c:v>
                </c:pt>
                <c:pt idx="165">
                  <c:v>7.3</c:v>
                </c:pt>
                <c:pt idx="166">
                  <c:v>6.3</c:v>
                </c:pt>
                <c:pt idx="167">
                  <c:v>10.1</c:v>
                </c:pt>
                <c:pt idx="168">
                  <c:v>12</c:v>
                </c:pt>
                <c:pt idx="169">
                  <c:v>6</c:v>
                </c:pt>
                <c:pt idx="170">
                  <c:v>7.9</c:v>
                </c:pt>
                <c:pt idx="171">
                  <c:v>9.8000000000000007</c:v>
                </c:pt>
                <c:pt idx="172">
                  <c:v>6.6</c:v>
                </c:pt>
                <c:pt idx="173">
                  <c:v>13.1</c:v>
                </c:pt>
                <c:pt idx="174">
                  <c:v>10</c:v>
                </c:pt>
                <c:pt idx="175">
                  <c:v>9.5</c:v>
                </c:pt>
                <c:pt idx="176">
                  <c:v>9.6</c:v>
                </c:pt>
                <c:pt idx="177">
                  <c:v>6.9</c:v>
                </c:pt>
                <c:pt idx="178">
                  <c:v>7.9</c:v>
                </c:pt>
              </c:numCache>
            </c:numRef>
          </c:xVal>
          <c:yVal>
            <c:numRef>
              <c:f>Sheet1!$E$180:$E$358</c:f>
              <c:numCache>
                <c:formatCode>General</c:formatCode>
                <c:ptCount val="179"/>
                <c:pt idx="0">
                  <c:v>57.330410623060665</c:v>
                </c:pt>
                <c:pt idx="1">
                  <c:v>55.225790286338679</c:v>
                </c:pt>
                <c:pt idx="2">
                  <c:v>52.175273012206723</c:v>
                </c:pt>
                <c:pt idx="3">
                  <c:v>56.314530621482788</c:v>
                </c:pt>
                <c:pt idx="4">
                  <c:v>53.347927267977674</c:v>
                </c:pt>
                <c:pt idx="5">
                  <c:v>54.094813161382305</c:v>
                </c:pt>
                <c:pt idx="6">
                  <c:v>48.072168656753277</c:v>
                </c:pt>
                <c:pt idx="7">
                  <c:v>50.954758159410453</c:v>
                </c:pt>
                <c:pt idx="8">
                  <c:v>55.993872225662848</c:v>
                </c:pt>
                <c:pt idx="9">
                  <c:v>51.179333908580588</c:v>
                </c:pt>
                <c:pt idx="10">
                  <c:v>47.165901887289934</c:v>
                </c:pt>
                <c:pt idx="11">
                  <c:v>53.64428725304834</c:v>
                </c:pt>
                <c:pt idx="12">
                  <c:v>51.445792990360005</c:v>
                </c:pt>
                <c:pt idx="13">
                  <c:v>48.331239200192869</c:v>
                </c:pt>
                <c:pt idx="14">
                  <c:v>57.640706965493713</c:v>
                </c:pt>
                <c:pt idx="15">
                  <c:v>53.908472857208203</c:v>
                </c:pt>
                <c:pt idx="16">
                  <c:v>57.667444832138948</c:v>
                </c:pt>
                <c:pt idx="17">
                  <c:v>47.224043472780252</c:v>
                </c:pt>
                <c:pt idx="18">
                  <c:v>48.923042082891342</c:v>
                </c:pt>
                <c:pt idx="19">
                  <c:v>48.794375597079387</c:v>
                </c:pt>
                <c:pt idx="20">
                  <c:v>53.332809452458726</c:v>
                </c:pt>
                <c:pt idx="21">
                  <c:v>57.339517084512188</c:v>
                </c:pt>
                <c:pt idx="22">
                  <c:v>55.880431274919225</c:v>
                </c:pt>
                <c:pt idx="23">
                  <c:v>59.350381049799161</c:v>
                </c:pt>
                <c:pt idx="24">
                  <c:v>48.377629620321372</c:v>
                </c:pt>
                <c:pt idx="25">
                  <c:v>51.556853291103238</c:v>
                </c:pt>
                <c:pt idx="26">
                  <c:v>55.041143114633051</c:v>
                </c:pt>
                <c:pt idx="27">
                  <c:v>53.344280587225498</c:v>
                </c:pt>
                <c:pt idx="28">
                  <c:v>50.838965388657932</c:v>
                </c:pt>
                <c:pt idx="29">
                  <c:v>56.650125894441189</c:v>
                </c:pt>
                <c:pt idx="30">
                  <c:v>52.177206931319922</c:v>
                </c:pt>
                <c:pt idx="31">
                  <c:v>51.678760716623628</c:v>
                </c:pt>
                <c:pt idx="32">
                  <c:v>57.096895830094915</c:v>
                </c:pt>
                <c:pt idx="33">
                  <c:v>51.237358454787433</c:v>
                </c:pt>
                <c:pt idx="34">
                  <c:v>53.370459744036701</c:v>
                </c:pt>
                <c:pt idx="35">
                  <c:v>58.820589216688511</c:v>
                </c:pt>
                <c:pt idx="36">
                  <c:v>44.823445261717737</c:v>
                </c:pt>
                <c:pt idx="37">
                  <c:v>53.186704891082364</c:v>
                </c:pt>
                <c:pt idx="38">
                  <c:v>52.492988054753631</c:v>
                </c:pt>
                <c:pt idx="39">
                  <c:v>51.779323480735748</c:v>
                </c:pt>
                <c:pt idx="40">
                  <c:v>59.562817048879033</c:v>
                </c:pt>
                <c:pt idx="41">
                  <c:v>62.053232013405477</c:v>
                </c:pt>
                <c:pt idx="42">
                  <c:v>46.463677582974192</c:v>
                </c:pt>
                <c:pt idx="43">
                  <c:v>56.163547394214355</c:v>
                </c:pt>
                <c:pt idx="44">
                  <c:v>57.19727178339086</c:v>
                </c:pt>
                <c:pt idx="45">
                  <c:v>59.315878218998733</c:v>
                </c:pt>
                <c:pt idx="46">
                  <c:v>52.852842751077247</c:v>
                </c:pt>
                <c:pt idx="47">
                  <c:v>56.868895183746304</c:v>
                </c:pt>
                <c:pt idx="48">
                  <c:v>54.455464831705868</c:v>
                </c:pt>
                <c:pt idx="49">
                  <c:v>53.142187572840143</c:v>
                </c:pt>
                <c:pt idx="50">
                  <c:v>55.82966992017171</c:v>
                </c:pt>
                <c:pt idx="51">
                  <c:v>55.220515163353227</c:v>
                </c:pt>
                <c:pt idx="52">
                  <c:v>55.079230877695814</c:v>
                </c:pt>
                <c:pt idx="53">
                  <c:v>57.11365509093136</c:v>
                </c:pt>
                <c:pt idx="54">
                  <c:v>54.820117404734518</c:v>
                </c:pt>
                <c:pt idx="55">
                  <c:v>49.704568694798077</c:v>
                </c:pt>
                <c:pt idx="56">
                  <c:v>56.606242969094104</c:v>
                </c:pt>
                <c:pt idx="57">
                  <c:v>56.770506278056288</c:v>
                </c:pt>
                <c:pt idx="58">
                  <c:v>52.869337117458414</c:v>
                </c:pt>
                <c:pt idx="59">
                  <c:v>51.980532697954295</c:v>
                </c:pt>
                <c:pt idx="60">
                  <c:v>54.035048148926272</c:v>
                </c:pt>
                <c:pt idx="61">
                  <c:v>53.031784208012404</c:v>
                </c:pt>
                <c:pt idx="62">
                  <c:v>55.889081044881678</c:v>
                </c:pt>
                <c:pt idx="63">
                  <c:v>55.054544244055684</c:v>
                </c:pt>
                <c:pt idx="64">
                  <c:v>53.183764631746286</c:v>
                </c:pt>
                <c:pt idx="65">
                  <c:v>48.787685121063248</c:v>
                </c:pt>
                <c:pt idx="66">
                  <c:v>60.607434831590304</c:v>
                </c:pt>
                <c:pt idx="67">
                  <c:v>56.732989477965951</c:v>
                </c:pt>
                <c:pt idx="68">
                  <c:v>58.581597108080757</c:v>
                </c:pt>
                <c:pt idx="69">
                  <c:v>53.262758337364055</c:v>
                </c:pt>
                <c:pt idx="70">
                  <c:v>55.543440590738953</c:v>
                </c:pt>
                <c:pt idx="71">
                  <c:v>58.759169509703192</c:v>
                </c:pt>
                <c:pt idx="72">
                  <c:v>52.32123968468516</c:v>
                </c:pt>
                <c:pt idx="73">
                  <c:v>58.629772374390917</c:v>
                </c:pt>
                <c:pt idx="74">
                  <c:v>55.739545160367129</c:v>
                </c:pt>
                <c:pt idx="75">
                  <c:v>54.471260686424074</c:v>
                </c:pt>
                <c:pt idx="76">
                  <c:v>44.436224919282083</c:v>
                </c:pt>
                <c:pt idx="77">
                  <c:v>51.255096891406417</c:v>
                </c:pt>
                <c:pt idx="78">
                  <c:v>54.713894277059168</c:v>
                </c:pt>
                <c:pt idx="79">
                  <c:v>44.985530780085597</c:v>
                </c:pt>
                <c:pt idx="80">
                  <c:v>52.432807758058004</c:v>
                </c:pt>
                <c:pt idx="81">
                  <c:v>58.208714930962174</c:v>
                </c:pt>
                <c:pt idx="82">
                  <c:v>60.917800601182336</c:v>
                </c:pt>
                <c:pt idx="83">
                  <c:v>61.546833219584613</c:v>
                </c:pt>
                <c:pt idx="84">
                  <c:v>51.091713970726431</c:v>
                </c:pt>
                <c:pt idx="85">
                  <c:v>54.091796146414531</c:v>
                </c:pt>
                <c:pt idx="86">
                  <c:v>58.536538638022755</c:v>
                </c:pt>
                <c:pt idx="87">
                  <c:v>54.597814008194035</c:v>
                </c:pt>
                <c:pt idx="88">
                  <c:v>53.458397765045397</c:v>
                </c:pt>
                <c:pt idx="89">
                  <c:v>47.943257200539698</c:v>
                </c:pt>
                <c:pt idx="90">
                  <c:v>60.180480198076893</c:v>
                </c:pt>
                <c:pt idx="91">
                  <c:v>53.529552688108801</c:v>
                </c:pt>
                <c:pt idx="92">
                  <c:v>55.74865405291834</c:v>
                </c:pt>
                <c:pt idx="93">
                  <c:v>53.362664305425639</c:v>
                </c:pt>
                <c:pt idx="94">
                  <c:v>51.96379066909784</c:v>
                </c:pt>
                <c:pt idx="95">
                  <c:v>54.616338698267825</c:v>
                </c:pt>
                <c:pt idx="96">
                  <c:v>50.870640199642942</c:v>
                </c:pt>
                <c:pt idx="97">
                  <c:v>61.124468200285229</c:v>
                </c:pt>
                <c:pt idx="98">
                  <c:v>51.54540863621984</c:v>
                </c:pt>
                <c:pt idx="99">
                  <c:v>53.38212383064063</c:v>
                </c:pt>
                <c:pt idx="100">
                  <c:v>55.407725420527221</c:v>
                </c:pt>
                <c:pt idx="101">
                  <c:v>48.655040989038817</c:v>
                </c:pt>
                <c:pt idx="102">
                  <c:v>58.550922545730671</c:v>
                </c:pt>
                <c:pt idx="103">
                  <c:v>46.151518084016637</c:v>
                </c:pt>
                <c:pt idx="104">
                  <c:v>50.865829258781773</c:v>
                </c:pt>
                <c:pt idx="105">
                  <c:v>58.665672266092422</c:v>
                </c:pt>
                <c:pt idx="106">
                  <c:v>50.500101543720191</c:v>
                </c:pt>
                <c:pt idx="107">
                  <c:v>56.712041385416299</c:v>
                </c:pt>
                <c:pt idx="108">
                  <c:v>60.382683863106372</c:v>
                </c:pt>
                <c:pt idx="109">
                  <c:v>52.977529703947496</c:v>
                </c:pt>
                <c:pt idx="110">
                  <c:v>55.228322507206869</c:v>
                </c:pt>
                <c:pt idx="111">
                  <c:v>47.628757158848977</c:v>
                </c:pt>
                <c:pt idx="112">
                  <c:v>53.199542387318132</c:v>
                </c:pt>
                <c:pt idx="113">
                  <c:v>57.545328173779211</c:v>
                </c:pt>
                <c:pt idx="114">
                  <c:v>50.924417444221675</c:v>
                </c:pt>
                <c:pt idx="115">
                  <c:v>51.130951331987937</c:v>
                </c:pt>
                <c:pt idx="116">
                  <c:v>57.076386031183901</c:v>
                </c:pt>
                <c:pt idx="117">
                  <c:v>54.502288150800169</c:v>
                </c:pt>
                <c:pt idx="118">
                  <c:v>59.086577622186219</c:v>
                </c:pt>
                <c:pt idx="119">
                  <c:v>56.418515587238915</c:v>
                </c:pt>
                <c:pt idx="120">
                  <c:v>50.47318038579175</c:v>
                </c:pt>
                <c:pt idx="121">
                  <c:v>51.194021381012448</c:v>
                </c:pt>
                <c:pt idx="122">
                  <c:v>55.3798102140602</c:v>
                </c:pt>
                <c:pt idx="123">
                  <c:v>51.228239059662904</c:v>
                </c:pt>
                <c:pt idx="124">
                  <c:v>55.171721337570872</c:v>
                </c:pt>
                <c:pt idx="125">
                  <c:v>55.358005125544054</c:v>
                </c:pt>
                <c:pt idx="126">
                  <c:v>54.32458469409719</c:v>
                </c:pt>
                <c:pt idx="127">
                  <c:v>55.632819300134585</c:v>
                </c:pt>
                <c:pt idx="128">
                  <c:v>56.567225709837764</c:v>
                </c:pt>
                <c:pt idx="129">
                  <c:v>51.712551511974382</c:v>
                </c:pt>
                <c:pt idx="130">
                  <c:v>52.982816775334626</c:v>
                </c:pt>
                <c:pt idx="131">
                  <c:v>50.693329636694344</c:v>
                </c:pt>
                <c:pt idx="132">
                  <c:v>52.127459408769141</c:v>
                </c:pt>
                <c:pt idx="133">
                  <c:v>54.986905219526051</c:v>
                </c:pt>
                <c:pt idx="134">
                  <c:v>49.460800752999333</c:v>
                </c:pt>
                <c:pt idx="135">
                  <c:v>53.595201432293443</c:v>
                </c:pt>
                <c:pt idx="136">
                  <c:v>57.337058789485013</c:v>
                </c:pt>
                <c:pt idx="137">
                  <c:v>48.753983248475933</c:v>
                </c:pt>
                <c:pt idx="138">
                  <c:v>52.860535719887423</c:v>
                </c:pt>
                <c:pt idx="139">
                  <c:v>53.126124317070825</c:v>
                </c:pt>
                <c:pt idx="140">
                  <c:v>51.33058169619931</c:v>
                </c:pt>
                <c:pt idx="141">
                  <c:v>59.068804394381054</c:v>
                </c:pt>
                <c:pt idx="142">
                  <c:v>60.513334866397372</c:v>
                </c:pt>
                <c:pt idx="143">
                  <c:v>47.948573322349148</c:v>
                </c:pt>
                <c:pt idx="144">
                  <c:v>52.358389799027591</c:v>
                </c:pt>
                <c:pt idx="145">
                  <c:v>49.679763526186449</c:v>
                </c:pt>
                <c:pt idx="146">
                  <c:v>46.589268949822994</c:v>
                </c:pt>
                <c:pt idx="147">
                  <c:v>56.118386115220289</c:v>
                </c:pt>
                <c:pt idx="148">
                  <c:v>53.727404282489132</c:v>
                </c:pt>
                <c:pt idx="149">
                  <c:v>49.862858570219402</c:v>
                </c:pt>
                <c:pt idx="150">
                  <c:v>54.209146957088606</c:v>
                </c:pt>
                <c:pt idx="151">
                  <c:v>58.830434300713186</c:v>
                </c:pt>
                <c:pt idx="152">
                  <c:v>54.369331717185759</c:v>
                </c:pt>
                <c:pt idx="153">
                  <c:v>54.728927774336363</c:v>
                </c:pt>
                <c:pt idx="154">
                  <c:v>47.274880505635323</c:v>
                </c:pt>
                <c:pt idx="155">
                  <c:v>51.135739161589939</c:v>
                </c:pt>
                <c:pt idx="156">
                  <c:v>58.271556451704463</c:v>
                </c:pt>
                <c:pt idx="157">
                  <c:v>60.893148280931513</c:v>
                </c:pt>
                <c:pt idx="158">
                  <c:v>57.71227197698812</c:v>
                </c:pt>
                <c:pt idx="159">
                  <c:v>54.200545990716705</c:v>
                </c:pt>
                <c:pt idx="160">
                  <c:v>56.863340826828889</c:v>
                </c:pt>
                <c:pt idx="161">
                  <c:v>55.616124410176909</c:v>
                </c:pt>
                <c:pt idx="162">
                  <c:v>52.079390559463477</c:v>
                </c:pt>
                <c:pt idx="163">
                  <c:v>59.69839184532821</c:v>
                </c:pt>
                <c:pt idx="164">
                  <c:v>58.447821509315958</c:v>
                </c:pt>
                <c:pt idx="165">
                  <c:v>55.494067689568382</c:v>
                </c:pt>
                <c:pt idx="166">
                  <c:v>48.725621785094447</c:v>
                </c:pt>
                <c:pt idx="167">
                  <c:v>52.515148504725936</c:v>
                </c:pt>
                <c:pt idx="168">
                  <c:v>49.899356133917927</c:v>
                </c:pt>
                <c:pt idx="169">
                  <c:v>52.760183617911856</c:v>
                </c:pt>
                <c:pt idx="170">
                  <c:v>49.803215634289835</c:v>
                </c:pt>
                <c:pt idx="171">
                  <c:v>54.902428356886801</c:v>
                </c:pt>
                <c:pt idx="172">
                  <c:v>58.618799137726612</c:v>
                </c:pt>
                <c:pt idx="173">
                  <c:v>54.596174370837282</c:v>
                </c:pt>
                <c:pt idx="174">
                  <c:v>49.523277599031502</c:v>
                </c:pt>
                <c:pt idx="175">
                  <c:v>57.094917524822371</c:v>
                </c:pt>
                <c:pt idx="176">
                  <c:v>53.302676370972769</c:v>
                </c:pt>
                <c:pt idx="177">
                  <c:v>55.546966276973365</c:v>
                </c:pt>
                <c:pt idx="178">
                  <c:v>53.960320989889127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69-4CB2-8AAB-80D2ED50EF59}"/>
            </c:ext>
          </c:extLst>
        </c:ser>
        <c:ser>
          <c:idx val="1"/>
          <c:order val="1"/>
          <c:tx>
            <c:v>Life_expectancy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Sheet1!$D$180:$D$358</c:f>
              <c:numCache>
                <c:formatCode>General</c:formatCode>
                <c:ptCount val="179"/>
                <c:pt idx="0">
                  <c:v>9.9</c:v>
                </c:pt>
                <c:pt idx="1">
                  <c:v>6.6</c:v>
                </c:pt>
                <c:pt idx="2">
                  <c:v>2.8</c:v>
                </c:pt>
                <c:pt idx="3">
                  <c:v>12.4</c:v>
                </c:pt>
                <c:pt idx="4">
                  <c:v>4.5</c:v>
                </c:pt>
                <c:pt idx="5">
                  <c:v>8</c:v>
                </c:pt>
                <c:pt idx="6">
                  <c:v>4</c:v>
                </c:pt>
                <c:pt idx="7">
                  <c:v>3.6</c:v>
                </c:pt>
                <c:pt idx="8">
                  <c:v>9</c:v>
                </c:pt>
                <c:pt idx="9">
                  <c:v>5.5</c:v>
                </c:pt>
                <c:pt idx="10">
                  <c:v>4.7</c:v>
                </c:pt>
                <c:pt idx="11">
                  <c:v>9.1</c:v>
                </c:pt>
                <c:pt idx="12">
                  <c:v>1</c:v>
                </c:pt>
                <c:pt idx="13">
                  <c:v>7.3</c:v>
                </c:pt>
                <c:pt idx="14">
                  <c:v>10.7</c:v>
                </c:pt>
                <c:pt idx="15">
                  <c:v>5.9</c:v>
                </c:pt>
                <c:pt idx="16">
                  <c:v>8</c:v>
                </c:pt>
                <c:pt idx="17">
                  <c:v>7.5</c:v>
                </c:pt>
                <c:pt idx="18">
                  <c:v>2.2000000000000002</c:v>
                </c:pt>
                <c:pt idx="19">
                  <c:v>7.9</c:v>
                </c:pt>
                <c:pt idx="20">
                  <c:v>12.2</c:v>
                </c:pt>
                <c:pt idx="21">
                  <c:v>8.3000000000000007</c:v>
                </c:pt>
                <c:pt idx="22">
                  <c:v>5.2</c:v>
                </c:pt>
                <c:pt idx="23">
                  <c:v>8.6999999999999993</c:v>
                </c:pt>
                <c:pt idx="24">
                  <c:v>4.3</c:v>
                </c:pt>
                <c:pt idx="25">
                  <c:v>6</c:v>
                </c:pt>
                <c:pt idx="26">
                  <c:v>4.4000000000000004</c:v>
                </c:pt>
                <c:pt idx="27">
                  <c:v>10.9</c:v>
                </c:pt>
                <c:pt idx="28">
                  <c:v>5.3</c:v>
                </c:pt>
                <c:pt idx="29">
                  <c:v>8</c:v>
                </c:pt>
                <c:pt idx="30">
                  <c:v>4.8</c:v>
                </c:pt>
                <c:pt idx="31">
                  <c:v>5.5</c:v>
                </c:pt>
                <c:pt idx="32">
                  <c:v>8.5</c:v>
                </c:pt>
                <c:pt idx="33">
                  <c:v>9.1</c:v>
                </c:pt>
                <c:pt idx="34">
                  <c:v>9.5</c:v>
                </c:pt>
                <c:pt idx="35">
                  <c:v>10.9</c:v>
                </c:pt>
                <c:pt idx="36">
                  <c:v>6.5</c:v>
                </c:pt>
                <c:pt idx="37">
                  <c:v>6.6</c:v>
                </c:pt>
                <c:pt idx="38">
                  <c:v>5.8</c:v>
                </c:pt>
                <c:pt idx="39">
                  <c:v>1.9</c:v>
                </c:pt>
                <c:pt idx="40">
                  <c:v>9.5</c:v>
                </c:pt>
                <c:pt idx="41">
                  <c:v>13.3</c:v>
                </c:pt>
                <c:pt idx="42">
                  <c:v>3.4</c:v>
                </c:pt>
                <c:pt idx="43">
                  <c:v>5.2</c:v>
                </c:pt>
                <c:pt idx="44">
                  <c:v>12.9</c:v>
                </c:pt>
                <c:pt idx="45">
                  <c:v>11.5</c:v>
                </c:pt>
                <c:pt idx="46">
                  <c:v>8.1999999999999993</c:v>
                </c:pt>
                <c:pt idx="47">
                  <c:v>14.4</c:v>
                </c:pt>
                <c:pt idx="48">
                  <c:v>7.4</c:v>
                </c:pt>
                <c:pt idx="49">
                  <c:v>10.7</c:v>
                </c:pt>
                <c:pt idx="50">
                  <c:v>10.199999999999999</c:v>
                </c:pt>
                <c:pt idx="51">
                  <c:v>9.6</c:v>
                </c:pt>
                <c:pt idx="52">
                  <c:v>11.9</c:v>
                </c:pt>
                <c:pt idx="53">
                  <c:v>8.3000000000000007</c:v>
                </c:pt>
                <c:pt idx="54">
                  <c:v>11.5</c:v>
                </c:pt>
                <c:pt idx="55">
                  <c:v>8.1999999999999993</c:v>
                </c:pt>
                <c:pt idx="56">
                  <c:v>9.1999999999999993</c:v>
                </c:pt>
                <c:pt idx="57">
                  <c:v>6.6</c:v>
                </c:pt>
                <c:pt idx="58">
                  <c:v>8.9</c:v>
                </c:pt>
                <c:pt idx="59">
                  <c:v>7.9</c:v>
                </c:pt>
                <c:pt idx="60">
                  <c:v>7.7</c:v>
                </c:pt>
                <c:pt idx="61">
                  <c:v>8.3000000000000007</c:v>
                </c:pt>
                <c:pt idx="62">
                  <c:v>14.5</c:v>
                </c:pt>
                <c:pt idx="63">
                  <c:v>5.5</c:v>
                </c:pt>
                <c:pt idx="64">
                  <c:v>9</c:v>
                </c:pt>
                <c:pt idx="65">
                  <c:v>4</c:v>
                </c:pt>
                <c:pt idx="66">
                  <c:v>7.7</c:v>
                </c:pt>
                <c:pt idx="67">
                  <c:v>6.6</c:v>
                </c:pt>
                <c:pt idx="68">
                  <c:v>10.1</c:v>
                </c:pt>
                <c:pt idx="69">
                  <c:v>12.7</c:v>
                </c:pt>
                <c:pt idx="70">
                  <c:v>7.3</c:v>
                </c:pt>
                <c:pt idx="71">
                  <c:v>11.2</c:v>
                </c:pt>
                <c:pt idx="72">
                  <c:v>12.5</c:v>
                </c:pt>
                <c:pt idx="73">
                  <c:v>9.1999999999999993</c:v>
                </c:pt>
                <c:pt idx="74">
                  <c:v>9.1</c:v>
                </c:pt>
                <c:pt idx="75">
                  <c:v>5</c:v>
                </c:pt>
                <c:pt idx="76">
                  <c:v>6.3</c:v>
                </c:pt>
                <c:pt idx="77">
                  <c:v>7.7</c:v>
                </c:pt>
                <c:pt idx="78">
                  <c:v>7.2</c:v>
                </c:pt>
                <c:pt idx="79">
                  <c:v>9.6999999999999993</c:v>
                </c:pt>
                <c:pt idx="80">
                  <c:v>3.2</c:v>
                </c:pt>
                <c:pt idx="81">
                  <c:v>13.1</c:v>
                </c:pt>
                <c:pt idx="82">
                  <c:v>12.6</c:v>
                </c:pt>
                <c:pt idx="83">
                  <c:v>10.8</c:v>
                </c:pt>
                <c:pt idx="84">
                  <c:v>6.2</c:v>
                </c:pt>
                <c:pt idx="85">
                  <c:v>7.3</c:v>
                </c:pt>
                <c:pt idx="86">
                  <c:v>8.3000000000000007</c:v>
                </c:pt>
                <c:pt idx="87">
                  <c:v>5.7</c:v>
                </c:pt>
                <c:pt idx="88">
                  <c:v>9.9</c:v>
                </c:pt>
                <c:pt idx="89">
                  <c:v>5.4</c:v>
                </c:pt>
                <c:pt idx="90">
                  <c:v>9.6</c:v>
                </c:pt>
                <c:pt idx="91">
                  <c:v>9.1</c:v>
                </c:pt>
                <c:pt idx="92">
                  <c:v>9</c:v>
                </c:pt>
                <c:pt idx="93">
                  <c:v>8.9</c:v>
                </c:pt>
                <c:pt idx="94">
                  <c:v>1.9</c:v>
                </c:pt>
                <c:pt idx="95">
                  <c:v>9</c:v>
                </c:pt>
                <c:pt idx="96">
                  <c:v>3.6</c:v>
                </c:pt>
                <c:pt idx="97">
                  <c:v>8.5</c:v>
                </c:pt>
                <c:pt idx="98">
                  <c:v>8.1999999999999993</c:v>
                </c:pt>
                <c:pt idx="99">
                  <c:v>7.2</c:v>
                </c:pt>
                <c:pt idx="100">
                  <c:v>10.6</c:v>
                </c:pt>
                <c:pt idx="101">
                  <c:v>2.7</c:v>
                </c:pt>
                <c:pt idx="102">
                  <c:v>15</c:v>
                </c:pt>
                <c:pt idx="103">
                  <c:v>5.6</c:v>
                </c:pt>
                <c:pt idx="104">
                  <c:v>5</c:v>
                </c:pt>
                <c:pt idx="105">
                  <c:v>7.5</c:v>
                </c:pt>
                <c:pt idx="106">
                  <c:v>4.0999999999999996</c:v>
                </c:pt>
                <c:pt idx="107">
                  <c:v>7.3</c:v>
                </c:pt>
                <c:pt idx="108">
                  <c:v>13.5</c:v>
                </c:pt>
                <c:pt idx="109">
                  <c:v>8</c:v>
                </c:pt>
                <c:pt idx="110">
                  <c:v>7.9</c:v>
                </c:pt>
                <c:pt idx="111">
                  <c:v>1</c:v>
                </c:pt>
                <c:pt idx="112">
                  <c:v>3.8</c:v>
                </c:pt>
                <c:pt idx="113">
                  <c:v>10.199999999999999</c:v>
                </c:pt>
                <c:pt idx="114">
                  <c:v>7.3</c:v>
                </c:pt>
                <c:pt idx="115">
                  <c:v>4.8</c:v>
                </c:pt>
                <c:pt idx="116">
                  <c:v>10.8</c:v>
                </c:pt>
                <c:pt idx="117">
                  <c:v>3.3</c:v>
                </c:pt>
                <c:pt idx="118">
                  <c:v>8.6</c:v>
                </c:pt>
                <c:pt idx="119">
                  <c:v>8.3000000000000007</c:v>
                </c:pt>
                <c:pt idx="120">
                  <c:v>4</c:v>
                </c:pt>
                <c:pt idx="121">
                  <c:v>6.4</c:v>
                </c:pt>
                <c:pt idx="122">
                  <c:v>11.1</c:v>
                </c:pt>
                <c:pt idx="123">
                  <c:v>2.5</c:v>
                </c:pt>
                <c:pt idx="124">
                  <c:v>8.6</c:v>
                </c:pt>
                <c:pt idx="125">
                  <c:v>5.0999999999999996</c:v>
                </c:pt>
                <c:pt idx="126">
                  <c:v>5.4</c:v>
                </c:pt>
                <c:pt idx="127">
                  <c:v>11.4</c:v>
                </c:pt>
                <c:pt idx="128">
                  <c:v>10.1</c:v>
                </c:pt>
                <c:pt idx="129">
                  <c:v>5.8</c:v>
                </c:pt>
                <c:pt idx="130">
                  <c:v>9.1</c:v>
                </c:pt>
                <c:pt idx="131">
                  <c:v>7.8</c:v>
                </c:pt>
                <c:pt idx="132">
                  <c:v>4.8</c:v>
                </c:pt>
                <c:pt idx="133">
                  <c:v>10.8</c:v>
                </c:pt>
                <c:pt idx="134">
                  <c:v>8.6999999999999993</c:v>
                </c:pt>
                <c:pt idx="135">
                  <c:v>12.3</c:v>
                </c:pt>
                <c:pt idx="136">
                  <c:v>8.1999999999999993</c:v>
                </c:pt>
                <c:pt idx="137">
                  <c:v>6.7</c:v>
                </c:pt>
                <c:pt idx="138">
                  <c:v>4</c:v>
                </c:pt>
                <c:pt idx="139">
                  <c:v>12.7</c:v>
                </c:pt>
                <c:pt idx="140">
                  <c:v>4.5999999999999996</c:v>
                </c:pt>
                <c:pt idx="141">
                  <c:v>6.1</c:v>
                </c:pt>
                <c:pt idx="142">
                  <c:v>12.3</c:v>
                </c:pt>
                <c:pt idx="143">
                  <c:v>8.6</c:v>
                </c:pt>
                <c:pt idx="144">
                  <c:v>8.9</c:v>
                </c:pt>
                <c:pt idx="145">
                  <c:v>3.9</c:v>
                </c:pt>
                <c:pt idx="146">
                  <c:v>8</c:v>
                </c:pt>
                <c:pt idx="147">
                  <c:v>10</c:v>
                </c:pt>
                <c:pt idx="148">
                  <c:v>10.5</c:v>
                </c:pt>
                <c:pt idx="149">
                  <c:v>7.5</c:v>
                </c:pt>
                <c:pt idx="150">
                  <c:v>8.1</c:v>
                </c:pt>
                <c:pt idx="151">
                  <c:v>9.9</c:v>
                </c:pt>
                <c:pt idx="152">
                  <c:v>7.7</c:v>
                </c:pt>
                <c:pt idx="153">
                  <c:v>11.2</c:v>
                </c:pt>
                <c:pt idx="154">
                  <c:v>6.3</c:v>
                </c:pt>
                <c:pt idx="155">
                  <c:v>3.7</c:v>
                </c:pt>
                <c:pt idx="156">
                  <c:v>8.6999999999999993</c:v>
                </c:pt>
                <c:pt idx="157">
                  <c:v>13.5</c:v>
                </c:pt>
                <c:pt idx="158">
                  <c:v>7.3</c:v>
                </c:pt>
                <c:pt idx="159">
                  <c:v>9</c:v>
                </c:pt>
                <c:pt idx="160">
                  <c:v>8.6</c:v>
                </c:pt>
                <c:pt idx="161">
                  <c:v>7.9</c:v>
                </c:pt>
                <c:pt idx="162">
                  <c:v>6.7</c:v>
                </c:pt>
                <c:pt idx="163">
                  <c:v>10.4</c:v>
                </c:pt>
                <c:pt idx="164">
                  <c:v>12.5</c:v>
                </c:pt>
                <c:pt idx="165">
                  <c:v>7.3</c:v>
                </c:pt>
                <c:pt idx="166">
                  <c:v>6.3</c:v>
                </c:pt>
                <c:pt idx="167">
                  <c:v>10.1</c:v>
                </c:pt>
                <c:pt idx="168">
                  <c:v>12</c:v>
                </c:pt>
                <c:pt idx="169">
                  <c:v>6</c:v>
                </c:pt>
                <c:pt idx="170">
                  <c:v>7.9</c:v>
                </c:pt>
                <c:pt idx="171">
                  <c:v>9.8000000000000007</c:v>
                </c:pt>
                <c:pt idx="172">
                  <c:v>6.6</c:v>
                </c:pt>
                <c:pt idx="173">
                  <c:v>13.1</c:v>
                </c:pt>
                <c:pt idx="174">
                  <c:v>10</c:v>
                </c:pt>
                <c:pt idx="175">
                  <c:v>9.5</c:v>
                </c:pt>
                <c:pt idx="176">
                  <c:v>9.6</c:v>
                </c:pt>
                <c:pt idx="177">
                  <c:v>6.9</c:v>
                </c:pt>
                <c:pt idx="178">
                  <c:v>7.9</c:v>
                </c:pt>
              </c:numCache>
            </c:numRef>
          </c:xVal>
          <c:yVal>
            <c:numRef>
              <c:f>Sheet1!$F$180:$F$358</c:f>
              <c:numCache>
                <c:formatCode>General</c:formatCode>
                <c:ptCount val="179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50.3</c:v>
                </c:pt>
                <c:pt idx="72">
                  <c:v>50.3</c:v>
                </c:pt>
                <c:pt idx="73">
                  <c:v>50.4</c:v>
                </c:pt>
                <c:pt idx="74">
                  <c:v>50.4</c:v>
                </c:pt>
                <c:pt idx="75">
                  <c:v>50.5</c:v>
                </c:pt>
                <c:pt idx="76">
                  <c:v>50.5</c:v>
                </c:pt>
                <c:pt idx="77">
                  <c:v>50.5</c:v>
                </c:pt>
                <c:pt idx="78">
                  <c:v>50.6</c:v>
                </c:pt>
                <c:pt idx="79">
                  <c:v>50.6</c:v>
                </c:pt>
                <c:pt idx="80">
                  <c:v>50.7</c:v>
                </c:pt>
                <c:pt idx="81">
                  <c:v>50.9</c:v>
                </c:pt>
                <c:pt idx="82">
                  <c:v>50.9</c:v>
                </c:pt>
                <c:pt idx="83">
                  <c:v>51.3</c:v>
                </c:pt>
                <c:pt idx="84">
                  <c:v>51.4</c:v>
                </c:pt>
                <c:pt idx="85">
                  <c:v>51.5</c:v>
                </c:pt>
                <c:pt idx="86">
                  <c:v>51.5</c:v>
                </c:pt>
                <c:pt idx="87">
                  <c:v>51.6</c:v>
                </c:pt>
                <c:pt idx="88">
                  <c:v>51.6</c:v>
                </c:pt>
                <c:pt idx="89">
                  <c:v>51.6</c:v>
                </c:pt>
                <c:pt idx="90">
                  <c:v>51.7</c:v>
                </c:pt>
                <c:pt idx="91">
                  <c:v>51.8</c:v>
                </c:pt>
                <c:pt idx="92">
                  <c:v>52.1</c:v>
                </c:pt>
                <c:pt idx="93">
                  <c:v>52.3</c:v>
                </c:pt>
                <c:pt idx="94">
                  <c:v>52.3</c:v>
                </c:pt>
                <c:pt idx="95">
                  <c:v>52.4</c:v>
                </c:pt>
                <c:pt idx="96">
                  <c:v>52.5</c:v>
                </c:pt>
                <c:pt idx="97">
                  <c:v>52.5</c:v>
                </c:pt>
                <c:pt idx="98">
                  <c:v>52.6</c:v>
                </c:pt>
                <c:pt idx="99">
                  <c:v>52.7</c:v>
                </c:pt>
                <c:pt idx="100">
                  <c:v>53</c:v>
                </c:pt>
                <c:pt idx="101">
                  <c:v>53</c:v>
                </c:pt>
                <c:pt idx="102">
                  <c:v>53.1</c:v>
                </c:pt>
                <c:pt idx="103">
                  <c:v>53.3</c:v>
                </c:pt>
                <c:pt idx="104">
                  <c:v>53.4</c:v>
                </c:pt>
                <c:pt idx="105">
                  <c:v>53.5</c:v>
                </c:pt>
                <c:pt idx="106">
                  <c:v>53.6</c:v>
                </c:pt>
                <c:pt idx="107">
                  <c:v>53.6</c:v>
                </c:pt>
                <c:pt idx="108">
                  <c:v>54.1</c:v>
                </c:pt>
                <c:pt idx="109">
                  <c:v>54.2</c:v>
                </c:pt>
                <c:pt idx="110">
                  <c:v>54.5</c:v>
                </c:pt>
                <c:pt idx="111">
                  <c:v>54.6</c:v>
                </c:pt>
                <c:pt idx="112">
                  <c:v>54.6</c:v>
                </c:pt>
                <c:pt idx="113">
                  <c:v>54.7</c:v>
                </c:pt>
                <c:pt idx="114">
                  <c:v>54.7</c:v>
                </c:pt>
                <c:pt idx="115">
                  <c:v>54.8</c:v>
                </c:pt>
                <c:pt idx="116">
                  <c:v>54.9</c:v>
                </c:pt>
                <c:pt idx="117">
                  <c:v>55.1</c:v>
                </c:pt>
                <c:pt idx="118">
                  <c:v>55.3</c:v>
                </c:pt>
                <c:pt idx="119">
                  <c:v>55.5</c:v>
                </c:pt>
                <c:pt idx="120">
                  <c:v>55.5</c:v>
                </c:pt>
                <c:pt idx="121">
                  <c:v>55.6</c:v>
                </c:pt>
                <c:pt idx="122">
                  <c:v>55.8</c:v>
                </c:pt>
                <c:pt idx="123">
                  <c:v>55.9</c:v>
                </c:pt>
                <c:pt idx="124">
                  <c:v>56.1</c:v>
                </c:pt>
                <c:pt idx="125">
                  <c:v>56.2</c:v>
                </c:pt>
                <c:pt idx="126">
                  <c:v>56.6</c:v>
                </c:pt>
                <c:pt idx="127">
                  <c:v>56.8</c:v>
                </c:pt>
                <c:pt idx="128">
                  <c:v>56.9</c:v>
                </c:pt>
                <c:pt idx="129">
                  <c:v>56.9</c:v>
                </c:pt>
                <c:pt idx="130">
                  <c:v>57</c:v>
                </c:pt>
                <c:pt idx="131">
                  <c:v>57.1</c:v>
                </c:pt>
                <c:pt idx="132">
                  <c:v>57.3</c:v>
                </c:pt>
                <c:pt idx="133">
                  <c:v>57.4</c:v>
                </c:pt>
                <c:pt idx="134">
                  <c:v>57.5</c:v>
                </c:pt>
                <c:pt idx="135">
                  <c:v>57.6</c:v>
                </c:pt>
                <c:pt idx="136">
                  <c:v>57.9</c:v>
                </c:pt>
                <c:pt idx="137">
                  <c:v>57.9</c:v>
                </c:pt>
                <c:pt idx="138">
                  <c:v>58</c:v>
                </c:pt>
                <c:pt idx="139">
                  <c:v>58.4</c:v>
                </c:pt>
                <c:pt idx="140">
                  <c:v>58.4</c:v>
                </c:pt>
                <c:pt idx="141">
                  <c:v>58.5</c:v>
                </c:pt>
                <c:pt idx="142">
                  <c:v>58.8</c:v>
                </c:pt>
                <c:pt idx="143">
                  <c:v>58.9</c:v>
                </c:pt>
                <c:pt idx="144">
                  <c:v>58.9</c:v>
                </c:pt>
                <c:pt idx="145">
                  <c:v>59</c:v>
                </c:pt>
                <c:pt idx="146">
                  <c:v>59.3</c:v>
                </c:pt>
                <c:pt idx="147">
                  <c:v>59.4</c:v>
                </c:pt>
                <c:pt idx="148">
                  <c:v>59.7</c:v>
                </c:pt>
                <c:pt idx="149">
                  <c:v>59.7</c:v>
                </c:pt>
                <c:pt idx="150">
                  <c:v>59.8</c:v>
                </c:pt>
                <c:pt idx="151">
                  <c:v>59.9</c:v>
                </c:pt>
                <c:pt idx="152">
                  <c:v>60.1</c:v>
                </c:pt>
                <c:pt idx="153">
                  <c:v>60.2</c:v>
                </c:pt>
                <c:pt idx="154">
                  <c:v>60.5</c:v>
                </c:pt>
                <c:pt idx="155">
                  <c:v>60.7</c:v>
                </c:pt>
                <c:pt idx="156">
                  <c:v>60.7</c:v>
                </c:pt>
                <c:pt idx="157">
                  <c:v>60.8</c:v>
                </c:pt>
                <c:pt idx="158">
                  <c:v>60.9</c:v>
                </c:pt>
                <c:pt idx="159">
                  <c:v>61.2</c:v>
                </c:pt>
                <c:pt idx="160">
                  <c:v>61.2</c:v>
                </c:pt>
                <c:pt idx="161">
                  <c:v>61.5</c:v>
                </c:pt>
                <c:pt idx="162">
                  <c:v>61.6</c:v>
                </c:pt>
                <c:pt idx="163">
                  <c:v>61.6</c:v>
                </c:pt>
                <c:pt idx="164">
                  <c:v>61.6</c:v>
                </c:pt>
                <c:pt idx="165">
                  <c:v>61.7</c:v>
                </c:pt>
                <c:pt idx="166">
                  <c:v>62</c:v>
                </c:pt>
                <c:pt idx="167">
                  <c:v>62.2</c:v>
                </c:pt>
                <c:pt idx="168">
                  <c:v>62.3</c:v>
                </c:pt>
                <c:pt idx="169">
                  <c:v>62.7</c:v>
                </c:pt>
                <c:pt idx="170">
                  <c:v>62.8</c:v>
                </c:pt>
                <c:pt idx="171">
                  <c:v>63</c:v>
                </c:pt>
                <c:pt idx="172">
                  <c:v>63.1</c:v>
                </c:pt>
                <c:pt idx="173">
                  <c:v>63.4</c:v>
                </c:pt>
                <c:pt idx="174">
                  <c:v>63.4</c:v>
                </c:pt>
                <c:pt idx="175">
                  <c:v>64.8</c:v>
                </c:pt>
                <c:pt idx="176">
                  <c:v>64.900000000000006</c:v>
                </c:pt>
                <c:pt idx="177">
                  <c:v>65</c:v>
                </c:pt>
                <c:pt idx="178">
                  <c:v>67.8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69-4CB2-8AAB-80D2ED50E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4210575"/>
        <c:axId val="1244209135"/>
      </c:scatterChart>
      <c:valAx>
        <c:axId val="1244210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Schooling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209135"/>
        <c:crosses val="autoZero"/>
        <c:crossBetween val="midCat"/>
      </c:valAx>
      <c:valAx>
        <c:axId val="124420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Life_expectancy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2105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BMI Line Fit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Predicted Life_expectancy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Sheet1!$G$180:$G$358</c:f>
              <c:numCache>
                <c:formatCode>General</c:formatCode>
                <c:ptCount val="179"/>
                <c:pt idx="0">
                  <c:v>29.6</c:v>
                </c:pt>
                <c:pt idx="1">
                  <c:v>26.6</c:v>
                </c:pt>
                <c:pt idx="2">
                  <c:v>23.3</c:v>
                </c:pt>
                <c:pt idx="3">
                  <c:v>24.3</c:v>
                </c:pt>
                <c:pt idx="4">
                  <c:v>26.1</c:v>
                </c:pt>
                <c:pt idx="5">
                  <c:v>21.8</c:v>
                </c:pt>
                <c:pt idx="6">
                  <c:v>25.6</c:v>
                </c:pt>
                <c:pt idx="7">
                  <c:v>22.8</c:v>
                </c:pt>
                <c:pt idx="8">
                  <c:v>23.8</c:v>
                </c:pt>
                <c:pt idx="9">
                  <c:v>24.1</c:v>
                </c:pt>
                <c:pt idx="10">
                  <c:v>21.4</c:v>
                </c:pt>
                <c:pt idx="11">
                  <c:v>23.1</c:v>
                </c:pt>
                <c:pt idx="12">
                  <c:v>27.5</c:v>
                </c:pt>
                <c:pt idx="13">
                  <c:v>26.1</c:v>
                </c:pt>
                <c:pt idx="14">
                  <c:v>26</c:v>
                </c:pt>
                <c:pt idx="15">
                  <c:v>24</c:v>
                </c:pt>
                <c:pt idx="16">
                  <c:v>24.3</c:v>
                </c:pt>
                <c:pt idx="17">
                  <c:v>26.2</c:v>
                </c:pt>
                <c:pt idx="18">
                  <c:v>24.9</c:v>
                </c:pt>
                <c:pt idx="19">
                  <c:v>21.5</c:v>
                </c:pt>
                <c:pt idx="20">
                  <c:v>20.8</c:v>
                </c:pt>
                <c:pt idx="21">
                  <c:v>23.5</c:v>
                </c:pt>
                <c:pt idx="22">
                  <c:v>29.6</c:v>
                </c:pt>
                <c:pt idx="23">
                  <c:v>28.9</c:v>
                </c:pt>
                <c:pt idx="24">
                  <c:v>21</c:v>
                </c:pt>
                <c:pt idx="25">
                  <c:v>25.7</c:v>
                </c:pt>
                <c:pt idx="26">
                  <c:v>27</c:v>
                </c:pt>
                <c:pt idx="27">
                  <c:v>26.2</c:v>
                </c:pt>
                <c:pt idx="28">
                  <c:v>22.6</c:v>
                </c:pt>
                <c:pt idx="29">
                  <c:v>29.4</c:v>
                </c:pt>
                <c:pt idx="30">
                  <c:v>26.4</c:v>
                </c:pt>
                <c:pt idx="31">
                  <c:v>20.5</c:v>
                </c:pt>
                <c:pt idx="32">
                  <c:v>26.2</c:v>
                </c:pt>
                <c:pt idx="33">
                  <c:v>26.7</c:v>
                </c:pt>
                <c:pt idx="34">
                  <c:v>26.5</c:v>
                </c:pt>
                <c:pt idx="35">
                  <c:v>27</c:v>
                </c:pt>
                <c:pt idx="36">
                  <c:v>25.2</c:v>
                </c:pt>
                <c:pt idx="37">
                  <c:v>28.3</c:v>
                </c:pt>
                <c:pt idx="38">
                  <c:v>25.6</c:v>
                </c:pt>
                <c:pt idx="39">
                  <c:v>25.6</c:v>
                </c:pt>
                <c:pt idx="40">
                  <c:v>27.6</c:v>
                </c:pt>
                <c:pt idx="41">
                  <c:v>26.2</c:v>
                </c:pt>
                <c:pt idx="42">
                  <c:v>23.5</c:v>
                </c:pt>
                <c:pt idx="43">
                  <c:v>24.8</c:v>
                </c:pt>
                <c:pt idx="44">
                  <c:v>20.7</c:v>
                </c:pt>
                <c:pt idx="45">
                  <c:v>25</c:v>
                </c:pt>
                <c:pt idx="46">
                  <c:v>23.8</c:v>
                </c:pt>
                <c:pt idx="47">
                  <c:v>19.100000000000001</c:v>
                </c:pt>
                <c:pt idx="48">
                  <c:v>23.5</c:v>
                </c:pt>
                <c:pt idx="49">
                  <c:v>25.9</c:v>
                </c:pt>
                <c:pt idx="50">
                  <c:v>26.8</c:v>
                </c:pt>
                <c:pt idx="51">
                  <c:v>24.4</c:v>
                </c:pt>
                <c:pt idx="52">
                  <c:v>25.1</c:v>
                </c:pt>
                <c:pt idx="53">
                  <c:v>26.8</c:v>
                </c:pt>
                <c:pt idx="54">
                  <c:v>27.4</c:v>
                </c:pt>
                <c:pt idx="55">
                  <c:v>23</c:v>
                </c:pt>
                <c:pt idx="56">
                  <c:v>23.3</c:v>
                </c:pt>
                <c:pt idx="57">
                  <c:v>25.7</c:v>
                </c:pt>
                <c:pt idx="58">
                  <c:v>29.4</c:v>
                </c:pt>
                <c:pt idx="59">
                  <c:v>24.1</c:v>
                </c:pt>
                <c:pt idx="60">
                  <c:v>26.2</c:v>
                </c:pt>
                <c:pt idx="61">
                  <c:v>22.7</c:v>
                </c:pt>
                <c:pt idx="62">
                  <c:v>22.7</c:v>
                </c:pt>
                <c:pt idx="63">
                  <c:v>23.2</c:v>
                </c:pt>
                <c:pt idx="64">
                  <c:v>30.6</c:v>
                </c:pt>
                <c:pt idx="65">
                  <c:v>30.5</c:v>
                </c:pt>
                <c:pt idx="66">
                  <c:v>28.7</c:v>
                </c:pt>
                <c:pt idx="67">
                  <c:v>26.9</c:v>
                </c:pt>
                <c:pt idx="68">
                  <c:v>21.6</c:v>
                </c:pt>
                <c:pt idx="69">
                  <c:v>25.3</c:v>
                </c:pt>
                <c:pt idx="70">
                  <c:v>27.9</c:v>
                </c:pt>
                <c:pt idx="71">
                  <c:v>19.7</c:v>
                </c:pt>
                <c:pt idx="72">
                  <c:v>25.2</c:v>
                </c:pt>
                <c:pt idx="73">
                  <c:v>24.9</c:v>
                </c:pt>
                <c:pt idx="74">
                  <c:v>22.2</c:v>
                </c:pt>
                <c:pt idx="75">
                  <c:v>26.5</c:v>
                </c:pt>
                <c:pt idx="76">
                  <c:v>21.4</c:v>
                </c:pt>
                <c:pt idx="77">
                  <c:v>24.3</c:v>
                </c:pt>
                <c:pt idx="78">
                  <c:v>18.100000000000001</c:v>
                </c:pt>
                <c:pt idx="79">
                  <c:v>25.9</c:v>
                </c:pt>
                <c:pt idx="80">
                  <c:v>25.6</c:v>
                </c:pt>
                <c:pt idx="81">
                  <c:v>27.6</c:v>
                </c:pt>
                <c:pt idx="82">
                  <c:v>26.6</c:v>
                </c:pt>
                <c:pt idx="83">
                  <c:v>30.7</c:v>
                </c:pt>
                <c:pt idx="84">
                  <c:v>22.4</c:v>
                </c:pt>
                <c:pt idx="85">
                  <c:v>22.3</c:v>
                </c:pt>
                <c:pt idx="86">
                  <c:v>27.3</c:v>
                </c:pt>
                <c:pt idx="87">
                  <c:v>19.600000000000001</c:v>
                </c:pt>
                <c:pt idx="88">
                  <c:v>20</c:v>
                </c:pt>
                <c:pt idx="89">
                  <c:v>23.8</c:v>
                </c:pt>
                <c:pt idx="90">
                  <c:v>29.3</c:v>
                </c:pt>
                <c:pt idx="91">
                  <c:v>23.2</c:v>
                </c:pt>
                <c:pt idx="92">
                  <c:v>23.8</c:v>
                </c:pt>
                <c:pt idx="93">
                  <c:v>31.2</c:v>
                </c:pt>
                <c:pt idx="94">
                  <c:v>22</c:v>
                </c:pt>
                <c:pt idx="95">
                  <c:v>24.3</c:v>
                </c:pt>
                <c:pt idx="96">
                  <c:v>28.4</c:v>
                </c:pt>
                <c:pt idx="97">
                  <c:v>25.7</c:v>
                </c:pt>
                <c:pt idx="98">
                  <c:v>23.6</c:v>
                </c:pt>
                <c:pt idx="99">
                  <c:v>22.1</c:v>
                </c:pt>
                <c:pt idx="100">
                  <c:v>29.1</c:v>
                </c:pt>
                <c:pt idx="101">
                  <c:v>29.5</c:v>
                </c:pt>
                <c:pt idx="102">
                  <c:v>25.4</c:v>
                </c:pt>
                <c:pt idx="103">
                  <c:v>26.4</c:v>
                </c:pt>
                <c:pt idx="104">
                  <c:v>24.6</c:v>
                </c:pt>
                <c:pt idx="105">
                  <c:v>23.7</c:v>
                </c:pt>
                <c:pt idx="106">
                  <c:v>21.1</c:v>
                </c:pt>
                <c:pt idx="107">
                  <c:v>24.2</c:v>
                </c:pt>
                <c:pt idx="108">
                  <c:v>28.4</c:v>
                </c:pt>
                <c:pt idx="109">
                  <c:v>24.9</c:v>
                </c:pt>
                <c:pt idx="110">
                  <c:v>23.4</c:v>
                </c:pt>
                <c:pt idx="111">
                  <c:v>28.3</c:v>
                </c:pt>
                <c:pt idx="112">
                  <c:v>22.7</c:v>
                </c:pt>
                <c:pt idx="113">
                  <c:v>21.6</c:v>
                </c:pt>
                <c:pt idx="114">
                  <c:v>23.9</c:v>
                </c:pt>
                <c:pt idx="115">
                  <c:v>26.8</c:v>
                </c:pt>
                <c:pt idx="116">
                  <c:v>24.4</c:v>
                </c:pt>
                <c:pt idx="117">
                  <c:v>26.8</c:v>
                </c:pt>
                <c:pt idx="118">
                  <c:v>24.7</c:v>
                </c:pt>
                <c:pt idx="119">
                  <c:v>25.5</c:v>
                </c:pt>
                <c:pt idx="120">
                  <c:v>27.2</c:v>
                </c:pt>
                <c:pt idx="121">
                  <c:v>22.7</c:v>
                </c:pt>
                <c:pt idx="122">
                  <c:v>26.4</c:v>
                </c:pt>
                <c:pt idx="123">
                  <c:v>21.2</c:v>
                </c:pt>
                <c:pt idx="124">
                  <c:v>22.7</c:v>
                </c:pt>
                <c:pt idx="125">
                  <c:v>28.2</c:v>
                </c:pt>
                <c:pt idx="126">
                  <c:v>27.1</c:v>
                </c:pt>
                <c:pt idx="127">
                  <c:v>22.9</c:v>
                </c:pt>
                <c:pt idx="128">
                  <c:v>23.3</c:v>
                </c:pt>
                <c:pt idx="129">
                  <c:v>24.3</c:v>
                </c:pt>
                <c:pt idx="130">
                  <c:v>26.8</c:v>
                </c:pt>
                <c:pt idx="131">
                  <c:v>20</c:v>
                </c:pt>
                <c:pt idx="132">
                  <c:v>28.2</c:v>
                </c:pt>
                <c:pt idx="133">
                  <c:v>23.5</c:v>
                </c:pt>
                <c:pt idx="134">
                  <c:v>23.6</c:v>
                </c:pt>
                <c:pt idx="135">
                  <c:v>25.6</c:v>
                </c:pt>
                <c:pt idx="136">
                  <c:v>28.2</c:v>
                </c:pt>
                <c:pt idx="137">
                  <c:v>29.4</c:v>
                </c:pt>
                <c:pt idx="138">
                  <c:v>22.2</c:v>
                </c:pt>
                <c:pt idx="139">
                  <c:v>22</c:v>
                </c:pt>
                <c:pt idx="140">
                  <c:v>26.1</c:v>
                </c:pt>
                <c:pt idx="141">
                  <c:v>23.4</c:v>
                </c:pt>
                <c:pt idx="142">
                  <c:v>23.3</c:v>
                </c:pt>
                <c:pt idx="143">
                  <c:v>20.5</c:v>
                </c:pt>
                <c:pt idx="144">
                  <c:v>26</c:v>
                </c:pt>
                <c:pt idx="145">
                  <c:v>22.8</c:v>
                </c:pt>
                <c:pt idx="146">
                  <c:v>28.6</c:v>
                </c:pt>
                <c:pt idx="147">
                  <c:v>30.5</c:v>
                </c:pt>
                <c:pt idx="148">
                  <c:v>26.5</c:v>
                </c:pt>
                <c:pt idx="149">
                  <c:v>25.4</c:v>
                </c:pt>
                <c:pt idx="150">
                  <c:v>28.8</c:v>
                </c:pt>
                <c:pt idx="151">
                  <c:v>31.5</c:v>
                </c:pt>
                <c:pt idx="152">
                  <c:v>25.8</c:v>
                </c:pt>
                <c:pt idx="153">
                  <c:v>21.9</c:v>
                </c:pt>
                <c:pt idx="154">
                  <c:v>26.1</c:v>
                </c:pt>
                <c:pt idx="155">
                  <c:v>18.399999999999999</c:v>
                </c:pt>
                <c:pt idx="156">
                  <c:v>23.3</c:v>
                </c:pt>
                <c:pt idx="157">
                  <c:v>21.8</c:v>
                </c:pt>
                <c:pt idx="158">
                  <c:v>26.1</c:v>
                </c:pt>
                <c:pt idx="159">
                  <c:v>26.4</c:v>
                </c:pt>
                <c:pt idx="160">
                  <c:v>27.1</c:v>
                </c:pt>
                <c:pt idx="161">
                  <c:v>20.7</c:v>
                </c:pt>
                <c:pt idx="162">
                  <c:v>19.3</c:v>
                </c:pt>
                <c:pt idx="163">
                  <c:v>26.3</c:v>
                </c:pt>
                <c:pt idx="164">
                  <c:v>27.6</c:v>
                </c:pt>
                <c:pt idx="165">
                  <c:v>23</c:v>
                </c:pt>
                <c:pt idx="166">
                  <c:v>26.7</c:v>
                </c:pt>
                <c:pt idx="167">
                  <c:v>26.2</c:v>
                </c:pt>
                <c:pt idx="168">
                  <c:v>25.6</c:v>
                </c:pt>
                <c:pt idx="169">
                  <c:v>23.5</c:v>
                </c:pt>
                <c:pt idx="170">
                  <c:v>31.4</c:v>
                </c:pt>
                <c:pt idx="171">
                  <c:v>21.9</c:v>
                </c:pt>
                <c:pt idx="172">
                  <c:v>29.7</c:v>
                </c:pt>
                <c:pt idx="173">
                  <c:v>23.6</c:v>
                </c:pt>
                <c:pt idx="174">
                  <c:v>20.3</c:v>
                </c:pt>
                <c:pt idx="175">
                  <c:v>25.8</c:v>
                </c:pt>
                <c:pt idx="176">
                  <c:v>23.9</c:v>
                </c:pt>
                <c:pt idx="177">
                  <c:v>21.6</c:v>
                </c:pt>
                <c:pt idx="178">
                  <c:v>26.4</c:v>
                </c:pt>
              </c:numCache>
            </c:numRef>
          </c:xVal>
          <c:yVal>
            <c:numRef>
              <c:f>Sheet1!$H$180:$H$358</c:f>
              <c:numCache>
                <c:formatCode>General</c:formatCode>
                <c:ptCount val="179"/>
                <c:pt idx="0">
                  <c:v>57.330410623060665</c:v>
                </c:pt>
                <c:pt idx="1">
                  <c:v>55.225790286338679</c:v>
                </c:pt>
                <c:pt idx="2">
                  <c:v>52.175273012206723</c:v>
                </c:pt>
                <c:pt idx="3">
                  <c:v>56.314530621482788</c:v>
                </c:pt>
                <c:pt idx="4">
                  <c:v>53.347927267977674</c:v>
                </c:pt>
                <c:pt idx="5">
                  <c:v>54.094813161382305</c:v>
                </c:pt>
                <c:pt idx="6">
                  <c:v>48.072168656753277</c:v>
                </c:pt>
                <c:pt idx="7">
                  <c:v>50.954758159410453</c:v>
                </c:pt>
                <c:pt idx="8">
                  <c:v>55.993872225662848</c:v>
                </c:pt>
                <c:pt idx="9">
                  <c:v>51.179333908580588</c:v>
                </c:pt>
                <c:pt idx="10">
                  <c:v>47.165901887289934</c:v>
                </c:pt>
                <c:pt idx="11">
                  <c:v>53.64428725304834</c:v>
                </c:pt>
                <c:pt idx="12">
                  <c:v>51.445792990360005</c:v>
                </c:pt>
                <c:pt idx="13">
                  <c:v>48.331239200192869</c:v>
                </c:pt>
                <c:pt idx="14">
                  <c:v>57.640706965493713</c:v>
                </c:pt>
                <c:pt idx="15">
                  <c:v>53.908472857208203</c:v>
                </c:pt>
                <c:pt idx="16">
                  <c:v>57.667444832138948</c:v>
                </c:pt>
                <c:pt idx="17">
                  <c:v>47.224043472780252</c:v>
                </c:pt>
                <c:pt idx="18">
                  <c:v>48.923042082891342</c:v>
                </c:pt>
                <c:pt idx="19">
                  <c:v>48.794375597079387</c:v>
                </c:pt>
                <c:pt idx="20">
                  <c:v>53.332809452458726</c:v>
                </c:pt>
                <c:pt idx="21">
                  <c:v>57.339517084512188</c:v>
                </c:pt>
                <c:pt idx="22">
                  <c:v>55.880431274919225</c:v>
                </c:pt>
                <c:pt idx="23">
                  <c:v>59.350381049799161</c:v>
                </c:pt>
                <c:pt idx="24">
                  <c:v>48.377629620321372</c:v>
                </c:pt>
                <c:pt idx="25">
                  <c:v>51.556853291103238</c:v>
                </c:pt>
                <c:pt idx="26">
                  <c:v>55.041143114633051</c:v>
                </c:pt>
                <c:pt idx="27">
                  <c:v>53.344280587225498</c:v>
                </c:pt>
                <c:pt idx="28">
                  <c:v>50.838965388657932</c:v>
                </c:pt>
                <c:pt idx="29">
                  <c:v>56.650125894441189</c:v>
                </c:pt>
                <c:pt idx="30">
                  <c:v>52.177206931319922</c:v>
                </c:pt>
                <c:pt idx="31">
                  <c:v>51.678760716623628</c:v>
                </c:pt>
                <c:pt idx="32">
                  <c:v>57.096895830094915</c:v>
                </c:pt>
                <c:pt idx="33">
                  <c:v>51.237358454787433</c:v>
                </c:pt>
                <c:pt idx="34">
                  <c:v>53.370459744036701</c:v>
                </c:pt>
                <c:pt idx="35">
                  <c:v>58.820589216688511</c:v>
                </c:pt>
                <c:pt idx="36">
                  <c:v>44.823445261717737</c:v>
                </c:pt>
                <c:pt idx="37">
                  <c:v>53.186704891082364</c:v>
                </c:pt>
                <c:pt idx="38">
                  <c:v>52.492988054753631</c:v>
                </c:pt>
                <c:pt idx="39">
                  <c:v>51.779323480735748</c:v>
                </c:pt>
                <c:pt idx="40">
                  <c:v>59.562817048879033</c:v>
                </c:pt>
                <c:pt idx="41">
                  <c:v>62.053232013405477</c:v>
                </c:pt>
                <c:pt idx="42">
                  <c:v>46.463677582974192</c:v>
                </c:pt>
                <c:pt idx="43">
                  <c:v>56.163547394214355</c:v>
                </c:pt>
                <c:pt idx="44">
                  <c:v>57.19727178339086</c:v>
                </c:pt>
                <c:pt idx="45">
                  <c:v>59.315878218998733</c:v>
                </c:pt>
                <c:pt idx="46">
                  <c:v>52.852842751077247</c:v>
                </c:pt>
                <c:pt idx="47">
                  <c:v>56.868895183746304</c:v>
                </c:pt>
                <c:pt idx="48">
                  <c:v>54.455464831705868</c:v>
                </c:pt>
                <c:pt idx="49">
                  <c:v>53.142187572840143</c:v>
                </c:pt>
                <c:pt idx="50">
                  <c:v>55.82966992017171</c:v>
                </c:pt>
                <c:pt idx="51">
                  <c:v>55.220515163353227</c:v>
                </c:pt>
                <c:pt idx="52">
                  <c:v>55.079230877695814</c:v>
                </c:pt>
                <c:pt idx="53">
                  <c:v>57.11365509093136</c:v>
                </c:pt>
                <c:pt idx="54">
                  <c:v>54.820117404734518</c:v>
                </c:pt>
                <c:pt idx="55">
                  <c:v>49.704568694798077</c:v>
                </c:pt>
                <c:pt idx="56">
                  <c:v>56.606242969094104</c:v>
                </c:pt>
                <c:pt idx="57">
                  <c:v>56.770506278056288</c:v>
                </c:pt>
                <c:pt idx="58">
                  <c:v>52.869337117458414</c:v>
                </c:pt>
                <c:pt idx="59">
                  <c:v>51.980532697954295</c:v>
                </c:pt>
                <c:pt idx="60">
                  <c:v>54.035048148926272</c:v>
                </c:pt>
                <c:pt idx="61">
                  <c:v>53.031784208012404</c:v>
                </c:pt>
                <c:pt idx="62">
                  <c:v>55.889081044881678</c:v>
                </c:pt>
                <c:pt idx="63">
                  <c:v>55.054544244055684</c:v>
                </c:pt>
                <c:pt idx="64">
                  <c:v>53.183764631746286</c:v>
                </c:pt>
                <c:pt idx="65">
                  <c:v>48.787685121063248</c:v>
                </c:pt>
                <c:pt idx="66">
                  <c:v>60.607434831590304</c:v>
                </c:pt>
                <c:pt idx="67">
                  <c:v>56.732989477965951</c:v>
                </c:pt>
                <c:pt idx="68">
                  <c:v>58.581597108080757</c:v>
                </c:pt>
                <c:pt idx="69">
                  <c:v>53.262758337364055</c:v>
                </c:pt>
                <c:pt idx="70">
                  <c:v>55.543440590738953</c:v>
                </c:pt>
                <c:pt idx="71">
                  <c:v>58.759169509703192</c:v>
                </c:pt>
                <c:pt idx="72">
                  <c:v>52.32123968468516</c:v>
                </c:pt>
                <c:pt idx="73">
                  <c:v>58.629772374390917</c:v>
                </c:pt>
                <c:pt idx="74">
                  <c:v>55.739545160367129</c:v>
                </c:pt>
                <c:pt idx="75">
                  <c:v>54.471260686424074</c:v>
                </c:pt>
                <c:pt idx="76">
                  <c:v>44.436224919282083</c:v>
                </c:pt>
                <c:pt idx="77">
                  <c:v>51.255096891406417</c:v>
                </c:pt>
                <c:pt idx="78">
                  <c:v>54.713894277059168</c:v>
                </c:pt>
                <c:pt idx="79">
                  <c:v>44.985530780085597</c:v>
                </c:pt>
                <c:pt idx="80">
                  <c:v>52.432807758058004</c:v>
                </c:pt>
                <c:pt idx="81">
                  <c:v>58.208714930962174</c:v>
                </c:pt>
                <c:pt idx="82">
                  <c:v>60.917800601182336</c:v>
                </c:pt>
                <c:pt idx="83">
                  <c:v>61.546833219584613</c:v>
                </c:pt>
                <c:pt idx="84">
                  <c:v>51.091713970726431</c:v>
                </c:pt>
                <c:pt idx="85">
                  <c:v>54.091796146414531</c:v>
                </c:pt>
                <c:pt idx="86">
                  <c:v>58.536538638022755</c:v>
                </c:pt>
                <c:pt idx="87">
                  <c:v>54.597814008194035</c:v>
                </c:pt>
                <c:pt idx="88">
                  <c:v>53.458397765045397</c:v>
                </c:pt>
                <c:pt idx="89">
                  <c:v>47.943257200539698</c:v>
                </c:pt>
                <c:pt idx="90">
                  <c:v>60.180480198076893</c:v>
                </c:pt>
                <c:pt idx="91">
                  <c:v>53.529552688108801</c:v>
                </c:pt>
                <c:pt idx="92">
                  <c:v>55.74865405291834</c:v>
                </c:pt>
                <c:pt idx="93">
                  <c:v>53.362664305425639</c:v>
                </c:pt>
                <c:pt idx="94">
                  <c:v>51.96379066909784</c:v>
                </c:pt>
                <c:pt idx="95">
                  <c:v>54.616338698267825</c:v>
                </c:pt>
                <c:pt idx="96">
                  <c:v>50.870640199642942</c:v>
                </c:pt>
                <c:pt idx="97">
                  <c:v>61.124468200285229</c:v>
                </c:pt>
                <c:pt idx="98">
                  <c:v>51.54540863621984</c:v>
                </c:pt>
                <c:pt idx="99">
                  <c:v>53.38212383064063</c:v>
                </c:pt>
                <c:pt idx="100">
                  <c:v>55.407725420527221</c:v>
                </c:pt>
                <c:pt idx="101">
                  <c:v>48.655040989038817</c:v>
                </c:pt>
                <c:pt idx="102">
                  <c:v>58.550922545730671</c:v>
                </c:pt>
                <c:pt idx="103">
                  <c:v>46.151518084016637</c:v>
                </c:pt>
                <c:pt idx="104">
                  <c:v>50.865829258781773</c:v>
                </c:pt>
                <c:pt idx="105">
                  <c:v>58.665672266092422</c:v>
                </c:pt>
                <c:pt idx="106">
                  <c:v>50.500101543720191</c:v>
                </c:pt>
                <c:pt idx="107">
                  <c:v>56.712041385416299</c:v>
                </c:pt>
                <c:pt idx="108">
                  <c:v>60.382683863106372</c:v>
                </c:pt>
                <c:pt idx="109">
                  <c:v>52.977529703947496</c:v>
                </c:pt>
                <c:pt idx="110">
                  <c:v>55.228322507206869</c:v>
                </c:pt>
                <c:pt idx="111">
                  <c:v>47.628757158848977</c:v>
                </c:pt>
                <c:pt idx="112">
                  <c:v>53.199542387318132</c:v>
                </c:pt>
                <c:pt idx="113">
                  <c:v>57.545328173779211</c:v>
                </c:pt>
                <c:pt idx="114">
                  <c:v>50.924417444221675</c:v>
                </c:pt>
                <c:pt idx="115">
                  <c:v>51.130951331987937</c:v>
                </c:pt>
                <c:pt idx="116">
                  <c:v>57.076386031183901</c:v>
                </c:pt>
                <c:pt idx="117">
                  <c:v>54.502288150800169</c:v>
                </c:pt>
                <c:pt idx="118">
                  <c:v>59.086577622186219</c:v>
                </c:pt>
                <c:pt idx="119">
                  <c:v>56.418515587238915</c:v>
                </c:pt>
                <c:pt idx="120">
                  <c:v>50.47318038579175</c:v>
                </c:pt>
                <c:pt idx="121">
                  <c:v>51.194021381012448</c:v>
                </c:pt>
                <c:pt idx="122">
                  <c:v>55.3798102140602</c:v>
                </c:pt>
                <c:pt idx="123">
                  <c:v>51.228239059662904</c:v>
                </c:pt>
                <c:pt idx="124">
                  <c:v>55.171721337570872</c:v>
                </c:pt>
                <c:pt idx="125">
                  <c:v>55.358005125544054</c:v>
                </c:pt>
                <c:pt idx="126">
                  <c:v>54.32458469409719</c:v>
                </c:pt>
                <c:pt idx="127">
                  <c:v>55.632819300134585</c:v>
                </c:pt>
                <c:pt idx="128">
                  <c:v>56.567225709837764</c:v>
                </c:pt>
                <c:pt idx="129">
                  <c:v>51.712551511974382</c:v>
                </c:pt>
                <c:pt idx="130">
                  <c:v>52.982816775334626</c:v>
                </c:pt>
                <c:pt idx="131">
                  <c:v>50.693329636694344</c:v>
                </c:pt>
                <c:pt idx="132">
                  <c:v>52.127459408769141</c:v>
                </c:pt>
                <c:pt idx="133">
                  <c:v>54.986905219526051</c:v>
                </c:pt>
                <c:pt idx="134">
                  <c:v>49.460800752999333</c:v>
                </c:pt>
                <c:pt idx="135">
                  <c:v>53.595201432293443</c:v>
                </c:pt>
                <c:pt idx="136">
                  <c:v>57.337058789485013</c:v>
                </c:pt>
                <c:pt idx="137">
                  <c:v>48.753983248475933</c:v>
                </c:pt>
                <c:pt idx="138">
                  <c:v>52.860535719887423</c:v>
                </c:pt>
                <c:pt idx="139">
                  <c:v>53.126124317070825</c:v>
                </c:pt>
                <c:pt idx="140">
                  <c:v>51.33058169619931</c:v>
                </c:pt>
                <c:pt idx="141">
                  <c:v>59.068804394381054</c:v>
                </c:pt>
                <c:pt idx="142">
                  <c:v>60.513334866397372</c:v>
                </c:pt>
                <c:pt idx="143">
                  <c:v>47.948573322349148</c:v>
                </c:pt>
                <c:pt idx="144">
                  <c:v>52.358389799027591</c:v>
                </c:pt>
                <c:pt idx="145">
                  <c:v>49.679763526186449</c:v>
                </c:pt>
                <c:pt idx="146">
                  <c:v>46.589268949822994</c:v>
                </c:pt>
                <c:pt idx="147">
                  <c:v>56.118386115220289</c:v>
                </c:pt>
                <c:pt idx="148">
                  <c:v>53.727404282489132</c:v>
                </c:pt>
                <c:pt idx="149">
                  <c:v>49.862858570219402</c:v>
                </c:pt>
                <c:pt idx="150">
                  <c:v>54.209146957088606</c:v>
                </c:pt>
                <c:pt idx="151">
                  <c:v>58.830434300713186</c:v>
                </c:pt>
                <c:pt idx="152">
                  <c:v>54.369331717185759</c:v>
                </c:pt>
                <c:pt idx="153">
                  <c:v>54.728927774336363</c:v>
                </c:pt>
                <c:pt idx="154">
                  <c:v>47.274880505635323</c:v>
                </c:pt>
                <c:pt idx="155">
                  <c:v>51.135739161589939</c:v>
                </c:pt>
                <c:pt idx="156">
                  <c:v>58.271556451704463</c:v>
                </c:pt>
                <c:pt idx="157">
                  <c:v>60.893148280931513</c:v>
                </c:pt>
                <c:pt idx="158">
                  <c:v>57.71227197698812</c:v>
                </c:pt>
                <c:pt idx="159">
                  <c:v>54.200545990716705</c:v>
                </c:pt>
                <c:pt idx="160">
                  <c:v>56.863340826828889</c:v>
                </c:pt>
                <c:pt idx="161">
                  <c:v>55.616124410176909</c:v>
                </c:pt>
                <c:pt idx="162">
                  <c:v>52.079390559463477</c:v>
                </c:pt>
                <c:pt idx="163">
                  <c:v>59.69839184532821</c:v>
                </c:pt>
                <c:pt idx="164">
                  <c:v>58.447821509315958</c:v>
                </c:pt>
                <c:pt idx="165">
                  <c:v>55.494067689568382</c:v>
                </c:pt>
                <c:pt idx="166">
                  <c:v>48.725621785094447</c:v>
                </c:pt>
                <c:pt idx="167">
                  <c:v>52.515148504725936</c:v>
                </c:pt>
                <c:pt idx="168">
                  <c:v>49.899356133917927</c:v>
                </c:pt>
                <c:pt idx="169">
                  <c:v>52.760183617911856</c:v>
                </c:pt>
                <c:pt idx="170">
                  <c:v>49.803215634289835</c:v>
                </c:pt>
                <c:pt idx="171">
                  <c:v>54.902428356886801</c:v>
                </c:pt>
                <c:pt idx="172">
                  <c:v>58.618799137726612</c:v>
                </c:pt>
                <c:pt idx="173">
                  <c:v>54.596174370837282</c:v>
                </c:pt>
                <c:pt idx="174">
                  <c:v>49.523277599031502</c:v>
                </c:pt>
                <c:pt idx="175">
                  <c:v>57.094917524822371</c:v>
                </c:pt>
                <c:pt idx="176">
                  <c:v>53.302676370972769</c:v>
                </c:pt>
                <c:pt idx="177">
                  <c:v>55.546966276973365</c:v>
                </c:pt>
                <c:pt idx="178">
                  <c:v>53.960320989889127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93-4EF1-8417-4B3E6A123C26}"/>
            </c:ext>
          </c:extLst>
        </c:ser>
        <c:ser>
          <c:idx val="1"/>
          <c:order val="1"/>
          <c:tx>
            <c:v>Life_expectancy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Sheet1!$G$180:$G$358</c:f>
              <c:numCache>
                <c:formatCode>General</c:formatCode>
                <c:ptCount val="179"/>
                <c:pt idx="0">
                  <c:v>29.6</c:v>
                </c:pt>
                <c:pt idx="1">
                  <c:v>26.6</c:v>
                </c:pt>
                <c:pt idx="2">
                  <c:v>23.3</c:v>
                </c:pt>
                <c:pt idx="3">
                  <c:v>24.3</c:v>
                </c:pt>
                <c:pt idx="4">
                  <c:v>26.1</c:v>
                </c:pt>
                <c:pt idx="5">
                  <c:v>21.8</c:v>
                </c:pt>
                <c:pt idx="6">
                  <c:v>25.6</c:v>
                </c:pt>
                <c:pt idx="7">
                  <c:v>22.8</c:v>
                </c:pt>
                <c:pt idx="8">
                  <c:v>23.8</c:v>
                </c:pt>
                <c:pt idx="9">
                  <c:v>24.1</c:v>
                </c:pt>
                <c:pt idx="10">
                  <c:v>21.4</c:v>
                </c:pt>
                <c:pt idx="11">
                  <c:v>23.1</c:v>
                </c:pt>
                <c:pt idx="12">
                  <c:v>27.5</c:v>
                </c:pt>
                <c:pt idx="13">
                  <c:v>26.1</c:v>
                </c:pt>
                <c:pt idx="14">
                  <c:v>26</c:v>
                </c:pt>
                <c:pt idx="15">
                  <c:v>24</c:v>
                </c:pt>
                <c:pt idx="16">
                  <c:v>24.3</c:v>
                </c:pt>
                <c:pt idx="17">
                  <c:v>26.2</c:v>
                </c:pt>
                <c:pt idx="18">
                  <c:v>24.9</c:v>
                </c:pt>
                <c:pt idx="19">
                  <c:v>21.5</c:v>
                </c:pt>
                <c:pt idx="20">
                  <c:v>20.8</c:v>
                </c:pt>
                <c:pt idx="21">
                  <c:v>23.5</c:v>
                </c:pt>
                <c:pt idx="22">
                  <c:v>29.6</c:v>
                </c:pt>
                <c:pt idx="23">
                  <c:v>28.9</c:v>
                </c:pt>
                <c:pt idx="24">
                  <c:v>21</c:v>
                </c:pt>
                <c:pt idx="25">
                  <c:v>25.7</c:v>
                </c:pt>
                <c:pt idx="26">
                  <c:v>27</c:v>
                </c:pt>
                <c:pt idx="27">
                  <c:v>26.2</c:v>
                </c:pt>
                <c:pt idx="28">
                  <c:v>22.6</c:v>
                </c:pt>
                <c:pt idx="29">
                  <c:v>29.4</c:v>
                </c:pt>
                <c:pt idx="30">
                  <c:v>26.4</c:v>
                </c:pt>
                <c:pt idx="31">
                  <c:v>20.5</c:v>
                </c:pt>
                <c:pt idx="32">
                  <c:v>26.2</c:v>
                </c:pt>
                <c:pt idx="33">
                  <c:v>26.7</c:v>
                </c:pt>
                <c:pt idx="34">
                  <c:v>26.5</c:v>
                </c:pt>
                <c:pt idx="35">
                  <c:v>27</c:v>
                </c:pt>
                <c:pt idx="36">
                  <c:v>25.2</c:v>
                </c:pt>
                <c:pt idx="37">
                  <c:v>28.3</c:v>
                </c:pt>
                <c:pt idx="38">
                  <c:v>25.6</c:v>
                </c:pt>
                <c:pt idx="39">
                  <c:v>25.6</c:v>
                </c:pt>
                <c:pt idx="40">
                  <c:v>27.6</c:v>
                </c:pt>
                <c:pt idx="41">
                  <c:v>26.2</c:v>
                </c:pt>
                <c:pt idx="42">
                  <c:v>23.5</c:v>
                </c:pt>
                <c:pt idx="43">
                  <c:v>24.8</c:v>
                </c:pt>
                <c:pt idx="44">
                  <c:v>20.7</c:v>
                </c:pt>
                <c:pt idx="45">
                  <c:v>25</c:v>
                </c:pt>
                <c:pt idx="46">
                  <c:v>23.8</c:v>
                </c:pt>
                <c:pt idx="47">
                  <c:v>19.100000000000001</c:v>
                </c:pt>
                <c:pt idx="48">
                  <c:v>23.5</c:v>
                </c:pt>
                <c:pt idx="49">
                  <c:v>25.9</c:v>
                </c:pt>
                <c:pt idx="50">
                  <c:v>26.8</c:v>
                </c:pt>
                <c:pt idx="51">
                  <c:v>24.4</c:v>
                </c:pt>
                <c:pt idx="52">
                  <c:v>25.1</c:v>
                </c:pt>
                <c:pt idx="53">
                  <c:v>26.8</c:v>
                </c:pt>
                <c:pt idx="54">
                  <c:v>27.4</c:v>
                </c:pt>
                <c:pt idx="55">
                  <c:v>23</c:v>
                </c:pt>
                <c:pt idx="56">
                  <c:v>23.3</c:v>
                </c:pt>
                <c:pt idx="57">
                  <c:v>25.7</c:v>
                </c:pt>
                <c:pt idx="58">
                  <c:v>29.4</c:v>
                </c:pt>
                <c:pt idx="59">
                  <c:v>24.1</c:v>
                </c:pt>
                <c:pt idx="60">
                  <c:v>26.2</c:v>
                </c:pt>
                <c:pt idx="61">
                  <c:v>22.7</c:v>
                </c:pt>
                <c:pt idx="62">
                  <c:v>22.7</c:v>
                </c:pt>
                <c:pt idx="63">
                  <c:v>23.2</c:v>
                </c:pt>
                <c:pt idx="64">
                  <c:v>30.6</c:v>
                </c:pt>
                <c:pt idx="65">
                  <c:v>30.5</c:v>
                </c:pt>
                <c:pt idx="66">
                  <c:v>28.7</c:v>
                </c:pt>
                <c:pt idx="67">
                  <c:v>26.9</c:v>
                </c:pt>
                <c:pt idx="68">
                  <c:v>21.6</c:v>
                </c:pt>
                <c:pt idx="69">
                  <c:v>25.3</c:v>
                </c:pt>
                <c:pt idx="70">
                  <c:v>27.9</c:v>
                </c:pt>
                <c:pt idx="71">
                  <c:v>19.7</c:v>
                </c:pt>
                <c:pt idx="72">
                  <c:v>25.2</c:v>
                </c:pt>
                <c:pt idx="73">
                  <c:v>24.9</c:v>
                </c:pt>
                <c:pt idx="74">
                  <c:v>22.2</c:v>
                </c:pt>
                <c:pt idx="75">
                  <c:v>26.5</c:v>
                </c:pt>
                <c:pt idx="76">
                  <c:v>21.4</c:v>
                </c:pt>
                <c:pt idx="77">
                  <c:v>24.3</c:v>
                </c:pt>
                <c:pt idx="78">
                  <c:v>18.100000000000001</c:v>
                </c:pt>
                <c:pt idx="79">
                  <c:v>25.9</c:v>
                </c:pt>
                <c:pt idx="80">
                  <c:v>25.6</c:v>
                </c:pt>
                <c:pt idx="81">
                  <c:v>27.6</c:v>
                </c:pt>
                <c:pt idx="82">
                  <c:v>26.6</c:v>
                </c:pt>
                <c:pt idx="83">
                  <c:v>30.7</c:v>
                </c:pt>
                <c:pt idx="84">
                  <c:v>22.4</c:v>
                </c:pt>
                <c:pt idx="85">
                  <c:v>22.3</c:v>
                </c:pt>
                <c:pt idx="86">
                  <c:v>27.3</c:v>
                </c:pt>
                <c:pt idx="87">
                  <c:v>19.600000000000001</c:v>
                </c:pt>
                <c:pt idx="88">
                  <c:v>20</c:v>
                </c:pt>
                <c:pt idx="89">
                  <c:v>23.8</c:v>
                </c:pt>
                <c:pt idx="90">
                  <c:v>29.3</c:v>
                </c:pt>
                <c:pt idx="91">
                  <c:v>23.2</c:v>
                </c:pt>
                <c:pt idx="92">
                  <c:v>23.8</c:v>
                </c:pt>
                <c:pt idx="93">
                  <c:v>31.2</c:v>
                </c:pt>
                <c:pt idx="94">
                  <c:v>22</c:v>
                </c:pt>
                <c:pt idx="95">
                  <c:v>24.3</c:v>
                </c:pt>
                <c:pt idx="96">
                  <c:v>28.4</c:v>
                </c:pt>
                <c:pt idx="97">
                  <c:v>25.7</c:v>
                </c:pt>
                <c:pt idx="98">
                  <c:v>23.6</c:v>
                </c:pt>
                <c:pt idx="99">
                  <c:v>22.1</c:v>
                </c:pt>
                <c:pt idx="100">
                  <c:v>29.1</c:v>
                </c:pt>
                <c:pt idx="101">
                  <c:v>29.5</c:v>
                </c:pt>
                <c:pt idx="102">
                  <c:v>25.4</c:v>
                </c:pt>
                <c:pt idx="103">
                  <c:v>26.4</c:v>
                </c:pt>
                <c:pt idx="104">
                  <c:v>24.6</c:v>
                </c:pt>
                <c:pt idx="105">
                  <c:v>23.7</c:v>
                </c:pt>
                <c:pt idx="106">
                  <c:v>21.1</c:v>
                </c:pt>
                <c:pt idx="107">
                  <c:v>24.2</c:v>
                </c:pt>
                <c:pt idx="108">
                  <c:v>28.4</c:v>
                </c:pt>
                <c:pt idx="109">
                  <c:v>24.9</c:v>
                </c:pt>
                <c:pt idx="110">
                  <c:v>23.4</c:v>
                </c:pt>
                <c:pt idx="111">
                  <c:v>28.3</c:v>
                </c:pt>
                <c:pt idx="112">
                  <c:v>22.7</c:v>
                </c:pt>
                <c:pt idx="113">
                  <c:v>21.6</c:v>
                </c:pt>
                <c:pt idx="114">
                  <c:v>23.9</c:v>
                </c:pt>
                <c:pt idx="115">
                  <c:v>26.8</c:v>
                </c:pt>
                <c:pt idx="116">
                  <c:v>24.4</c:v>
                </c:pt>
                <c:pt idx="117">
                  <c:v>26.8</c:v>
                </c:pt>
                <c:pt idx="118">
                  <c:v>24.7</c:v>
                </c:pt>
                <c:pt idx="119">
                  <c:v>25.5</c:v>
                </c:pt>
                <c:pt idx="120">
                  <c:v>27.2</c:v>
                </c:pt>
                <c:pt idx="121">
                  <c:v>22.7</c:v>
                </c:pt>
                <c:pt idx="122">
                  <c:v>26.4</c:v>
                </c:pt>
                <c:pt idx="123">
                  <c:v>21.2</c:v>
                </c:pt>
                <c:pt idx="124">
                  <c:v>22.7</c:v>
                </c:pt>
                <c:pt idx="125">
                  <c:v>28.2</c:v>
                </c:pt>
                <c:pt idx="126">
                  <c:v>27.1</c:v>
                </c:pt>
                <c:pt idx="127">
                  <c:v>22.9</c:v>
                </c:pt>
                <c:pt idx="128">
                  <c:v>23.3</c:v>
                </c:pt>
                <c:pt idx="129">
                  <c:v>24.3</c:v>
                </c:pt>
                <c:pt idx="130">
                  <c:v>26.8</c:v>
                </c:pt>
                <c:pt idx="131">
                  <c:v>20</c:v>
                </c:pt>
                <c:pt idx="132">
                  <c:v>28.2</c:v>
                </c:pt>
                <c:pt idx="133">
                  <c:v>23.5</c:v>
                </c:pt>
                <c:pt idx="134">
                  <c:v>23.6</c:v>
                </c:pt>
                <c:pt idx="135">
                  <c:v>25.6</c:v>
                </c:pt>
                <c:pt idx="136">
                  <c:v>28.2</c:v>
                </c:pt>
                <c:pt idx="137">
                  <c:v>29.4</c:v>
                </c:pt>
                <c:pt idx="138">
                  <c:v>22.2</c:v>
                </c:pt>
                <c:pt idx="139">
                  <c:v>22</c:v>
                </c:pt>
                <c:pt idx="140">
                  <c:v>26.1</c:v>
                </c:pt>
                <c:pt idx="141">
                  <c:v>23.4</c:v>
                </c:pt>
                <c:pt idx="142">
                  <c:v>23.3</c:v>
                </c:pt>
                <c:pt idx="143">
                  <c:v>20.5</c:v>
                </c:pt>
                <c:pt idx="144">
                  <c:v>26</c:v>
                </c:pt>
                <c:pt idx="145">
                  <c:v>22.8</c:v>
                </c:pt>
                <c:pt idx="146">
                  <c:v>28.6</c:v>
                </c:pt>
                <c:pt idx="147">
                  <c:v>30.5</c:v>
                </c:pt>
                <c:pt idx="148">
                  <c:v>26.5</c:v>
                </c:pt>
                <c:pt idx="149">
                  <c:v>25.4</c:v>
                </c:pt>
                <c:pt idx="150">
                  <c:v>28.8</c:v>
                </c:pt>
                <c:pt idx="151">
                  <c:v>31.5</c:v>
                </c:pt>
                <c:pt idx="152">
                  <c:v>25.8</c:v>
                </c:pt>
                <c:pt idx="153">
                  <c:v>21.9</c:v>
                </c:pt>
                <c:pt idx="154">
                  <c:v>26.1</c:v>
                </c:pt>
                <c:pt idx="155">
                  <c:v>18.399999999999999</c:v>
                </c:pt>
                <c:pt idx="156">
                  <c:v>23.3</c:v>
                </c:pt>
                <c:pt idx="157">
                  <c:v>21.8</c:v>
                </c:pt>
                <c:pt idx="158">
                  <c:v>26.1</c:v>
                </c:pt>
                <c:pt idx="159">
                  <c:v>26.4</c:v>
                </c:pt>
                <c:pt idx="160">
                  <c:v>27.1</c:v>
                </c:pt>
                <c:pt idx="161">
                  <c:v>20.7</c:v>
                </c:pt>
                <c:pt idx="162">
                  <c:v>19.3</c:v>
                </c:pt>
                <c:pt idx="163">
                  <c:v>26.3</c:v>
                </c:pt>
                <c:pt idx="164">
                  <c:v>27.6</c:v>
                </c:pt>
                <c:pt idx="165">
                  <c:v>23</c:v>
                </c:pt>
                <c:pt idx="166">
                  <c:v>26.7</c:v>
                </c:pt>
                <c:pt idx="167">
                  <c:v>26.2</c:v>
                </c:pt>
                <c:pt idx="168">
                  <c:v>25.6</c:v>
                </c:pt>
                <c:pt idx="169">
                  <c:v>23.5</c:v>
                </c:pt>
                <c:pt idx="170">
                  <c:v>31.4</c:v>
                </c:pt>
                <c:pt idx="171">
                  <c:v>21.9</c:v>
                </c:pt>
                <c:pt idx="172">
                  <c:v>29.7</c:v>
                </c:pt>
                <c:pt idx="173">
                  <c:v>23.6</c:v>
                </c:pt>
                <c:pt idx="174">
                  <c:v>20.3</c:v>
                </c:pt>
                <c:pt idx="175">
                  <c:v>25.8</c:v>
                </c:pt>
                <c:pt idx="176">
                  <c:v>23.9</c:v>
                </c:pt>
                <c:pt idx="177">
                  <c:v>21.6</c:v>
                </c:pt>
                <c:pt idx="178">
                  <c:v>26.4</c:v>
                </c:pt>
              </c:numCache>
            </c:numRef>
          </c:xVal>
          <c:yVal>
            <c:numRef>
              <c:f>Sheet1!$I$180:$I$358</c:f>
              <c:numCache>
                <c:formatCode>General</c:formatCode>
                <c:ptCount val="179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50.3</c:v>
                </c:pt>
                <c:pt idx="72">
                  <c:v>50.3</c:v>
                </c:pt>
                <c:pt idx="73">
                  <c:v>50.4</c:v>
                </c:pt>
                <c:pt idx="74">
                  <c:v>50.4</c:v>
                </c:pt>
                <c:pt idx="75">
                  <c:v>50.5</c:v>
                </c:pt>
                <c:pt idx="76">
                  <c:v>50.5</c:v>
                </c:pt>
                <c:pt idx="77">
                  <c:v>50.5</c:v>
                </c:pt>
                <c:pt idx="78">
                  <c:v>50.6</c:v>
                </c:pt>
                <c:pt idx="79">
                  <c:v>50.6</c:v>
                </c:pt>
                <c:pt idx="80">
                  <c:v>50.7</c:v>
                </c:pt>
                <c:pt idx="81">
                  <c:v>50.9</c:v>
                </c:pt>
                <c:pt idx="82">
                  <c:v>50.9</c:v>
                </c:pt>
                <c:pt idx="83">
                  <c:v>51.3</c:v>
                </c:pt>
                <c:pt idx="84">
                  <c:v>51.4</c:v>
                </c:pt>
                <c:pt idx="85">
                  <c:v>51.5</c:v>
                </c:pt>
                <c:pt idx="86">
                  <c:v>51.5</c:v>
                </c:pt>
                <c:pt idx="87">
                  <c:v>51.6</c:v>
                </c:pt>
                <c:pt idx="88">
                  <c:v>51.6</c:v>
                </c:pt>
                <c:pt idx="89">
                  <c:v>51.6</c:v>
                </c:pt>
                <c:pt idx="90">
                  <c:v>51.7</c:v>
                </c:pt>
                <c:pt idx="91">
                  <c:v>51.8</c:v>
                </c:pt>
                <c:pt idx="92">
                  <c:v>52.1</c:v>
                </c:pt>
                <c:pt idx="93">
                  <c:v>52.3</c:v>
                </c:pt>
                <c:pt idx="94">
                  <c:v>52.3</c:v>
                </c:pt>
                <c:pt idx="95">
                  <c:v>52.4</c:v>
                </c:pt>
                <c:pt idx="96">
                  <c:v>52.5</c:v>
                </c:pt>
                <c:pt idx="97">
                  <c:v>52.5</c:v>
                </c:pt>
                <c:pt idx="98">
                  <c:v>52.6</c:v>
                </c:pt>
                <c:pt idx="99">
                  <c:v>52.7</c:v>
                </c:pt>
                <c:pt idx="100">
                  <c:v>53</c:v>
                </c:pt>
                <c:pt idx="101">
                  <c:v>53</c:v>
                </c:pt>
                <c:pt idx="102">
                  <c:v>53.1</c:v>
                </c:pt>
                <c:pt idx="103">
                  <c:v>53.3</c:v>
                </c:pt>
                <c:pt idx="104">
                  <c:v>53.4</c:v>
                </c:pt>
                <c:pt idx="105">
                  <c:v>53.5</c:v>
                </c:pt>
                <c:pt idx="106">
                  <c:v>53.6</c:v>
                </c:pt>
                <c:pt idx="107">
                  <c:v>53.6</c:v>
                </c:pt>
                <c:pt idx="108">
                  <c:v>54.1</c:v>
                </c:pt>
                <c:pt idx="109">
                  <c:v>54.2</c:v>
                </c:pt>
                <c:pt idx="110">
                  <c:v>54.5</c:v>
                </c:pt>
                <c:pt idx="111">
                  <c:v>54.6</c:v>
                </c:pt>
                <c:pt idx="112">
                  <c:v>54.6</c:v>
                </c:pt>
                <c:pt idx="113">
                  <c:v>54.7</c:v>
                </c:pt>
                <c:pt idx="114">
                  <c:v>54.7</c:v>
                </c:pt>
                <c:pt idx="115">
                  <c:v>54.8</c:v>
                </c:pt>
                <c:pt idx="116">
                  <c:v>54.9</c:v>
                </c:pt>
                <c:pt idx="117">
                  <c:v>55.1</c:v>
                </c:pt>
                <c:pt idx="118">
                  <c:v>55.3</c:v>
                </c:pt>
                <c:pt idx="119">
                  <c:v>55.5</c:v>
                </c:pt>
                <c:pt idx="120">
                  <c:v>55.5</c:v>
                </c:pt>
                <c:pt idx="121">
                  <c:v>55.6</c:v>
                </c:pt>
                <c:pt idx="122">
                  <c:v>55.8</c:v>
                </c:pt>
                <c:pt idx="123">
                  <c:v>55.9</c:v>
                </c:pt>
                <c:pt idx="124">
                  <c:v>56.1</c:v>
                </c:pt>
                <c:pt idx="125">
                  <c:v>56.2</c:v>
                </c:pt>
                <c:pt idx="126">
                  <c:v>56.6</c:v>
                </c:pt>
                <c:pt idx="127">
                  <c:v>56.8</c:v>
                </c:pt>
                <c:pt idx="128">
                  <c:v>56.9</c:v>
                </c:pt>
                <c:pt idx="129">
                  <c:v>56.9</c:v>
                </c:pt>
                <c:pt idx="130">
                  <c:v>57</c:v>
                </c:pt>
                <c:pt idx="131">
                  <c:v>57.1</c:v>
                </c:pt>
                <c:pt idx="132">
                  <c:v>57.3</c:v>
                </c:pt>
                <c:pt idx="133">
                  <c:v>57.4</c:v>
                </c:pt>
                <c:pt idx="134">
                  <c:v>57.5</c:v>
                </c:pt>
                <c:pt idx="135">
                  <c:v>57.6</c:v>
                </c:pt>
                <c:pt idx="136">
                  <c:v>57.9</c:v>
                </c:pt>
                <c:pt idx="137">
                  <c:v>57.9</c:v>
                </c:pt>
                <c:pt idx="138">
                  <c:v>58</c:v>
                </c:pt>
                <c:pt idx="139">
                  <c:v>58.4</c:v>
                </c:pt>
                <c:pt idx="140">
                  <c:v>58.4</c:v>
                </c:pt>
                <c:pt idx="141">
                  <c:v>58.5</c:v>
                </c:pt>
                <c:pt idx="142">
                  <c:v>58.8</c:v>
                </c:pt>
                <c:pt idx="143">
                  <c:v>58.9</c:v>
                </c:pt>
                <c:pt idx="144">
                  <c:v>58.9</c:v>
                </c:pt>
                <c:pt idx="145">
                  <c:v>59</c:v>
                </c:pt>
                <c:pt idx="146">
                  <c:v>59.3</c:v>
                </c:pt>
                <c:pt idx="147">
                  <c:v>59.4</c:v>
                </c:pt>
                <c:pt idx="148">
                  <c:v>59.7</c:v>
                </c:pt>
                <c:pt idx="149">
                  <c:v>59.7</c:v>
                </c:pt>
                <c:pt idx="150">
                  <c:v>59.8</c:v>
                </c:pt>
                <c:pt idx="151">
                  <c:v>59.9</c:v>
                </c:pt>
                <c:pt idx="152">
                  <c:v>60.1</c:v>
                </c:pt>
                <c:pt idx="153">
                  <c:v>60.2</c:v>
                </c:pt>
                <c:pt idx="154">
                  <c:v>60.5</c:v>
                </c:pt>
                <c:pt idx="155">
                  <c:v>60.7</c:v>
                </c:pt>
                <c:pt idx="156">
                  <c:v>60.7</c:v>
                </c:pt>
                <c:pt idx="157">
                  <c:v>60.8</c:v>
                </c:pt>
                <c:pt idx="158">
                  <c:v>60.9</c:v>
                </c:pt>
                <c:pt idx="159">
                  <c:v>61.2</c:v>
                </c:pt>
                <c:pt idx="160">
                  <c:v>61.2</c:v>
                </c:pt>
                <c:pt idx="161">
                  <c:v>61.5</c:v>
                </c:pt>
                <c:pt idx="162">
                  <c:v>61.6</c:v>
                </c:pt>
                <c:pt idx="163">
                  <c:v>61.6</c:v>
                </c:pt>
                <c:pt idx="164">
                  <c:v>61.6</c:v>
                </c:pt>
                <c:pt idx="165">
                  <c:v>61.7</c:v>
                </c:pt>
                <c:pt idx="166">
                  <c:v>62</c:v>
                </c:pt>
                <c:pt idx="167">
                  <c:v>62.2</c:v>
                </c:pt>
                <c:pt idx="168">
                  <c:v>62.3</c:v>
                </c:pt>
                <c:pt idx="169">
                  <c:v>62.7</c:v>
                </c:pt>
                <c:pt idx="170">
                  <c:v>62.8</c:v>
                </c:pt>
                <c:pt idx="171">
                  <c:v>63</c:v>
                </c:pt>
                <c:pt idx="172">
                  <c:v>63.1</c:v>
                </c:pt>
                <c:pt idx="173">
                  <c:v>63.4</c:v>
                </c:pt>
                <c:pt idx="174">
                  <c:v>63.4</c:v>
                </c:pt>
                <c:pt idx="175">
                  <c:v>64.8</c:v>
                </c:pt>
                <c:pt idx="176">
                  <c:v>64.900000000000006</c:v>
                </c:pt>
                <c:pt idx="177">
                  <c:v>65</c:v>
                </c:pt>
                <c:pt idx="178">
                  <c:v>67.8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93-4EF1-8417-4B3E6A123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770767"/>
        <c:axId val="1302771247"/>
      </c:scatterChart>
      <c:valAx>
        <c:axId val="1302770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BMI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71247"/>
        <c:crosses val="autoZero"/>
        <c:crossBetween val="midCat"/>
      </c:valAx>
      <c:valAx>
        <c:axId val="130277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Life_expectancy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70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Adult_mortality Line Fit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Predicted Life_expectancy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Sheet1!$J$180:$J$358</c:f>
              <c:numCache>
                <c:formatCode>General</c:formatCode>
                <c:ptCount val="179"/>
                <c:pt idx="0">
                  <c:v>131.30000000000001</c:v>
                </c:pt>
                <c:pt idx="1">
                  <c:v>112.9</c:v>
                </c:pt>
                <c:pt idx="2">
                  <c:v>69</c:v>
                </c:pt>
                <c:pt idx="3">
                  <c:v>155.4</c:v>
                </c:pt>
                <c:pt idx="4">
                  <c:v>101.9</c:v>
                </c:pt>
                <c:pt idx="5">
                  <c:v>215.8</c:v>
                </c:pt>
                <c:pt idx="6">
                  <c:v>209.1</c:v>
                </c:pt>
                <c:pt idx="7">
                  <c:v>113.1</c:v>
                </c:pt>
                <c:pt idx="8">
                  <c:v>95.8</c:v>
                </c:pt>
                <c:pt idx="9">
                  <c:v>176.5</c:v>
                </c:pt>
                <c:pt idx="10">
                  <c:v>215</c:v>
                </c:pt>
                <c:pt idx="11">
                  <c:v>178.9</c:v>
                </c:pt>
                <c:pt idx="12">
                  <c:v>157</c:v>
                </c:pt>
                <c:pt idx="13">
                  <c:v>268.2</c:v>
                </c:pt>
                <c:pt idx="14">
                  <c:v>107.6</c:v>
                </c:pt>
                <c:pt idx="15">
                  <c:v>118.6</c:v>
                </c:pt>
                <c:pt idx="16">
                  <c:v>50</c:v>
                </c:pt>
                <c:pt idx="17">
                  <c:v>300.89999999999998</c:v>
                </c:pt>
                <c:pt idx="18">
                  <c:v>154.80000000000001</c:v>
                </c:pt>
                <c:pt idx="19">
                  <c:v>241.4</c:v>
                </c:pt>
                <c:pt idx="20">
                  <c:v>196.9</c:v>
                </c:pt>
                <c:pt idx="21">
                  <c:v>50</c:v>
                </c:pt>
                <c:pt idx="22">
                  <c:v>87.3</c:v>
                </c:pt>
                <c:pt idx="23">
                  <c:v>50</c:v>
                </c:pt>
                <c:pt idx="24">
                  <c:v>191.8</c:v>
                </c:pt>
                <c:pt idx="25">
                  <c:v>173.4</c:v>
                </c:pt>
                <c:pt idx="26">
                  <c:v>72</c:v>
                </c:pt>
                <c:pt idx="27">
                  <c:v>215.8</c:v>
                </c:pt>
                <c:pt idx="28">
                  <c:v>143.80000000000001</c:v>
                </c:pt>
                <c:pt idx="29">
                  <c:v>128.80000000000001</c:v>
                </c:pt>
                <c:pt idx="30">
                  <c:v>132.1</c:v>
                </c:pt>
                <c:pt idx="31">
                  <c:v>114.3</c:v>
                </c:pt>
                <c:pt idx="32">
                  <c:v>79.3</c:v>
                </c:pt>
                <c:pt idx="33">
                  <c:v>236.6</c:v>
                </c:pt>
                <c:pt idx="34">
                  <c:v>191.2</c:v>
                </c:pt>
                <c:pt idx="35">
                  <c:v>124.8</c:v>
                </c:pt>
                <c:pt idx="36">
                  <c:v>335.2</c:v>
                </c:pt>
                <c:pt idx="37">
                  <c:v>155.1</c:v>
                </c:pt>
                <c:pt idx="38">
                  <c:v>153.6</c:v>
                </c:pt>
                <c:pt idx="39">
                  <c:v>97.1</c:v>
                </c:pt>
                <c:pt idx="40">
                  <c:v>54</c:v>
                </c:pt>
                <c:pt idx="41">
                  <c:v>50</c:v>
                </c:pt>
                <c:pt idx="42">
                  <c:v>251.4</c:v>
                </c:pt>
                <c:pt idx="43">
                  <c:v>50</c:v>
                </c:pt>
                <c:pt idx="44">
                  <c:v>114.8</c:v>
                </c:pt>
                <c:pt idx="45">
                  <c:v>71.5</c:v>
                </c:pt>
                <c:pt idx="46">
                  <c:v>159.1</c:v>
                </c:pt>
                <c:pt idx="47">
                  <c:v>137.9</c:v>
                </c:pt>
                <c:pt idx="48">
                  <c:v>102.9</c:v>
                </c:pt>
                <c:pt idx="49">
                  <c:v>215</c:v>
                </c:pt>
                <c:pt idx="50">
                  <c:v>148.30000000000001</c:v>
                </c:pt>
                <c:pt idx="51">
                  <c:v>132.6</c:v>
                </c:pt>
                <c:pt idx="52">
                  <c:v>204.6</c:v>
                </c:pt>
                <c:pt idx="53">
                  <c:v>84.5</c:v>
                </c:pt>
                <c:pt idx="54">
                  <c:v>199.9</c:v>
                </c:pt>
                <c:pt idx="55">
                  <c:v>228</c:v>
                </c:pt>
                <c:pt idx="56">
                  <c:v>84.2</c:v>
                </c:pt>
                <c:pt idx="57">
                  <c:v>50</c:v>
                </c:pt>
                <c:pt idx="58">
                  <c:v>218.6</c:v>
                </c:pt>
                <c:pt idx="59">
                  <c:v>175.8</c:v>
                </c:pt>
                <c:pt idx="60">
                  <c:v>205.2</c:v>
                </c:pt>
                <c:pt idx="61">
                  <c:v>152</c:v>
                </c:pt>
                <c:pt idx="62">
                  <c:v>219.8</c:v>
                </c:pt>
                <c:pt idx="63">
                  <c:v>50</c:v>
                </c:pt>
                <c:pt idx="64">
                  <c:v>226</c:v>
                </c:pt>
                <c:pt idx="65">
                  <c:v>244.4</c:v>
                </c:pt>
                <c:pt idx="66">
                  <c:v>50</c:v>
                </c:pt>
                <c:pt idx="67">
                  <c:v>64.599999999999994</c:v>
                </c:pt>
                <c:pt idx="68">
                  <c:v>50</c:v>
                </c:pt>
                <c:pt idx="69">
                  <c:v>244.3</c:v>
                </c:pt>
                <c:pt idx="70">
                  <c:v>201.6</c:v>
                </c:pt>
                <c:pt idx="71">
                  <c:v>55.3</c:v>
                </c:pt>
                <c:pt idx="72">
                  <c:v>280.3</c:v>
                </c:pt>
                <c:pt idx="73">
                  <c:v>50</c:v>
                </c:pt>
                <c:pt idx="74">
                  <c:v>108.9</c:v>
                </c:pt>
                <c:pt idx="75">
                  <c:v>107.6</c:v>
                </c:pt>
                <c:pt idx="76">
                  <c:v>307.2</c:v>
                </c:pt>
                <c:pt idx="77">
                  <c:v>199.1</c:v>
                </c:pt>
                <c:pt idx="78">
                  <c:v>50</c:v>
                </c:pt>
                <c:pt idx="79">
                  <c:v>396.3</c:v>
                </c:pt>
                <c:pt idx="80">
                  <c:v>89.5</c:v>
                </c:pt>
                <c:pt idx="81">
                  <c:v>149.4</c:v>
                </c:pt>
                <c:pt idx="82">
                  <c:v>67</c:v>
                </c:pt>
                <c:pt idx="83">
                  <c:v>50</c:v>
                </c:pt>
                <c:pt idx="84">
                  <c:v>153.9</c:v>
                </c:pt>
                <c:pt idx="85">
                  <c:v>103.9</c:v>
                </c:pt>
                <c:pt idx="86">
                  <c:v>50</c:v>
                </c:pt>
                <c:pt idx="87">
                  <c:v>50</c:v>
                </c:pt>
                <c:pt idx="88">
                  <c:v>144.69999999999999</c:v>
                </c:pt>
                <c:pt idx="89">
                  <c:v>230.5</c:v>
                </c:pt>
                <c:pt idx="90">
                  <c:v>50</c:v>
                </c:pt>
                <c:pt idx="91">
                  <c:v>156.9</c:v>
                </c:pt>
                <c:pt idx="92">
                  <c:v>111</c:v>
                </c:pt>
                <c:pt idx="93">
                  <c:v>219.7</c:v>
                </c:pt>
                <c:pt idx="94">
                  <c:v>50</c:v>
                </c:pt>
                <c:pt idx="95">
                  <c:v>216.4</c:v>
                </c:pt>
                <c:pt idx="96">
                  <c:v>177.1</c:v>
                </c:pt>
                <c:pt idx="97">
                  <c:v>113.3</c:v>
                </c:pt>
                <c:pt idx="98">
                  <c:v>188.3</c:v>
                </c:pt>
                <c:pt idx="99">
                  <c:v>114.5</c:v>
                </c:pt>
                <c:pt idx="100">
                  <c:v>183.1</c:v>
                </c:pt>
                <c:pt idx="101">
                  <c:v>202.3</c:v>
                </c:pt>
                <c:pt idx="102">
                  <c:v>158.80000000000001</c:v>
                </c:pt>
                <c:pt idx="103">
                  <c:v>300.60000000000002</c:v>
                </c:pt>
                <c:pt idx="104">
                  <c:v>154.5</c:v>
                </c:pt>
                <c:pt idx="105">
                  <c:v>69</c:v>
                </c:pt>
                <c:pt idx="106">
                  <c:v>123.1</c:v>
                </c:pt>
                <c:pt idx="107">
                  <c:v>50</c:v>
                </c:pt>
                <c:pt idx="108">
                  <c:v>128.5</c:v>
                </c:pt>
                <c:pt idx="109">
                  <c:v>165.8</c:v>
                </c:pt>
                <c:pt idx="110">
                  <c:v>93</c:v>
                </c:pt>
                <c:pt idx="111">
                  <c:v>249.7</c:v>
                </c:pt>
                <c:pt idx="112">
                  <c:v>61.2</c:v>
                </c:pt>
                <c:pt idx="113">
                  <c:v>108</c:v>
                </c:pt>
                <c:pt idx="114">
                  <c:v>206.9</c:v>
                </c:pt>
                <c:pt idx="115">
                  <c:v>197.4</c:v>
                </c:pt>
                <c:pt idx="116">
                  <c:v>108.2</c:v>
                </c:pt>
                <c:pt idx="117">
                  <c:v>50</c:v>
                </c:pt>
                <c:pt idx="118">
                  <c:v>106.4</c:v>
                </c:pt>
                <c:pt idx="119">
                  <c:v>120.9</c:v>
                </c:pt>
                <c:pt idx="120">
                  <c:v>163.69999999999999</c:v>
                </c:pt>
                <c:pt idx="121">
                  <c:v>165.7</c:v>
                </c:pt>
                <c:pt idx="122">
                  <c:v>170.5</c:v>
                </c:pt>
                <c:pt idx="123">
                  <c:v>100</c:v>
                </c:pt>
                <c:pt idx="124">
                  <c:v>101.1</c:v>
                </c:pt>
                <c:pt idx="125">
                  <c:v>74</c:v>
                </c:pt>
                <c:pt idx="126">
                  <c:v>103.9</c:v>
                </c:pt>
                <c:pt idx="127">
                  <c:v>147.19999999999999</c:v>
                </c:pt>
                <c:pt idx="128">
                  <c:v>200.6</c:v>
                </c:pt>
                <c:pt idx="129">
                  <c:v>144</c:v>
                </c:pt>
                <c:pt idx="130">
                  <c:v>194.8</c:v>
                </c:pt>
                <c:pt idx="131">
                  <c:v>184.4</c:v>
                </c:pt>
                <c:pt idx="132">
                  <c:v>146.80000000000001</c:v>
                </c:pt>
                <c:pt idx="133">
                  <c:v>157.69999999999999</c:v>
                </c:pt>
                <c:pt idx="134">
                  <c:v>250.5</c:v>
                </c:pt>
                <c:pt idx="135">
                  <c:v>232.5</c:v>
                </c:pt>
                <c:pt idx="136">
                  <c:v>108.6</c:v>
                </c:pt>
                <c:pt idx="137">
                  <c:v>276.39999999999998</c:v>
                </c:pt>
                <c:pt idx="138">
                  <c:v>69.7</c:v>
                </c:pt>
                <c:pt idx="139">
                  <c:v>228.7</c:v>
                </c:pt>
                <c:pt idx="140">
                  <c:v>163.30000000000001</c:v>
                </c:pt>
                <c:pt idx="141">
                  <c:v>100.1</c:v>
                </c:pt>
                <c:pt idx="142">
                  <c:v>83.4</c:v>
                </c:pt>
                <c:pt idx="143">
                  <c:v>273.8</c:v>
                </c:pt>
                <c:pt idx="144">
                  <c:v>202.7</c:v>
                </c:pt>
                <c:pt idx="145">
                  <c:v>147.30000000000001</c:v>
                </c:pt>
                <c:pt idx="146">
                  <c:v>352.2</c:v>
                </c:pt>
                <c:pt idx="147">
                  <c:v>196.7</c:v>
                </c:pt>
                <c:pt idx="148">
                  <c:v>235.3</c:v>
                </c:pt>
                <c:pt idx="149">
                  <c:v>246.5</c:v>
                </c:pt>
                <c:pt idx="150">
                  <c:v>165.3</c:v>
                </c:pt>
                <c:pt idx="151">
                  <c:v>125.4</c:v>
                </c:pt>
                <c:pt idx="152">
                  <c:v>198.6</c:v>
                </c:pt>
                <c:pt idx="153">
                  <c:v>160.6</c:v>
                </c:pt>
                <c:pt idx="154">
                  <c:v>275.2</c:v>
                </c:pt>
                <c:pt idx="155">
                  <c:v>185.2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195.6</c:v>
                </c:pt>
                <c:pt idx="160">
                  <c:v>142.80000000000001</c:v>
                </c:pt>
                <c:pt idx="161">
                  <c:v>160.19999999999999</c:v>
                </c:pt>
                <c:pt idx="162">
                  <c:v>113.8</c:v>
                </c:pt>
                <c:pt idx="163">
                  <c:v>72.599999999999994</c:v>
                </c:pt>
                <c:pt idx="164">
                  <c:v>132.30000000000001</c:v>
                </c:pt>
                <c:pt idx="165">
                  <c:v>69.900000000000006</c:v>
                </c:pt>
                <c:pt idx="166">
                  <c:v>261.89999999999998</c:v>
                </c:pt>
                <c:pt idx="167">
                  <c:v>221.6</c:v>
                </c:pt>
                <c:pt idx="168">
                  <c:v>316</c:v>
                </c:pt>
                <c:pt idx="169">
                  <c:v>124.4</c:v>
                </c:pt>
                <c:pt idx="170">
                  <c:v>288.2</c:v>
                </c:pt>
                <c:pt idx="171">
                  <c:v>129.4</c:v>
                </c:pt>
                <c:pt idx="172">
                  <c:v>51.9</c:v>
                </c:pt>
                <c:pt idx="173">
                  <c:v>236.3</c:v>
                </c:pt>
                <c:pt idx="174">
                  <c:v>268.10000000000002</c:v>
                </c:pt>
                <c:pt idx="175">
                  <c:v>106</c:v>
                </c:pt>
                <c:pt idx="176">
                  <c:v>211.7</c:v>
                </c:pt>
                <c:pt idx="177">
                  <c:v>50</c:v>
                </c:pt>
                <c:pt idx="178">
                  <c:v>156.1</c:v>
                </c:pt>
              </c:numCache>
            </c:numRef>
          </c:xVal>
          <c:yVal>
            <c:numRef>
              <c:f>Sheet1!$K$180:$K$358</c:f>
              <c:numCache>
                <c:formatCode>General</c:formatCode>
                <c:ptCount val="179"/>
                <c:pt idx="0">
                  <c:v>57.330410623060665</c:v>
                </c:pt>
                <c:pt idx="1">
                  <c:v>55.225790286338679</c:v>
                </c:pt>
                <c:pt idx="2">
                  <c:v>52.175273012206723</c:v>
                </c:pt>
                <c:pt idx="3">
                  <c:v>56.314530621482788</c:v>
                </c:pt>
                <c:pt idx="4">
                  <c:v>53.347927267977674</c:v>
                </c:pt>
                <c:pt idx="5">
                  <c:v>54.094813161382305</c:v>
                </c:pt>
                <c:pt idx="6">
                  <c:v>48.072168656753277</c:v>
                </c:pt>
                <c:pt idx="7">
                  <c:v>50.954758159410453</c:v>
                </c:pt>
                <c:pt idx="8">
                  <c:v>55.993872225662848</c:v>
                </c:pt>
                <c:pt idx="9">
                  <c:v>51.179333908580588</c:v>
                </c:pt>
                <c:pt idx="10">
                  <c:v>47.165901887289934</c:v>
                </c:pt>
                <c:pt idx="11">
                  <c:v>53.64428725304834</c:v>
                </c:pt>
                <c:pt idx="12">
                  <c:v>51.445792990360005</c:v>
                </c:pt>
                <c:pt idx="13">
                  <c:v>48.331239200192869</c:v>
                </c:pt>
                <c:pt idx="14">
                  <c:v>57.640706965493713</c:v>
                </c:pt>
                <c:pt idx="15">
                  <c:v>53.908472857208203</c:v>
                </c:pt>
                <c:pt idx="16">
                  <c:v>57.667444832138948</c:v>
                </c:pt>
                <c:pt idx="17">
                  <c:v>47.224043472780252</c:v>
                </c:pt>
                <c:pt idx="18">
                  <c:v>48.923042082891342</c:v>
                </c:pt>
                <c:pt idx="19">
                  <c:v>48.794375597079387</c:v>
                </c:pt>
                <c:pt idx="20">
                  <c:v>53.332809452458726</c:v>
                </c:pt>
                <c:pt idx="21">
                  <c:v>57.339517084512188</c:v>
                </c:pt>
                <c:pt idx="22">
                  <c:v>55.880431274919225</c:v>
                </c:pt>
                <c:pt idx="23">
                  <c:v>59.350381049799161</c:v>
                </c:pt>
                <c:pt idx="24">
                  <c:v>48.377629620321372</c:v>
                </c:pt>
                <c:pt idx="25">
                  <c:v>51.556853291103238</c:v>
                </c:pt>
                <c:pt idx="26">
                  <c:v>55.041143114633051</c:v>
                </c:pt>
                <c:pt idx="27">
                  <c:v>53.344280587225498</c:v>
                </c:pt>
                <c:pt idx="28">
                  <c:v>50.838965388657932</c:v>
                </c:pt>
                <c:pt idx="29">
                  <c:v>56.650125894441189</c:v>
                </c:pt>
                <c:pt idx="30">
                  <c:v>52.177206931319922</c:v>
                </c:pt>
                <c:pt idx="31">
                  <c:v>51.678760716623628</c:v>
                </c:pt>
                <c:pt idx="32">
                  <c:v>57.096895830094915</c:v>
                </c:pt>
                <c:pt idx="33">
                  <c:v>51.237358454787433</c:v>
                </c:pt>
                <c:pt idx="34">
                  <c:v>53.370459744036701</c:v>
                </c:pt>
                <c:pt idx="35">
                  <c:v>58.820589216688511</c:v>
                </c:pt>
                <c:pt idx="36">
                  <c:v>44.823445261717737</c:v>
                </c:pt>
                <c:pt idx="37">
                  <c:v>53.186704891082364</c:v>
                </c:pt>
                <c:pt idx="38">
                  <c:v>52.492988054753631</c:v>
                </c:pt>
                <c:pt idx="39">
                  <c:v>51.779323480735748</c:v>
                </c:pt>
                <c:pt idx="40">
                  <c:v>59.562817048879033</c:v>
                </c:pt>
                <c:pt idx="41">
                  <c:v>62.053232013405477</c:v>
                </c:pt>
                <c:pt idx="42">
                  <c:v>46.463677582974192</c:v>
                </c:pt>
                <c:pt idx="43">
                  <c:v>56.163547394214355</c:v>
                </c:pt>
                <c:pt idx="44">
                  <c:v>57.19727178339086</c:v>
                </c:pt>
                <c:pt idx="45">
                  <c:v>59.315878218998733</c:v>
                </c:pt>
                <c:pt idx="46">
                  <c:v>52.852842751077247</c:v>
                </c:pt>
                <c:pt idx="47">
                  <c:v>56.868895183746304</c:v>
                </c:pt>
                <c:pt idx="48">
                  <c:v>54.455464831705868</c:v>
                </c:pt>
                <c:pt idx="49">
                  <c:v>53.142187572840143</c:v>
                </c:pt>
                <c:pt idx="50">
                  <c:v>55.82966992017171</c:v>
                </c:pt>
                <c:pt idx="51">
                  <c:v>55.220515163353227</c:v>
                </c:pt>
                <c:pt idx="52">
                  <c:v>55.079230877695814</c:v>
                </c:pt>
                <c:pt idx="53">
                  <c:v>57.11365509093136</c:v>
                </c:pt>
                <c:pt idx="54">
                  <c:v>54.820117404734518</c:v>
                </c:pt>
                <c:pt idx="55">
                  <c:v>49.704568694798077</c:v>
                </c:pt>
                <c:pt idx="56">
                  <c:v>56.606242969094104</c:v>
                </c:pt>
                <c:pt idx="57">
                  <c:v>56.770506278056288</c:v>
                </c:pt>
                <c:pt idx="58">
                  <c:v>52.869337117458414</c:v>
                </c:pt>
                <c:pt idx="59">
                  <c:v>51.980532697954295</c:v>
                </c:pt>
                <c:pt idx="60">
                  <c:v>54.035048148926272</c:v>
                </c:pt>
                <c:pt idx="61">
                  <c:v>53.031784208012404</c:v>
                </c:pt>
                <c:pt idx="62">
                  <c:v>55.889081044881678</c:v>
                </c:pt>
                <c:pt idx="63">
                  <c:v>55.054544244055684</c:v>
                </c:pt>
                <c:pt idx="64">
                  <c:v>53.183764631746286</c:v>
                </c:pt>
                <c:pt idx="65">
                  <c:v>48.787685121063248</c:v>
                </c:pt>
                <c:pt idx="66">
                  <c:v>60.607434831590304</c:v>
                </c:pt>
                <c:pt idx="67">
                  <c:v>56.732989477965951</c:v>
                </c:pt>
                <c:pt idx="68">
                  <c:v>58.581597108080757</c:v>
                </c:pt>
                <c:pt idx="69">
                  <c:v>53.262758337364055</c:v>
                </c:pt>
                <c:pt idx="70">
                  <c:v>55.543440590738953</c:v>
                </c:pt>
                <c:pt idx="71">
                  <c:v>58.759169509703192</c:v>
                </c:pt>
                <c:pt idx="72">
                  <c:v>52.32123968468516</c:v>
                </c:pt>
                <c:pt idx="73">
                  <c:v>58.629772374390917</c:v>
                </c:pt>
                <c:pt idx="74">
                  <c:v>55.739545160367129</c:v>
                </c:pt>
                <c:pt idx="75">
                  <c:v>54.471260686424074</c:v>
                </c:pt>
                <c:pt idx="76">
                  <c:v>44.436224919282083</c:v>
                </c:pt>
                <c:pt idx="77">
                  <c:v>51.255096891406417</c:v>
                </c:pt>
                <c:pt idx="78">
                  <c:v>54.713894277059168</c:v>
                </c:pt>
                <c:pt idx="79">
                  <c:v>44.985530780085597</c:v>
                </c:pt>
                <c:pt idx="80">
                  <c:v>52.432807758058004</c:v>
                </c:pt>
                <c:pt idx="81">
                  <c:v>58.208714930962174</c:v>
                </c:pt>
                <c:pt idx="82">
                  <c:v>60.917800601182336</c:v>
                </c:pt>
                <c:pt idx="83">
                  <c:v>61.546833219584613</c:v>
                </c:pt>
                <c:pt idx="84">
                  <c:v>51.091713970726431</c:v>
                </c:pt>
                <c:pt idx="85">
                  <c:v>54.091796146414531</c:v>
                </c:pt>
                <c:pt idx="86">
                  <c:v>58.536538638022755</c:v>
                </c:pt>
                <c:pt idx="87">
                  <c:v>54.597814008194035</c:v>
                </c:pt>
                <c:pt idx="88">
                  <c:v>53.458397765045397</c:v>
                </c:pt>
                <c:pt idx="89">
                  <c:v>47.943257200539698</c:v>
                </c:pt>
                <c:pt idx="90">
                  <c:v>60.180480198076893</c:v>
                </c:pt>
                <c:pt idx="91">
                  <c:v>53.529552688108801</c:v>
                </c:pt>
                <c:pt idx="92">
                  <c:v>55.74865405291834</c:v>
                </c:pt>
                <c:pt idx="93">
                  <c:v>53.362664305425639</c:v>
                </c:pt>
                <c:pt idx="94">
                  <c:v>51.96379066909784</c:v>
                </c:pt>
                <c:pt idx="95">
                  <c:v>54.616338698267825</c:v>
                </c:pt>
                <c:pt idx="96">
                  <c:v>50.870640199642942</c:v>
                </c:pt>
                <c:pt idx="97">
                  <c:v>61.124468200285229</c:v>
                </c:pt>
                <c:pt idx="98">
                  <c:v>51.54540863621984</c:v>
                </c:pt>
                <c:pt idx="99">
                  <c:v>53.38212383064063</c:v>
                </c:pt>
                <c:pt idx="100">
                  <c:v>55.407725420527221</c:v>
                </c:pt>
                <c:pt idx="101">
                  <c:v>48.655040989038817</c:v>
                </c:pt>
                <c:pt idx="102">
                  <c:v>58.550922545730671</c:v>
                </c:pt>
                <c:pt idx="103">
                  <c:v>46.151518084016637</c:v>
                </c:pt>
                <c:pt idx="104">
                  <c:v>50.865829258781773</c:v>
                </c:pt>
                <c:pt idx="105">
                  <c:v>58.665672266092422</c:v>
                </c:pt>
                <c:pt idx="106">
                  <c:v>50.500101543720191</c:v>
                </c:pt>
                <c:pt idx="107">
                  <c:v>56.712041385416299</c:v>
                </c:pt>
                <c:pt idx="108">
                  <c:v>60.382683863106372</c:v>
                </c:pt>
                <c:pt idx="109">
                  <c:v>52.977529703947496</c:v>
                </c:pt>
                <c:pt idx="110">
                  <c:v>55.228322507206869</c:v>
                </c:pt>
                <c:pt idx="111">
                  <c:v>47.628757158848977</c:v>
                </c:pt>
                <c:pt idx="112">
                  <c:v>53.199542387318132</c:v>
                </c:pt>
                <c:pt idx="113">
                  <c:v>57.545328173779211</c:v>
                </c:pt>
                <c:pt idx="114">
                  <c:v>50.924417444221675</c:v>
                </c:pt>
                <c:pt idx="115">
                  <c:v>51.130951331987937</c:v>
                </c:pt>
                <c:pt idx="116">
                  <c:v>57.076386031183901</c:v>
                </c:pt>
                <c:pt idx="117">
                  <c:v>54.502288150800169</c:v>
                </c:pt>
                <c:pt idx="118">
                  <c:v>59.086577622186219</c:v>
                </c:pt>
                <c:pt idx="119">
                  <c:v>56.418515587238915</c:v>
                </c:pt>
                <c:pt idx="120">
                  <c:v>50.47318038579175</c:v>
                </c:pt>
                <c:pt idx="121">
                  <c:v>51.194021381012448</c:v>
                </c:pt>
                <c:pt idx="122">
                  <c:v>55.3798102140602</c:v>
                </c:pt>
                <c:pt idx="123">
                  <c:v>51.228239059662904</c:v>
                </c:pt>
                <c:pt idx="124">
                  <c:v>55.171721337570872</c:v>
                </c:pt>
                <c:pt idx="125">
                  <c:v>55.358005125544054</c:v>
                </c:pt>
                <c:pt idx="126">
                  <c:v>54.32458469409719</c:v>
                </c:pt>
                <c:pt idx="127">
                  <c:v>55.632819300134585</c:v>
                </c:pt>
                <c:pt idx="128">
                  <c:v>56.567225709837764</c:v>
                </c:pt>
                <c:pt idx="129">
                  <c:v>51.712551511974382</c:v>
                </c:pt>
                <c:pt idx="130">
                  <c:v>52.982816775334626</c:v>
                </c:pt>
                <c:pt idx="131">
                  <c:v>50.693329636694344</c:v>
                </c:pt>
                <c:pt idx="132">
                  <c:v>52.127459408769141</c:v>
                </c:pt>
                <c:pt idx="133">
                  <c:v>54.986905219526051</c:v>
                </c:pt>
                <c:pt idx="134">
                  <c:v>49.460800752999333</c:v>
                </c:pt>
                <c:pt idx="135">
                  <c:v>53.595201432293443</c:v>
                </c:pt>
                <c:pt idx="136">
                  <c:v>57.337058789485013</c:v>
                </c:pt>
                <c:pt idx="137">
                  <c:v>48.753983248475933</c:v>
                </c:pt>
                <c:pt idx="138">
                  <c:v>52.860535719887423</c:v>
                </c:pt>
                <c:pt idx="139">
                  <c:v>53.126124317070825</c:v>
                </c:pt>
                <c:pt idx="140">
                  <c:v>51.33058169619931</c:v>
                </c:pt>
                <c:pt idx="141">
                  <c:v>59.068804394381054</c:v>
                </c:pt>
                <c:pt idx="142">
                  <c:v>60.513334866397372</c:v>
                </c:pt>
                <c:pt idx="143">
                  <c:v>47.948573322349148</c:v>
                </c:pt>
                <c:pt idx="144">
                  <c:v>52.358389799027591</c:v>
                </c:pt>
                <c:pt idx="145">
                  <c:v>49.679763526186449</c:v>
                </c:pt>
                <c:pt idx="146">
                  <c:v>46.589268949822994</c:v>
                </c:pt>
                <c:pt idx="147">
                  <c:v>56.118386115220289</c:v>
                </c:pt>
                <c:pt idx="148">
                  <c:v>53.727404282489132</c:v>
                </c:pt>
                <c:pt idx="149">
                  <c:v>49.862858570219402</c:v>
                </c:pt>
                <c:pt idx="150">
                  <c:v>54.209146957088606</c:v>
                </c:pt>
                <c:pt idx="151">
                  <c:v>58.830434300713186</c:v>
                </c:pt>
                <c:pt idx="152">
                  <c:v>54.369331717185759</c:v>
                </c:pt>
                <c:pt idx="153">
                  <c:v>54.728927774336363</c:v>
                </c:pt>
                <c:pt idx="154">
                  <c:v>47.274880505635323</c:v>
                </c:pt>
                <c:pt idx="155">
                  <c:v>51.135739161589939</c:v>
                </c:pt>
                <c:pt idx="156">
                  <c:v>58.271556451704463</c:v>
                </c:pt>
                <c:pt idx="157">
                  <c:v>60.893148280931513</c:v>
                </c:pt>
                <c:pt idx="158">
                  <c:v>57.71227197698812</c:v>
                </c:pt>
                <c:pt idx="159">
                  <c:v>54.200545990716705</c:v>
                </c:pt>
                <c:pt idx="160">
                  <c:v>56.863340826828889</c:v>
                </c:pt>
                <c:pt idx="161">
                  <c:v>55.616124410176909</c:v>
                </c:pt>
                <c:pt idx="162">
                  <c:v>52.079390559463477</c:v>
                </c:pt>
                <c:pt idx="163">
                  <c:v>59.69839184532821</c:v>
                </c:pt>
                <c:pt idx="164">
                  <c:v>58.447821509315958</c:v>
                </c:pt>
                <c:pt idx="165">
                  <c:v>55.494067689568382</c:v>
                </c:pt>
                <c:pt idx="166">
                  <c:v>48.725621785094447</c:v>
                </c:pt>
                <c:pt idx="167">
                  <c:v>52.515148504725936</c:v>
                </c:pt>
                <c:pt idx="168">
                  <c:v>49.899356133917927</c:v>
                </c:pt>
                <c:pt idx="169">
                  <c:v>52.760183617911856</c:v>
                </c:pt>
                <c:pt idx="170">
                  <c:v>49.803215634289835</c:v>
                </c:pt>
                <c:pt idx="171">
                  <c:v>54.902428356886801</c:v>
                </c:pt>
                <c:pt idx="172">
                  <c:v>58.618799137726612</c:v>
                </c:pt>
                <c:pt idx="173">
                  <c:v>54.596174370837282</c:v>
                </c:pt>
                <c:pt idx="174">
                  <c:v>49.523277599031502</c:v>
                </c:pt>
                <c:pt idx="175">
                  <c:v>57.094917524822371</c:v>
                </c:pt>
                <c:pt idx="176">
                  <c:v>53.302676370972769</c:v>
                </c:pt>
                <c:pt idx="177">
                  <c:v>55.546966276973365</c:v>
                </c:pt>
                <c:pt idx="178">
                  <c:v>53.960320989889127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0F-493F-AE3C-944354B46658}"/>
            </c:ext>
          </c:extLst>
        </c:ser>
        <c:ser>
          <c:idx val="1"/>
          <c:order val="1"/>
          <c:tx>
            <c:v>Life_expectancy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Sheet1!$J$180:$J$358</c:f>
              <c:numCache>
                <c:formatCode>General</c:formatCode>
                <c:ptCount val="179"/>
                <c:pt idx="0">
                  <c:v>131.30000000000001</c:v>
                </c:pt>
                <c:pt idx="1">
                  <c:v>112.9</c:v>
                </c:pt>
                <c:pt idx="2">
                  <c:v>69</c:v>
                </c:pt>
                <c:pt idx="3">
                  <c:v>155.4</c:v>
                </c:pt>
                <c:pt idx="4">
                  <c:v>101.9</c:v>
                </c:pt>
                <c:pt idx="5">
                  <c:v>215.8</c:v>
                </c:pt>
                <c:pt idx="6">
                  <c:v>209.1</c:v>
                </c:pt>
                <c:pt idx="7">
                  <c:v>113.1</c:v>
                </c:pt>
                <c:pt idx="8">
                  <c:v>95.8</c:v>
                </c:pt>
                <c:pt idx="9">
                  <c:v>176.5</c:v>
                </c:pt>
                <c:pt idx="10">
                  <c:v>215</c:v>
                </c:pt>
                <c:pt idx="11">
                  <c:v>178.9</c:v>
                </c:pt>
                <c:pt idx="12">
                  <c:v>157</c:v>
                </c:pt>
                <c:pt idx="13">
                  <c:v>268.2</c:v>
                </c:pt>
                <c:pt idx="14">
                  <c:v>107.6</c:v>
                </c:pt>
                <c:pt idx="15">
                  <c:v>118.6</c:v>
                </c:pt>
                <c:pt idx="16">
                  <c:v>50</c:v>
                </c:pt>
                <c:pt idx="17">
                  <c:v>300.89999999999998</c:v>
                </c:pt>
                <c:pt idx="18">
                  <c:v>154.80000000000001</c:v>
                </c:pt>
                <c:pt idx="19">
                  <c:v>241.4</c:v>
                </c:pt>
                <c:pt idx="20">
                  <c:v>196.9</c:v>
                </c:pt>
                <c:pt idx="21">
                  <c:v>50</c:v>
                </c:pt>
                <c:pt idx="22">
                  <c:v>87.3</c:v>
                </c:pt>
                <c:pt idx="23">
                  <c:v>50</c:v>
                </c:pt>
                <c:pt idx="24">
                  <c:v>191.8</c:v>
                </c:pt>
                <c:pt idx="25">
                  <c:v>173.4</c:v>
                </c:pt>
                <c:pt idx="26">
                  <c:v>72</c:v>
                </c:pt>
                <c:pt idx="27">
                  <c:v>215.8</c:v>
                </c:pt>
                <c:pt idx="28">
                  <c:v>143.80000000000001</c:v>
                </c:pt>
                <c:pt idx="29">
                  <c:v>128.80000000000001</c:v>
                </c:pt>
                <c:pt idx="30">
                  <c:v>132.1</c:v>
                </c:pt>
                <c:pt idx="31">
                  <c:v>114.3</c:v>
                </c:pt>
                <c:pt idx="32">
                  <c:v>79.3</c:v>
                </c:pt>
                <c:pt idx="33">
                  <c:v>236.6</c:v>
                </c:pt>
                <c:pt idx="34">
                  <c:v>191.2</c:v>
                </c:pt>
                <c:pt idx="35">
                  <c:v>124.8</c:v>
                </c:pt>
                <c:pt idx="36">
                  <c:v>335.2</c:v>
                </c:pt>
                <c:pt idx="37">
                  <c:v>155.1</c:v>
                </c:pt>
                <c:pt idx="38">
                  <c:v>153.6</c:v>
                </c:pt>
                <c:pt idx="39">
                  <c:v>97.1</c:v>
                </c:pt>
                <c:pt idx="40">
                  <c:v>54</c:v>
                </c:pt>
                <c:pt idx="41">
                  <c:v>50</c:v>
                </c:pt>
                <c:pt idx="42">
                  <c:v>251.4</c:v>
                </c:pt>
                <c:pt idx="43">
                  <c:v>50</c:v>
                </c:pt>
                <c:pt idx="44">
                  <c:v>114.8</c:v>
                </c:pt>
                <c:pt idx="45">
                  <c:v>71.5</c:v>
                </c:pt>
                <c:pt idx="46">
                  <c:v>159.1</c:v>
                </c:pt>
                <c:pt idx="47">
                  <c:v>137.9</c:v>
                </c:pt>
                <c:pt idx="48">
                  <c:v>102.9</c:v>
                </c:pt>
                <c:pt idx="49">
                  <c:v>215</c:v>
                </c:pt>
                <c:pt idx="50">
                  <c:v>148.30000000000001</c:v>
                </c:pt>
                <c:pt idx="51">
                  <c:v>132.6</c:v>
                </c:pt>
                <c:pt idx="52">
                  <c:v>204.6</c:v>
                </c:pt>
                <c:pt idx="53">
                  <c:v>84.5</c:v>
                </c:pt>
                <c:pt idx="54">
                  <c:v>199.9</c:v>
                </c:pt>
                <c:pt idx="55">
                  <c:v>228</c:v>
                </c:pt>
                <c:pt idx="56">
                  <c:v>84.2</c:v>
                </c:pt>
                <c:pt idx="57">
                  <c:v>50</c:v>
                </c:pt>
                <c:pt idx="58">
                  <c:v>218.6</c:v>
                </c:pt>
                <c:pt idx="59">
                  <c:v>175.8</c:v>
                </c:pt>
                <c:pt idx="60">
                  <c:v>205.2</c:v>
                </c:pt>
                <c:pt idx="61">
                  <c:v>152</c:v>
                </c:pt>
                <c:pt idx="62">
                  <c:v>219.8</c:v>
                </c:pt>
                <c:pt idx="63">
                  <c:v>50</c:v>
                </c:pt>
                <c:pt idx="64">
                  <c:v>226</c:v>
                </c:pt>
                <c:pt idx="65">
                  <c:v>244.4</c:v>
                </c:pt>
                <c:pt idx="66">
                  <c:v>50</c:v>
                </c:pt>
                <c:pt idx="67">
                  <c:v>64.599999999999994</c:v>
                </c:pt>
                <c:pt idx="68">
                  <c:v>50</c:v>
                </c:pt>
                <c:pt idx="69">
                  <c:v>244.3</c:v>
                </c:pt>
                <c:pt idx="70">
                  <c:v>201.6</c:v>
                </c:pt>
                <c:pt idx="71">
                  <c:v>55.3</c:v>
                </c:pt>
                <c:pt idx="72">
                  <c:v>280.3</c:v>
                </c:pt>
                <c:pt idx="73">
                  <c:v>50</c:v>
                </c:pt>
                <c:pt idx="74">
                  <c:v>108.9</c:v>
                </c:pt>
                <c:pt idx="75">
                  <c:v>107.6</c:v>
                </c:pt>
                <c:pt idx="76">
                  <c:v>307.2</c:v>
                </c:pt>
                <c:pt idx="77">
                  <c:v>199.1</c:v>
                </c:pt>
                <c:pt idx="78">
                  <c:v>50</c:v>
                </c:pt>
                <c:pt idx="79">
                  <c:v>396.3</c:v>
                </c:pt>
                <c:pt idx="80">
                  <c:v>89.5</c:v>
                </c:pt>
                <c:pt idx="81">
                  <c:v>149.4</c:v>
                </c:pt>
                <c:pt idx="82">
                  <c:v>67</c:v>
                </c:pt>
                <c:pt idx="83">
                  <c:v>50</c:v>
                </c:pt>
                <c:pt idx="84">
                  <c:v>153.9</c:v>
                </c:pt>
                <c:pt idx="85">
                  <c:v>103.9</c:v>
                </c:pt>
                <c:pt idx="86">
                  <c:v>50</c:v>
                </c:pt>
                <c:pt idx="87">
                  <c:v>50</c:v>
                </c:pt>
                <c:pt idx="88">
                  <c:v>144.69999999999999</c:v>
                </c:pt>
                <c:pt idx="89">
                  <c:v>230.5</c:v>
                </c:pt>
                <c:pt idx="90">
                  <c:v>50</c:v>
                </c:pt>
                <c:pt idx="91">
                  <c:v>156.9</c:v>
                </c:pt>
                <c:pt idx="92">
                  <c:v>111</c:v>
                </c:pt>
                <c:pt idx="93">
                  <c:v>219.7</c:v>
                </c:pt>
                <c:pt idx="94">
                  <c:v>50</c:v>
                </c:pt>
                <c:pt idx="95">
                  <c:v>216.4</c:v>
                </c:pt>
                <c:pt idx="96">
                  <c:v>177.1</c:v>
                </c:pt>
                <c:pt idx="97">
                  <c:v>113.3</c:v>
                </c:pt>
                <c:pt idx="98">
                  <c:v>188.3</c:v>
                </c:pt>
                <c:pt idx="99">
                  <c:v>114.5</c:v>
                </c:pt>
                <c:pt idx="100">
                  <c:v>183.1</c:v>
                </c:pt>
                <c:pt idx="101">
                  <c:v>202.3</c:v>
                </c:pt>
                <c:pt idx="102">
                  <c:v>158.80000000000001</c:v>
                </c:pt>
                <c:pt idx="103">
                  <c:v>300.60000000000002</c:v>
                </c:pt>
                <c:pt idx="104">
                  <c:v>154.5</c:v>
                </c:pt>
                <c:pt idx="105">
                  <c:v>69</c:v>
                </c:pt>
                <c:pt idx="106">
                  <c:v>123.1</c:v>
                </c:pt>
                <c:pt idx="107">
                  <c:v>50</c:v>
                </c:pt>
                <c:pt idx="108">
                  <c:v>128.5</c:v>
                </c:pt>
                <c:pt idx="109">
                  <c:v>165.8</c:v>
                </c:pt>
                <c:pt idx="110">
                  <c:v>93</c:v>
                </c:pt>
                <c:pt idx="111">
                  <c:v>249.7</c:v>
                </c:pt>
                <c:pt idx="112">
                  <c:v>61.2</c:v>
                </c:pt>
                <c:pt idx="113">
                  <c:v>108</c:v>
                </c:pt>
                <c:pt idx="114">
                  <c:v>206.9</c:v>
                </c:pt>
                <c:pt idx="115">
                  <c:v>197.4</c:v>
                </c:pt>
                <c:pt idx="116">
                  <c:v>108.2</c:v>
                </c:pt>
                <c:pt idx="117">
                  <c:v>50</c:v>
                </c:pt>
                <c:pt idx="118">
                  <c:v>106.4</c:v>
                </c:pt>
                <c:pt idx="119">
                  <c:v>120.9</c:v>
                </c:pt>
                <c:pt idx="120">
                  <c:v>163.69999999999999</c:v>
                </c:pt>
                <c:pt idx="121">
                  <c:v>165.7</c:v>
                </c:pt>
                <c:pt idx="122">
                  <c:v>170.5</c:v>
                </c:pt>
                <c:pt idx="123">
                  <c:v>100</c:v>
                </c:pt>
                <c:pt idx="124">
                  <c:v>101.1</c:v>
                </c:pt>
                <c:pt idx="125">
                  <c:v>74</c:v>
                </c:pt>
                <c:pt idx="126">
                  <c:v>103.9</c:v>
                </c:pt>
                <c:pt idx="127">
                  <c:v>147.19999999999999</c:v>
                </c:pt>
                <c:pt idx="128">
                  <c:v>200.6</c:v>
                </c:pt>
                <c:pt idx="129">
                  <c:v>144</c:v>
                </c:pt>
                <c:pt idx="130">
                  <c:v>194.8</c:v>
                </c:pt>
                <c:pt idx="131">
                  <c:v>184.4</c:v>
                </c:pt>
                <c:pt idx="132">
                  <c:v>146.80000000000001</c:v>
                </c:pt>
                <c:pt idx="133">
                  <c:v>157.69999999999999</c:v>
                </c:pt>
                <c:pt idx="134">
                  <c:v>250.5</c:v>
                </c:pt>
                <c:pt idx="135">
                  <c:v>232.5</c:v>
                </c:pt>
                <c:pt idx="136">
                  <c:v>108.6</c:v>
                </c:pt>
                <c:pt idx="137">
                  <c:v>276.39999999999998</c:v>
                </c:pt>
                <c:pt idx="138">
                  <c:v>69.7</c:v>
                </c:pt>
                <c:pt idx="139">
                  <c:v>228.7</c:v>
                </c:pt>
                <c:pt idx="140">
                  <c:v>163.30000000000001</c:v>
                </c:pt>
                <c:pt idx="141">
                  <c:v>100.1</c:v>
                </c:pt>
                <c:pt idx="142">
                  <c:v>83.4</c:v>
                </c:pt>
                <c:pt idx="143">
                  <c:v>273.8</c:v>
                </c:pt>
                <c:pt idx="144">
                  <c:v>202.7</c:v>
                </c:pt>
                <c:pt idx="145">
                  <c:v>147.30000000000001</c:v>
                </c:pt>
                <c:pt idx="146">
                  <c:v>352.2</c:v>
                </c:pt>
                <c:pt idx="147">
                  <c:v>196.7</c:v>
                </c:pt>
                <c:pt idx="148">
                  <c:v>235.3</c:v>
                </c:pt>
                <c:pt idx="149">
                  <c:v>246.5</c:v>
                </c:pt>
                <c:pt idx="150">
                  <c:v>165.3</c:v>
                </c:pt>
                <c:pt idx="151">
                  <c:v>125.4</c:v>
                </c:pt>
                <c:pt idx="152">
                  <c:v>198.6</c:v>
                </c:pt>
                <c:pt idx="153">
                  <c:v>160.6</c:v>
                </c:pt>
                <c:pt idx="154">
                  <c:v>275.2</c:v>
                </c:pt>
                <c:pt idx="155">
                  <c:v>185.2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195.6</c:v>
                </c:pt>
                <c:pt idx="160">
                  <c:v>142.80000000000001</c:v>
                </c:pt>
                <c:pt idx="161">
                  <c:v>160.19999999999999</c:v>
                </c:pt>
                <c:pt idx="162">
                  <c:v>113.8</c:v>
                </c:pt>
                <c:pt idx="163">
                  <c:v>72.599999999999994</c:v>
                </c:pt>
                <c:pt idx="164">
                  <c:v>132.30000000000001</c:v>
                </c:pt>
                <c:pt idx="165">
                  <c:v>69.900000000000006</c:v>
                </c:pt>
                <c:pt idx="166">
                  <c:v>261.89999999999998</c:v>
                </c:pt>
                <c:pt idx="167">
                  <c:v>221.6</c:v>
                </c:pt>
                <c:pt idx="168">
                  <c:v>316</c:v>
                </c:pt>
                <c:pt idx="169">
                  <c:v>124.4</c:v>
                </c:pt>
                <c:pt idx="170">
                  <c:v>288.2</c:v>
                </c:pt>
                <c:pt idx="171">
                  <c:v>129.4</c:v>
                </c:pt>
                <c:pt idx="172">
                  <c:v>51.9</c:v>
                </c:pt>
                <c:pt idx="173">
                  <c:v>236.3</c:v>
                </c:pt>
                <c:pt idx="174">
                  <c:v>268.10000000000002</c:v>
                </c:pt>
                <c:pt idx="175">
                  <c:v>106</c:v>
                </c:pt>
                <c:pt idx="176">
                  <c:v>211.7</c:v>
                </c:pt>
                <c:pt idx="177">
                  <c:v>50</c:v>
                </c:pt>
                <c:pt idx="178">
                  <c:v>156.1</c:v>
                </c:pt>
              </c:numCache>
            </c:numRef>
          </c:xVal>
          <c:yVal>
            <c:numRef>
              <c:f>Sheet1!$L$180:$L$358</c:f>
              <c:numCache>
                <c:formatCode>General</c:formatCode>
                <c:ptCount val="179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50.3</c:v>
                </c:pt>
                <c:pt idx="72">
                  <c:v>50.3</c:v>
                </c:pt>
                <c:pt idx="73">
                  <c:v>50.4</c:v>
                </c:pt>
                <c:pt idx="74">
                  <c:v>50.4</c:v>
                </c:pt>
                <c:pt idx="75">
                  <c:v>50.5</c:v>
                </c:pt>
                <c:pt idx="76">
                  <c:v>50.5</c:v>
                </c:pt>
                <c:pt idx="77">
                  <c:v>50.5</c:v>
                </c:pt>
                <c:pt idx="78">
                  <c:v>50.6</c:v>
                </c:pt>
                <c:pt idx="79">
                  <c:v>50.6</c:v>
                </c:pt>
                <c:pt idx="80">
                  <c:v>50.7</c:v>
                </c:pt>
                <c:pt idx="81">
                  <c:v>50.9</c:v>
                </c:pt>
                <c:pt idx="82">
                  <c:v>50.9</c:v>
                </c:pt>
                <c:pt idx="83">
                  <c:v>51.3</c:v>
                </c:pt>
                <c:pt idx="84">
                  <c:v>51.4</c:v>
                </c:pt>
                <c:pt idx="85">
                  <c:v>51.5</c:v>
                </c:pt>
                <c:pt idx="86">
                  <c:v>51.5</c:v>
                </c:pt>
                <c:pt idx="87">
                  <c:v>51.6</c:v>
                </c:pt>
                <c:pt idx="88">
                  <c:v>51.6</c:v>
                </c:pt>
                <c:pt idx="89">
                  <c:v>51.6</c:v>
                </c:pt>
                <c:pt idx="90">
                  <c:v>51.7</c:v>
                </c:pt>
                <c:pt idx="91">
                  <c:v>51.8</c:v>
                </c:pt>
                <c:pt idx="92">
                  <c:v>52.1</c:v>
                </c:pt>
                <c:pt idx="93">
                  <c:v>52.3</c:v>
                </c:pt>
                <c:pt idx="94">
                  <c:v>52.3</c:v>
                </c:pt>
                <c:pt idx="95">
                  <c:v>52.4</c:v>
                </c:pt>
                <c:pt idx="96">
                  <c:v>52.5</c:v>
                </c:pt>
                <c:pt idx="97">
                  <c:v>52.5</c:v>
                </c:pt>
                <c:pt idx="98">
                  <c:v>52.6</c:v>
                </c:pt>
                <c:pt idx="99">
                  <c:v>52.7</c:v>
                </c:pt>
                <c:pt idx="100">
                  <c:v>53</c:v>
                </c:pt>
                <c:pt idx="101">
                  <c:v>53</c:v>
                </c:pt>
                <c:pt idx="102">
                  <c:v>53.1</c:v>
                </c:pt>
                <c:pt idx="103">
                  <c:v>53.3</c:v>
                </c:pt>
                <c:pt idx="104">
                  <c:v>53.4</c:v>
                </c:pt>
                <c:pt idx="105">
                  <c:v>53.5</c:v>
                </c:pt>
                <c:pt idx="106">
                  <c:v>53.6</c:v>
                </c:pt>
                <c:pt idx="107">
                  <c:v>53.6</c:v>
                </c:pt>
                <c:pt idx="108">
                  <c:v>54.1</c:v>
                </c:pt>
                <c:pt idx="109">
                  <c:v>54.2</c:v>
                </c:pt>
                <c:pt idx="110">
                  <c:v>54.5</c:v>
                </c:pt>
                <c:pt idx="111">
                  <c:v>54.6</c:v>
                </c:pt>
                <c:pt idx="112">
                  <c:v>54.6</c:v>
                </c:pt>
                <c:pt idx="113">
                  <c:v>54.7</c:v>
                </c:pt>
                <c:pt idx="114">
                  <c:v>54.7</c:v>
                </c:pt>
                <c:pt idx="115">
                  <c:v>54.8</c:v>
                </c:pt>
                <c:pt idx="116">
                  <c:v>54.9</c:v>
                </c:pt>
                <c:pt idx="117">
                  <c:v>55.1</c:v>
                </c:pt>
                <c:pt idx="118">
                  <c:v>55.3</c:v>
                </c:pt>
                <c:pt idx="119">
                  <c:v>55.5</c:v>
                </c:pt>
                <c:pt idx="120">
                  <c:v>55.5</c:v>
                </c:pt>
                <c:pt idx="121">
                  <c:v>55.6</c:v>
                </c:pt>
                <c:pt idx="122">
                  <c:v>55.8</c:v>
                </c:pt>
                <c:pt idx="123">
                  <c:v>55.9</c:v>
                </c:pt>
                <c:pt idx="124">
                  <c:v>56.1</c:v>
                </c:pt>
                <c:pt idx="125">
                  <c:v>56.2</c:v>
                </c:pt>
                <c:pt idx="126">
                  <c:v>56.6</c:v>
                </c:pt>
                <c:pt idx="127">
                  <c:v>56.8</c:v>
                </c:pt>
                <c:pt idx="128">
                  <c:v>56.9</c:v>
                </c:pt>
                <c:pt idx="129">
                  <c:v>56.9</c:v>
                </c:pt>
                <c:pt idx="130">
                  <c:v>57</c:v>
                </c:pt>
                <c:pt idx="131">
                  <c:v>57.1</c:v>
                </c:pt>
                <c:pt idx="132">
                  <c:v>57.3</c:v>
                </c:pt>
                <c:pt idx="133">
                  <c:v>57.4</c:v>
                </c:pt>
                <c:pt idx="134">
                  <c:v>57.5</c:v>
                </c:pt>
                <c:pt idx="135">
                  <c:v>57.6</c:v>
                </c:pt>
                <c:pt idx="136">
                  <c:v>57.9</c:v>
                </c:pt>
                <c:pt idx="137">
                  <c:v>57.9</c:v>
                </c:pt>
                <c:pt idx="138">
                  <c:v>58</c:v>
                </c:pt>
                <c:pt idx="139">
                  <c:v>58.4</c:v>
                </c:pt>
                <c:pt idx="140">
                  <c:v>58.4</c:v>
                </c:pt>
                <c:pt idx="141">
                  <c:v>58.5</c:v>
                </c:pt>
                <c:pt idx="142">
                  <c:v>58.8</c:v>
                </c:pt>
                <c:pt idx="143">
                  <c:v>58.9</c:v>
                </c:pt>
                <c:pt idx="144">
                  <c:v>58.9</c:v>
                </c:pt>
                <c:pt idx="145">
                  <c:v>59</c:v>
                </c:pt>
                <c:pt idx="146">
                  <c:v>59.3</c:v>
                </c:pt>
                <c:pt idx="147">
                  <c:v>59.4</c:v>
                </c:pt>
                <c:pt idx="148">
                  <c:v>59.7</c:v>
                </c:pt>
                <c:pt idx="149">
                  <c:v>59.7</c:v>
                </c:pt>
                <c:pt idx="150">
                  <c:v>59.8</c:v>
                </c:pt>
                <c:pt idx="151">
                  <c:v>59.9</c:v>
                </c:pt>
                <c:pt idx="152">
                  <c:v>60.1</c:v>
                </c:pt>
                <c:pt idx="153">
                  <c:v>60.2</c:v>
                </c:pt>
                <c:pt idx="154">
                  <c:v>60.5</c:v>
                </c:pt>
                <c:pt idx="155">
                  <c:v>60.7</c:v>
                </c:pt>
                <c:pt idx="156">
                  <c:v>60.7</c:v>
                </c:pt>
                <c:pt idx="157">
                  <c:v>60.8</c:v>
                </c:pt>
                <c:pt idx="158">
                  <c:v>60.9</c:v>
                </c:pt>
                <c:pt idx="159">
                  <c:v>61.2</c:v>
                </c:pt>
                <c:pt idx="160">
                  <c:v>61.2</c:v>
                </c:pt>
                <c:pt idx="161">
                  <c:v>61.5</c:v>
                </c:pt>
                <c:pt idx="162">
                  <c:v>61.6</c:v>
                </c:pt>
                <c:pt idx="163">
                  <c:v>61.6</c:v>
                </c:pt>
                <c:pt idx="164">
                  <c:v>61.6</c:v>
                </c:pt>
                <c:pt idx="165">
                  <c:v>61.7</c:v>
                </c:pt>
                <c:pt idx="166">
                  <c:v>62</c:v>
                </c:pt>
                <c:pt idx="167">
                  <c:v>62.2</c:v>
                </c:pt>
                <c:pt idx="168">
                  <c:v>62.3</c:v>
                </c:pt>
                <c:pt idx="169">
                  <c:v>62.7</c:v>
                </c:pt>
                <c:pt idx="170">
                  <c:v>62.8</c:v>
                </c:pt>
                <c:pt idx="171">
                  <c:v>63</c:v>
                </c:pt>
                <c:pt idx="172">
                  <c:v>63.1</c:v>
                </c:pt>
                <c:pt idx="173">
                  <c:v>63.4</c:v>
                </c:pt>
                <c:pt idx="174">
                  <c:v>63.4</c:v>
                </c:pt>
                <c:pt idx="175">
                  <c:v>64.8</c:v>
                </c:pt>
                <c:pt idx="176">
                  <c:v>64.900000000000006</c:v>
                </c:pt>
                <c:pt idx="177">
                  <c:v>65</c:v>
                </c:pt>
                <c:pt idx="178">
                  <c:v>67.8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0F-493F-AE3C-944354B46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4853792"/>
        <c:axId val="2114848032"/>
      </c:scatterChart>
      <c:valAx>
        <c:axId val="2114853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Adult_mortality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848032"/>
        <c:crosses val="autoZero"/>
        <c:crossBetween val="midCat"/>
      </c:valAx>
      <c:valAx>
        <c:axId val="211484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Life_expectancy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853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571500</xdr:colOff>
      <xdr:row>3</xdr:row>
      <xdr:rowOff>152400</xdr:rowOff>
    </xdr:from>
    <xdr:to>
      <xdr:col>35</xdr:col>
      <xdr:colOff>317500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3A78A1-44B0-6A31-2C07-67E92E5F0B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71438</xdr:colOff>
      <xdr:row>1</xdr:row>
      <xdr:rowOff>31750</xdr:rowOff>
    </xdr:from>
    <xdr:to>
      <xdr:col>23</xdr:col>
      <xdr:colOff>420688</xdr:colOff>
      <xdr:row>15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09E441-26A5-423B-1757-23FD598589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614363</xdr:colOff>
      <xdr:row>9</xdr:row>
      <xdr:rowOff>50800</xdr:rowOff>
    </xdr:from>
    <xdr:to>
      <xdr:col>22</xdr:col>
      <xdr:colOff>265113</xdr:colOff>
      <xdr:row>23</xdr:row>
      <xdr:rowOff>119063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BD11F8-DC99-6602-949E-AFB98D855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122237</xdr:colOff>
      <xdr:row>19</xdr:row>
      <xdr:rowOff>57150</xdr:rowOff>
    </xdr:from>
    <xdr:to>
      <xdr:col>21</xdr:col>
      <xdr:colOff>376237</xdr:colOff>
      <xdr:row>33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F28A6ED-AE55-D90C-BDBE-CF7D1A9EE5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687387</xdr:colOff>
      <xdr:row>30</xdr:row>
      <xdr:rowOff>87312</xdr:rowOff>
    </xdr:from>
    <xdr:to>
      <xdr:col>21</xdr:col>
      <xdr:colOff>242887</xdr:colOff>
      <xdr:row>44</xdr:row>
      <xdr:rowOff>163512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2ABFE86-54CB-FFC4-47F1-CF2FBD3CFE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428625</xdr:colOff>
      <xdr:row>0</xdr:row>
      <xdr:rowOff>349251</xdr:rowOff>
    </xdr:from>
    <xdr:to>
      <xdr:col>31</xdr:col>
      <xdr:colOff>174625</xdr:colOff>
      <xdr:row>15</xdr:row>
      <xdr:rowOff>60326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642914E-186C-81A2-1EBD-3FB1EB10F5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392113</xdr:colOff>
      <xdr:row>11</xdr:row>
      <xdr:rowOff>63501</xdr:rowOff>
    </xdr:from>
    <xdr:to>
      <xdr:col>29</xdr:col>
      <xdr:colOff>138113</xdr:colOff>
      <xdr:row>25</xdr:row>
      <xdr:rowOff>139701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0E09285-5CAE-B080-5667-F60DD554E2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34925</xdr:colOff>
      <xdr:row>19</xdr:row>
      <xdr:rowOff>166687</xdr:rowOff>
    </xdr:from>
    <xdr:to>
      <xdr:col>28</xdr:col>
      <xdr:colOff>384175</xdr:colOff>
      <xdr:row>31</xdr:row>
      <xdr:rowOff>104775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D6971-1130-6538-E464-55DE089F93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385762</xdr:colOff>
      <xdr:row>31</xdr:row>
      <xdr:rowOff>71437</xdr:rowOff>
    </xdr:from>
    <xdr:to>
      <xdr:col>28</xdr:col>
      <xdr:colOff>131762</xdr:colOff>
      <xdr:row>44</xdr:row>
      <xdr:rowOff>103188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3EE60FC-6D86-B39B-45CB-27EC611064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39143F-4120-47AF-9492-E8CA700621E1}">
  <we:reference id="WA104379190" version="2.0.0.0" store="Omex" storeType="OMEX"/>
  <we:alternateReferences>
    <we:reference id="WA104379190" version="2.0.0.0" store="WA104379190" storeType="OMEX"/>
  </we:alternateReferences>
  <we:properties/>
  <we:bindings>
    <we:binding id="RangeSelect" type="matrix" appref="{881ACCAC-292C-46C7-8D08-4F38D5EB4DDD}"/>
    <we:binding id="InputY" type="matrix" appref="{907F86DB-4AB5-451C-A4FA-8583C4EAB0CD}"/>
    <we:binding id="InputX" type="matrix" appref="{C60F4D44-575D-463F-8D77-8E445EDA6378}"/>
    <we:binding id="Output" type="matrix" appref="{2F8676C8-1C3E-4A87-A218-35B4F6B8EA96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6"/>
  <sheetViews>
    <sheetView tabSelected="1" zoomScale="80" zoomScaleNormal="80" workbookViewId="0">
      <selection activeCell="O7" sqref="O7"/>
    </sheetView>
  </sheetViews>
  <sheetFormatPr defaultColWidth="8.6328125" defaultRowHeight="15" customHeight="1" x14ac:dyDescent="0.35"/>
  <cols>
    <col min="1" max="1" width="11.7265625" customWidth="1"/>
    <col min="2" max="2" width="9.54296875" customWidth="1"/>
    <col min="3" max="3" width="11.26953125" customWidth="1"/>
    <col min="4" max="4" width="7.26953125" customWidth="1"/>
    <col min="5" max="5" width="12.1796875" customWidth="1"/>
    <col min="6" max="6" width="2.08984375" customWidth="1"/>
    <col min="7" max="7" width="11.7265625" customWidth="1"/>
    <col min="9" max="9" width="14.54296875" customWidth="1"/>
    <col min="10" max="10" width="10" customWidth="1"/>
    <col min="11" max="11" width="21.81640625" customWidth="1"/>
    <col min="12" max="12" width="12.26953125" customWidth="1"/>
    <col min="13" max="15" width="10" customWidth="1"/>
  </cols>
  <sheetData>
    <row r="1" spans="1:14" ht="28.5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G1" t="s">
        <v>54</v>
      </c>
      <c r="J1" t="s">
        <v>87</v>
      </c>
    </row>
    <row r="2" spans="1:14" ht="14.5" x14ac:dyDescent="0.35">
      <c r="A2">
        <v>55.1</v>
      </c>
      <c r="B2">
        <v>2423</v>
      </c>
      <c r="C2">
        <v>9.9</v>
      </c>
      <c r="D2">
        <v>29.6</v>
      </c>
      <c r="E2">
        <v>131.30000000000001</v>
      </c>
      <c r="J2">
        <f>CORREL(C2:C180,I28:I206)</f>
        <v>1.657582511345054E-12</v>
      </c>
      <c r="K2" t="s">
        <v>83</v>
      </c>
      <c r="L2" s="18" t="s">
        <v>88</v>
      </c>
    </row>
    <row r="3" spans="1:14" ht="14.5" x14ac:dyDescent="0.35">
      <c r="A3">
        <v>52.4</v>
      </c>
      <c r="B3">
        <v>9425</v>
      </c>
      <c r="C3">
        <v>6.6</v>
      </c>
      <c r="D3">
        <v>26.6</v>
      </c>
      <c r="E3">
        <v>112.9</v>
      </c>
      <c r="J3">
        <f>CORREL(B2:B180,I28:I206)</f>
        <v>-2.7557880236057226E-13</v>
      </c>
      <c r="K3" t="s">
        <v>84</v>
      </c>
      <c r="L3" s="18" t="s">
        <v>88</v>
      </c>
    </row>
    <row r="4" spans="1:14" ht="14.5" x14ac:dyDescent="0.35">
      <c r="A4">
        <v>50.9</v>
      </c>
      <c r="B4">
        <v>300</v>
      </c>
      <c r="C4">
        <v>2.8</v>
      </c>
      <c r="D4">
        <v>23.3</v>
      </c>
      <c r="E4">
        <v>69</v>
      </c>
      <c r="J4">
        <f>CORREL(D2:D180,I28:I206)</f>
        <v>-1.9070999855504393E-12</v>
      </c>
      <c r="K4" t="s">
        <v>85</v>
      </c>
      <c r="L4" s="18" t="s">
        <v>88</v>
      </c>
    </row>
    <row r="5" spans="1:14" ht="14.5" x14ac:dyDescent="0.35">
      <c r="A5">
        <v>50.5</v>
      </c>
      <c r="B5">
        <v>358</v>
      </c>
      <c r="C5">
        <v>12.4</v>
      </c>
      <c r="D5">
        <v>24.3</v>
      </c>
      <c r="E5">
        <v>155.4</v>
      </c>
    </row>
    <row r="6" spans="1:14" ht="14.5" x14ac:dyDescent="0.35">
      <c r="A6">
        <v>50</v>
      </c>
      <c r="B6">
        <v>3521</v>
      </c>
      <c r="C6">
        <v>4.5</v>
      </c>
      <c r="D6">
        <v>26.1</v>
      </c>
      <c r="E6">
        <v>101.9</v>
      </c>
      <c r="G6" t="s">
        <v>55</v>
      </c>
      <c r="J6" t="s">
        <v>82</v>
      </c>
    </row>
    <row r="7" spans="1:14" ht="14.5" x14ac:dyDescent="0.35">
      <c r="A7">
        <v>50</v>
      </c>
      <c r="B7">
        <v>47974</v>
      </c>
      <c r="C7">
        <v>8</v>
      </c>
      <c r="D7">
        <v>21.8</v>
      </c>
      <c r="E7">
        <v>215.8</v>
      </c>
      <c r="G7" t="s">
        <v>56</v>
      </c>
      <c r="H7">
        <v>0.79978026592098761</v>
      </c>
      <c r="J7">
        <f>CORREL(I28:I205,I29:I206)</f>
        <v>2.5121619847823996E-2</v>
      </c>
      <c r="K7" t="s">
        <v>86</v>
      </c>
      <c r="L7" s="18" t="s">
        <v>88</v>
      </c>
    </row>
    <row r="8" spans="1:14" ht="14.5" x14ac:dyDescent="0.35">
      <c r="A8">
        <v>50</v>
      </c>
      <c r="B8">
        <v>300</v>
      </c>
      <c r="C8">
        <v>4</v>
      </c>
      <c r="D8">
        <v>25.6</v>
      </c>
      <c r="E8">
        <v>209.1</v>
      </c>
      <c r="G8" t="s">
        <v>57</v>
      </c>
      <c r="H8">
        <v>0.63964847375664569</v>
      </c>
    </row>
    <row r="9" spans="1:14" ht="14.5" x14ac:dyDescent="0.35">
      <c r="A9">
        <v>50.6</v>
      </c>
      <c r="B9">
        <v>1898</v>
      </c>
      <c r="C9">
        <v>3.6</v>
      </c>
      <c r="D9">
        <v>22.8</v>
      </c>
      <c r="E9">
        <v>113.1</v>
      </c>
      <c r="G9" t="s">
        <v>58</v>
      </c>
      <c r="H9">
        <v>0.63136453062461451</v>
      </c>
      <c r="J9" cm="1">
        <f t="array" ref="J9">SUMPRODUCT((I29:I206-I28:I205)^2)/SUMPRODUCT(I28:I206^2)</f>
        <v>1.9350208706782581</v>
      </c>
      <c r="K9" s="16" t="s">
        <v>77</v>
      </c>
    </row>
    <row r="10" spans="1:14" ht="14.5" x14ac:dyDescent="0.35">
      <c r="A10">
        <v>57.1</v>
      </c>
      <c r="B10">
        <v>300</v>
      </c>
      <c r="C10">
        <v>9</v>
      </c>
      <c r="D10">
        <v>23.8</v>
      </c>
      <c r="E10">
        <v>95.8</v>
      </c>
      <c r="G10" t="s">
        <v>59</v>
      </c>
      <c r="H10">
        <v>2.8092874884633727</v>
      </c>
      <c r="J10">
        <f>SKEW(I28:I206)</f>
        <v>0.38067590675367463</v>
      </c>
      <c r="K10" s="16" t="s">
        <v>78</v>
      </c>
      <c r="M10">
        <f xml:space="preserve"> (COUNT(I28:I206)/6) * ( SKEW(I28:I206)^2 + (KURT(I28:I206)^2)/4 )</f>
        <v>6.2264417340894456</v>
      </c>
      <c r="N10" t="s">
        <v>80</v>
      </c>
    </row>
    <row r="11" spans="1:14" ht="14.5" x14ac:dyDescent="0.35">
      <c r="A11">
        <v>50</v>
      </c>
      <c r="B11">
        <v>12051</v>
      </c>
      <c r="C11">
        <v>5.5</v>
      </c>
      <c r="D11">
        <v>24.1</v>
      </c>
      <c r="E11">
        <v>176.5</v>
      </c>
      <c r="G11" t="s">
        <v>28</v>
      </c>
      <c r="H11">
        <v>179</v>
      </c>
      <c r="J11">
        <f>KURT(I28:I206)</f>
        <v>-0.50514710006765506</v>
      </c>
      <c r="K11" s="16" t="s">
        <v>79</v>
      </c>
      <c r="M11">
        <f>_xlfn.CHISQ.DIST.RT(M10,2)</f>
        <v>4.4457532689688932E-2</v>
      </c>
      <c r="N11" t="s">
        <v>81</v>
      </c>
    </row>
    <row r="12" spans="1:14" ht="14.5" x14ac:dyDescent="0.35">
      <c r="A12">
        <v>50</v>
      </c>
      <c r="B12">
        <v>2256</v>
      </c>
      <c r="C12">
        <v>4.7</v>
      </c>
      <c r="D12">
        <v>21.4</v>
      </c>
      <c r="E12">
        <v>215</v>
      </c>
      <c r="G12" t="s">
        <v>29</v>
      </c>
    </row>
    <row r="13" spans="1:14" ht="14.5" x14ac:dyDescent="0.35">
      <c r="A13">
        <v>55.8</v>
      </c>
      <c r="B13">
        <v>13431</v>
      </c>
      <c r="C13">
        <v>9.1</v>
      </c>
      <c r="D13">
        <v>23.1</v>
      </c>
      <c r="E13">
        <v>178.9</v>
      </c>
      <c r="H13" t="s">
        <v>30</v>
      </c>
      <c r="I13" t="s">
        <v>60</v>
      </c>
      <c r="J13" t="s">
        <v>61</v>
      </c>
      <c r="K13" t="s">
        <v>62</v>
      </c>
      <c r="L13" t="s">
        <v>63</v>
      </c>
    </row>
    <row r="14" spans="1:14" ht="14.5" x14ac:dyDescent="0.35">
      <c r="A14">
        <v>50</v>
      </c>
      <c r="B14">
        <v>31162</v>
      </c>
      <c r="C14">
        <v>1</v>
      </c>
      <c r="D14">
        <v>27.5</v>
      </c>
      <c r="E14">
        <v>157</v>
      </c>
      <c r="G14" t="s">
        <v>31</v>
      </c>
      <c r="H14">
        <v>4</v>
      </c>
      <c r="I14">
        <v>2437.5673294855001</v>
      </c>
      <c r="J14">
        <v>609.39183237137502</v>
      </c>
      <c r="K14">
        <v>77.215459300214988</v>
      </c>
      <c r="L14" s="9">
        <v>0</v>
      </c>
    </row>
    <row r="15" spans="1:14" ht="14.5" x14ac:dyDescent="0.35">
      <c r="A15">
        <v>50</v>
      </c>
      <c r="B15">
        <v>300</v>
      </c>
      <c r="C15">
        <v>7.3</v>
      </c>
      <c r="D15">
        <v>26.1</v>
      </c>
      <c r="E15">
        <v>268.2</v>
      </c>
      <c r="G15" t="s">
        <v>32</v>
      </c>
      <c r="H15">
        <v>174</v>
      </c>
      <c r="I15">
        <v>1373.2247375536108</v>
      </c>
      <c r="J15">
        <v>7.8920961928368438</v>
      </c>
    </row>
    <row r="16" spans="1:14" ht="14.5" x14ac:dyDescent="0.35">
      <c r="A16">
        <v>58.9</v>
      </c>
      <c r="B16">
        <v>1404</v>
      </c>
      <c r="C16">
        <v>10.7</v>
      </c>
      <c r="D16">
        <v>26</v>
      </c>
      <c r="E16">
        <v>107.6</v>
      </c>
      <c r="G16" t="s">
        <v>33</v>
      </c>
      <c r="H16">
        <v>178</v>
      </c>
      <c r="I16">
        <v>3810.7920670391109</v>
      </c>
    </row>
    <row r="17" spans="1:15" ht="14.5" x14ac:dyDescent="0.35">
      <c r="A17">
        <v>50</v>
      </c>
      <c r="B17">
        <v>12746</v>
      </c>
      <c r="C17">
        <v>5.9</v>
      </c>
      <c r="D17">
        <v>24</v>
      </c>
      <c r="E17">
        <v>118.6</v>
      </c>
    </row>
    <row r="18" spans="1:15" ht="14.5" x14ac:dyDescent="0.35">
      <c r="A18">
        <v>57.5</v>
      </c>
      <c r="B18">
        <v>4410</v>
      </c>
      <c r="C18">
        <v>8</v>
      </c>
      <c r="D18">
        <v>24.3</v>
      </c>
      <c r="E18">
        <v>50</v>
      </c>
      <c r="H18" t="s">
        <v>34</v>
      </c>
      <c r="I18" t="s">
        <v>59</v>
      </c>
      <c r="J18" t="s">
        <v>64</v>
      </c>
      <c r="K18" t="s">
        <v>65</v>
      </c>
      <c r="L18" t="s">
        <v>66</v>
      </c>
      <c r="M18" t="s">
        <v>67</v>
      </c>
      <c r="N18" t="s">
        <v>66</v>
      </c>
      <c r="O18" t="s">
        <v>67</v>
      </c>
    </row>
    <row r="19" spans="1:15" ht="14.5" x14ac:dyDescent="0.35">
      <c r="A19">
        <v>50</v>
      </c>
      <c r="B19">
        <v>895</v>
      </c>
      <c r="C19">
        <v>7.5</v>
      </c>
      <c r="D19">
        <v>26.2</v>
      </c>
      <c r="E19">
        <v>300.89999999999998</v>
      </c>
      <c r="G19" t="s">
        <v>35</v>
      </c>
      <c r="H19">
        <v>45.167344285021358</v>
      </c>
      <c r="I19">
        <v>2.0037661833672358</v>
      </c>
      <c r="J19">
        <v>22.541224949270148</v>
      </c>
      <c r="K19">
        <v>1.6856815272197746E-53</v>
      </c>
      <c r="L19" s="10">
        <v>41.212528201234335</v>
      </c>
      <c r="M19" s="10">
        <v>49.12216036880838</v>
      </c>
      <c r="N19" s="10">
        <v>41.212528201234335</v>
      </c>
      <c r="O19" s="10">
        <v>49.12216036880838</v>
      </c>
    </row>
    <row r="20" spans="1:15" ht="14.5" x14ac:dyDescent="0.35">
      <c r="A20">
        <v>50.7</v>
      </c>
      <c r="B20">
        <v>2666</v>
      </c>
      <c r="C20">
        <v>2.2000000000000002</v>
      </c>
      <c r="D20">
        <v>24.9</v>
      </c>
      <c r="E20">
        <v>154.80000000000001</v>
      </c>
      <c r="G20" t="s">
        <v>1</v>
      </c>
      <c r="H20" s="11">
        <v>9.3980539201436232E-5</v>
      </c>
      <c r="I20">
        <v>1.8713232199833246E-5</v>
      </c>
      <c r="J20">
        <v>5.0221435932523564</v>
      </c>
      <c r="K20">
        <v>1.2579112089822358E-6</v>
      </c>
      <c r="L20" s="10">
        <v>5.7046393741821932E-5</v>
      </c>
      <c r="M20" s="10">
        <v>1.3091468466105052E-4</v>
      </c>
      <c r="N20" s="10">
        <v>5.7046393741821932E-5</v>
      </c>
      <c r="O20" s="10">
        <v>1.3091468466105052E-4</v>
      </c>
    </row>
    <row r="21" spans="1:15" ht="14.5" x14ac:dyDescent="0.35">
      <c r="A21">
        <v>50</v>
      </c>
      <c r="B21">
        <v>4686</v>
      </c>
      <c r="C21">
        <v>7.9</v>
      </c>
      <c r="D21">
        <v>21.5</v>
      </c>
      <c r="E21">
        <v>241.4</v>
      </c>
      <c r="G21" t="s">
        <v>2</v>
      </c>
      <c r="H21">
        <v>0.7677326548618022</v>
      </c>
      <c r="I21">
        <v>7.2916856309136302E-2</v>
      </c>
      <c r="J21">
        <v>10.528877597341058</v>
      </c>
      <c r="K21">
        <v>2.2771486043868617E-20</v>
      </c>
      <c r="L21" s="10">
        <v>0.62381728264708491</v>
      </c>
      <c r="M21" s="10">
        <v>0.91164802707651948</v>
      </c>
      <c r="N21" s="10">
        <v>0.62381728264708491</v>
      </c>
      <c r="O21" s="10">
        <v>0.91164802707651948</v>
      </c>
    </row>
    <row r="22" spans="1:15" ht="14.5" x14ac:dyDescent="0.35">
      <c r="A22">
        <v>56.9</v>
      </c>
      <c r="B22">
        <v>762</v>
      </c>
      <c r="C22">
        <v>12.2</v>
      </c>
      <c r="D22">
        <v>20.8</v>
      </c>
      <c r="E22">
        <v>196.9</v>
      </c>
      <c r="G22" t="s">
        <v>3</v>
      </c>
      <c r="H22">
        <v>0.32952319211100178</v>
      </c>
      <c r="I22">
        <v>7.5512759560076886E-2</v>
      </c>
      <c r="J22">
        <v>4.3638081038322776</v>
      </c>
      <c r="K22">
        <v>2.1863442159505143E-5</v>
      </c>
      <c r="L22" s="10">
        <v>0.18048430797458773</v>
      </c>
      <c r="M22" s="10">
        <v>0.47856207624741587</v>
      </c>
      <c r="N22" s="10">
        <v>0.18048430797458773</v>
      </c>
      <c r="O22" s="10">
        <v>0.47856207624741587</v>
      </c>
    </row>
    <row r="23" spans="1:15" ht="14.5" x14ac:dyDescent="0.35">
      <c r="A23">
        <v>58.5</v>
      </c>
      <c r="B23">
        <v>1275</v>
      </c>
      <c r="C23">
        <v>8.3000000000000007</v>
      </c>
      <c r="D23">
        <v>23.5</v>
      </c>
      <c r="E23">
        <v>50</v>
      </c>
      <c r="G23" t="s">
        <v>4</v>
      </c>
      <c r="H23">
        <v>-4.1272568759050055E-2</v>
      </c>
      <c r="I23">
        <v>2.87346099370371E-3</v>
      </c>
      <c r="J23">
        <v>-14.363364893237097</v>
      </c>
      <c r="K23">
        <v>2.3332866991737081E-31</v>
      </c>
      <c r="L23" s="10">
        <v>-4.6943894010650702E-2</v>
      </c>
      <c r="M23" s="10">
        <v>-3.5601243507449407E-2</v>
      </c>
      <c r="N23" s="10">
        <v>-4.6943894010650702E-2</v>
      </c>
      <c r="O23" s="10">
        <v>-3.5601243507449407E-2</v>
      </c>
    </row>
    <row r="24" spans="1:15" ht="14.5" x14ac:dyDescent="0.35">
      <c r="A24">
        <v>53.4</v>
      </c>
      <c r="B24">
        <v>6066</v>
      </c>
      <c r="C24">
        <v>5.2</v>
      </c>
      <c r="D24">
        <v>29.6</v>
      </c>
      <c r="E24">
        <v>87.3</v>
      </c>
      <c r="I24" s="13"/>
      <c r="J24" s="13"/>
      <c r="K24" s="13" t="s">
        <v>75</v>
      </c>
    </row>
    <row r="25" spans="1:15" ht="14.5" x14ac:dyDescent="0.35">
      <c r="A25">
        <v>60.7</v>
      </c>
      <c r="B25">
        <v>470</v>
      </c>
      <c r="C25">
        <v>8.6999999999999993</v>
      </c>
      <c r="D25">
        <v>28.9</v>
      </c>
      <c r="E25">
        <v>50</v>
      </c>
      <c r="G25" t="s">
        <v>68</v>
      </c>
      <c r="I25" s="14" t="s">
        <v>73</v>
      </c>
      <c r="J25" s="13" t="s">
        <v>74</v>
      </c>
      <c r="K25" s="13" t="s">
        <v>76</v>
      </c>
      <c r="L25" t="s">
        <v>69</v>
      </c>
    </row>
    <row r="26" spans="1:15" ht="14.5" x14ac:dyDescent="0.35">
      <c r="A26">
        <v>50</v>
      </c>
      <c r="B26">
        <v>9631</v>
      </c>
      <c r="C26">
        <v>4.3</v>
      </c>
      <c r="D26">
        <v>21</v>
      </c>
      <c r="E26">
        <v>191.8</v>
      </c>
      <c r="I26" s="15" cm="1">
        <f t="array" ref="I26">AVERAGE(ABS(I28:I206))</f>
        <v>2.3151855966040191</v>
      </c>
      <c r="J26" s="15" cm="1">
        <f t="array" ref="J26">SQRT(AVERAGE((I28:I206)^2))</f>
        <v>2.7697737413932932</v>
      </c>
      <c r="K26" s="15" cm="1">
        <f t="array" ref="K26">AVERAGE(ABS(I28:I206)/(A2:A180))*100</f>
        <v>4.2766425526823539</v>
      </c>
      <c r="M26" s="12"/>
    </row>
    <row r="27" spans="1:15" ht="14.5" x14ac:dyDescent="0.35">
      <c r="A27">
        <v>50</v>
      </c>
      <c r="B27">
        <v>5012</v>
      </c>
      <c r="C27">
        <v>6</v>
      </c>
      <c r="D27">
        <v>25.7</v>
      </c>
      <c r="E27">
        <v>173.4</v>
      </c>
      <c r="G27" t="s">
        <v>38</v>
      </c>
      <c r="H27" t="s">
        <v>70</v>
      </c>
      <c r="I27" t="s">
        <v>40</v>
      </c>
      <c r="J27" t="s">
        <v>71</v>
      </c>
      <c r="L27" t="s">
        <v>72</v>
      </c>
      <c r="M27" t="s">
        <v>0</v>
      </c>
    </row>
    <row r="28" spans="1:15" ht="14.5" x14ac:dyDescent="0.35">
      <c r="A28">
        <v>56.2</v>
      </c>
      <c r="B28">
        <v>6068</v>
      </c>
      <c r="C28">
        <v>4.4000000000000004</v>
      </c>
      <c r="D28">
        <v>27</v>
      </c>
      <c r="E28">
        <v>72</v>
      </c>
      <c r="G28">
        <v>1</v>
      </c>
      <c r="H28">
        <v>57.330410623060665</v>
      </c>
      <c r="I28">
        <v>-2.2304106230606635</v>
      </c>
      <c r="J28">
        <v>-0.80301566397517599</v>
      </c>
      <c r="K28">
        <f>ABS(I28/A2)*100</f>
        <v>4.0479321652643616</v>
      </c>
      <c r="L28">
        <v>0.27932960893854747</v>
      </c>
      <c r="M28">
        <v>50</v>
      </c>
    </row>
    <row r="29" spans="1:15" ht="14.5" x14ac:dyDescent="0.35">
      <c r="A29">
        <v>54.5</v>
      </c>
      <c r="B29">
        <v>870</v>
      </c>
      <c r="C29">
        <v>10.9</v>
      </c>
      <c r="D29">
        <v>26.2</v>
      </c>
      <c r="E29">
        <v>215.8</v>
      </c>
      <c r="G29">
        <v>2</v>
      </c>
      <c r="H29">
        <v>55.225790286338679</v>
      </c>
      <c r="I29">
        <v>-2.8257902863386803</v>
      </c>
      <c r="J29">
        <v>-1.017370451690653</v>
      </c>
      <c r="K29">
        <f t="shared" ref="K29:K92" si="0">ABS(I29/A3)*100</f>
        <v>5.392729554081451</v>
      </c>
      <c r="L29">
        <v>0.83798882681564235</v>
      </c>
      <c r="M29">
        <v>50</v>
      </c>
    </row>
    <row r="30" spans="1:15" ht="14.5" x14ac:dyDescent="0.35">
      <c r="A30">
        <v>50</v>
      </c>
      <c r="B30">
        <v>962</v>
      </c>
      <c r="C30">
        <v>5.3</v>
      </c>
      <c r="D30">
        <v>22.6</v>
      </c>
      <c r="E30">
        <v>143.80000000000001</v>
      </c>
      <c r="G30">
        <v>3</v>
      </c>
      <c r="H30">
        <v>52.175273012206723</v>
      </c>
      <c r="I30">
        <v>-1.2752730122067248</v>
      </c>
      <c r="J30">
        <v>-0.45913707281466482</v>
      </c>
      <c r="K30">
        <f t="shared" si="0"/>
        <v>2.5054479611134086</v>
      </c>
      <c r="L30">
        <v>1.3966480446927374</v>
      </c>
      <c r="M30">
        <v>50</v>
      </c>
    </row>
    <row r="31" spans="1:15" ht="14.5" x14ac:dyDescent="0.35">
      <c r="A31">
        <v>63.4</v>
      </c>
      <c r="B31">
        <v>10309</v>
      </c>
      <c r="C31">
        <v>8</v>
      </c>
      <c r="D31">
        <v>29.4</v>
      </c>
      <c r="E31">
        <v>128.80000000000001</v>
      </c>
      <c r="G31">
        <v>4</v>
      </c>
      <c r="H31">
        <v>56.314530621482788</v>
      </c>
      <c r="I31">
        <v>-5.8145306214827883</v>
      </c>
      <c r="J31">
        <v>-2.0934078772036946</v>
      </c>
      <c r="K31">
        <f t="shared" si="0"/>
        <v>11.513922022738194</v>
      </c>
      <c r="L31">
        <v>1.9553072625698322</v>
      </c>
      <c r="M31">
        <v>50</v>
      </c>
    </row>
    <row r="32" spans="1:15" ht="14.5" x14ac:dyDescent="0.35">
      <c r="A32">
        <v>50.4</v>
      </c>
      <c r="B32">
        <v>824</v>
      </c>
      <c r="C32">
        <v>4.8</v>
      </c>
      <c r="D32">
        <v>26.4</v>
      </c>
      <c r="E32">
        <v>132.1</v>
      </c>
      <c r="G32">
        <v>5</v>
      </c>
      <c r="H32">
        <v>53.347927267977674</v>
      </c>
      <c r="I32">
        <v>-3.3479272679776741</v>
      </c>
      <c r="J32">
        <v>-1.2053556462829704</v>
      </c>
      <c r="K32">
        <f t="shared" si="0"/>
        <v>6.6958545359553483</v>
      </c>
      <c r="L32">
        <v>2.5139664804469271</v>
      </c>
      <c r="M32">
        <v>50</v>
      </c>
    </row>
    <row r="33" spans="1:13" ht="14.5" x14ac:dyDescent="0.35">
      <c r="A33">
        <v>51.6</v>
      </c>
      <c r="B33">
        <v>2672</v>
      </c>
      <c r="C33">
        <v>5.5</v>
      </c>
      <c r="D33">
        <v>20.5</v>
      </c>
      <c r="E33">
        <v>114.3</v>
      </c>
      <c r="G33">
        <v>6</v>
      </c>
      <c r="H33">
        <v>54.094813161382305</v>
      </c>
      <c r="I33">
        <v>-4.0948131613823051</v>
      </c>
      <c r="J33">
        <v>-1.4742572850238203</v>
      </c>
      <c r="K33">
        <f t="shared" si="0"/>
        <v>8.1896263227646102</v>
      </c>
      <c r="L33">
        <v>3.0726256983240221</v>
      </c>
      <c r="M33">
        <v>50</v>
      </c>
    </row>
    <row r="34" spans="1:13" ht="14.5" x14ac:dyDescent="0.35">
      <c r="A34">
        <v>57.3</v>
      </c>
      <c r="B34">
        <v>460</v>
      </c>
      <c r="C34">
        <v>8.5</v>
      </c>
      <c r="D34">
        <v>26.2</v>
      </c>
      <c r="E34">
        <v>79.3</v>
      </c>
      <c r="G34">
        <v>7</v>
      </c>
      <c r="H34">
        <v>48.072168656753277</v>
      </c>
      <c r="I34">
        <v>1.9278313432467229</v>
      </c>
      <c r="J34">
        <v>0.69407792005809388</v>
      </c>
      <c r="K34">
        <f t="shared" si="0"/>
        <v>3.8556626864934462</v>
      </c>
      <c r="L34">
        <v>3.6312849162011167</v>
      </c>
      <c r="M34">
        <v>50</v>
      </c>
    </row>
    <row r="35" spans="1:13" ht="14.5" x14ac:dyDescent="0.35">
      <c r="A35">
        <v>50</v>
      </c>
      <c r="B35">
        <v>537</v>
      </c>
      <c r="C35">
        <v>9.1</v>
      </c>
      <c r="D35">
        <v>26.7</v>
      </c>
      <c r="E35">
        <v>236.6</v>
      </c>
      <c r="G35">
        <v>8</v>
      </c>
      <c r="H35">
        <v>50.954758159410453</v>
      </c>
      <c r="I35">
        <v>-0.35475815941045141</v>
      </c>
      <c r="J35">
        <v>-0.12772372763302015</v>
      </c>
      <c r="K35">
        <f t="shared" si="0"/>
        <v>0.70110308183883685</v>
      </c>
      <c r="L35">
        <v>4.1899441340782122</v>
      </c>
      <c r="M35">
        <v>50</v>
      </c>
    </row>
    <row r="36" spans="1:13" ht="14.5" x14ac:dyDescent="0.35">
      <c r="A36">
        <v>60.8</v>
      </c>
      <c r="B36">
        <v>730</v>
      </c>
      <c r="C36">
        <v>9.5</v>
      </c>
      <c r="D36">
        <v>26.5</v>
      </c>
      <c r="E36">
        <v>191.2</v>
      </c>
      <c r="G36">
        <v>9</v>
      </c>
      <c r="H36">
        <v>55.993872225662848</v>
      </c>
      <c r="I36">
        <v>1.1061277743371534</v>
      </c>
      <c r="J36">
        <v>0.39823964249769184</v>
      </c>
      <c r="K36">
        <f t="shared" si="0"/>
        <v>1.9371764874556101</v>
      </c>
      <c r="L36">
        <v>4.7486033519553068</v>
      </c>
      <c r="M36">
        <v>50</v>
      </c>
    </row>
    <row r="37" spans="1:13" ht="14.5" x14ac:dyDescent="0.35">
      <c r="A37">
        <v>61.7</v>
      </c>
      <c r="B37">
        <v>16372</v>
      </c>
      <c r="C37">
        <v>10.9</v>
      </c>
      <c r="D37">
        <v>27</v>
      </c>
      <c r="E37">
        <v>124.8</v>
      </c>
      <c r="G37">
        <v>10</v>
      </c>
      <c r="H37">
        <v>51.179333908580588</v>
      </c>
      <c r="I37">
        <v>-1.1793339085805883</v>
      </c>
      <c r="J37">
        <v>-0.42459607744682226</v>
      </c>
      <c r="K37">
        <f t="shared" si="0"/>
        <v>2.3586678171611766</v>
      </c>
      <c r="L37">
        <v>5.3072625698324014</v>
      </c>
      <c r="M37">
        <v>50</v>
      </c>
    </row>
    <row r="38" spans="1:13" ht="14.5" x14ac:dyDescent="0.35">
      <c r="A38">
        <v>50</v>
      </c>
      <c r="B38">
        <v>2090</v>
      </c>
      <c r="C38">
        <v>6.5</v>
      </c>
      <c r="D38">
        <v>25.2</v>
      </c>
      <c r="E38">
        <v>335.2</v>
      </c>
      <c r="G38">
        <v>11</v>
      </c>
      <c r="H38">
        <v>47.165901887289934</v>
      </c>
      <c r="I38">
        <v>2.8340981127100662</v>
      </c>
      <c r="J38">
        <v>1.0203615218733506</v>
      </c>
      <c r="K38">
        <f t="shared" si="0"/>
        <v>5.6681962254201324</v>
      </c>
      <c r="L38">
        <v>5.8659217877094969</v>
      </c>
      <c r="M38">
        <v>50</v>
      </c>
    </row>
    <row r="39" spans="1:13" ht="14.5" x14ac:dyDescent="0.35">
      <c r="A39">
        <v>50</v>
      </c>
      <c r="B39">
        <v>300</v>
      </c>
      <c r="C39">
        <v>6.6</v>
      </c>
      <c r="D39">
        <v>28.3</v>
      </c>
      <c r="E39">
        <v>155.1</v>
      </c>
      <c r="G39">
        <v>12</v>
      </c>
      <c r="H39">
        <v>53.64428725304834</v>
      </c>
      <c r="I39">
        <v>2.1557127469516573</v>
      </c>
      <c r="J39">
        <v>0.77612215658195116</v>
      </c>
      <c r="K39">
        <f t="shared" si="0"/>
        <v>3.8632844927449055</v>
      </c>
      <c r="L39">
        <v>6.4245810055865915</v>
      </c>
      <c r="M39">
        <v>50</v>
      </c>
    </row>
    <row r="40" spans="1:13" ht="14.5" x14ac:dyDescent="0.35">
      <c r="A40">
        <v>50</v>
      </c>
      <c r="B40">
        <v>8262</v>
      </c>
      <c r="C40">
        <v>5.8</v>
      </c>
      <c r="D40">
        <v>25.6</v>
      </c>
      <c r="E40">
        <v>153.6</v>
      </c>
      <c r="G40">
        <v>13</v>
      </c>
      <c r="H40">
        <v>51.445792990360005</v>
      </c>
      <c r="I40">
        <v>-1.4457929903600046</v>
      </c>
      <c r="J40">
        <v>-0.52052945144756746</v>
      </c>
      <c r="K40">
        <f t="shared" si="0"/>
        <v>2.8915859807200093</v>
      </c>
      <c r="L40">
        <v>6.9832402234636861</v>
      </c>
      <c r="M40">
        <v>50</v>
      </c>
    </row>
    <row r="41" spans="1:13" ht="14.5" x14ac:dyDescent="0.35">
      <c r="A41">
        <v>51.3</v>
      </c>
      <c r="B41">
        <v>7715</v>
      </c>
      <c r="C41">
        <v>1.9</v>
      </c>
      <c r="D41">
        <v>25.6</v>
      </c>
      <c r="E41">
        <v>97.1</v>
      </c>
      <c r="G41">
        <v>14</v>
      </c>
      <c r="H41">
        <v>48.331239200192869</v>
      </c>
      <c r="I41">
        <v>1.6687607998071314</v>
      </c>
      <c r="J41">
        <v>0.60080464458782412</v>
      </c>
      <c r="K41">
        <f t="shared" si="0"/>
        <v>3.3375215996142629</v>
      </c>
      <c r="L41">
        <v>7.5418994413407816</v>
      </c>
      <c r="M41">
        <v>50</v>
      </c>
    </row>
    <row r="42" spans="1:13" ht="14.5" x14ac:dyDescent="0.35">
      <c r="A42">
        <v>59.9</v>
      </c>
      <c r="B42">
        <v>2510</v>
      </c>
      <c r="C42">
        <v>9.5</v>
      </c>
      <c r="D42">
        <v>27.6</v>
      </c>
      <c r="E42">
        <v>54</v>
      </c>
      <c r="G42">
        <v>15</v>
      </c>
      <c r="H42">
        <v>57.640706965493713</v>
      </c>
      <c r="I42">
        <v>1.2592930345062854</v>
      </c>
      <c r="J42">
        <v>0.45338379479905977</v>
      </c>
      <c r="K42">
        <f t="shared" si="0"/>
        <v>2.1380187343060872</v>
      </c>
      <c r="L42">
        <v>8.1005586592178762</v>
      </c>
      <c r="M42">
        <v>50</v>
      </c>
    </row>
    <row r="43" spans="1:13" ht="14.5" x14ac:dyDescent="0.35">
      <c r="A43">
        <v>67.8</v>
      </c>
      <c r="B43">
        <v>1119</v>
      </c>
      <c r="C43">
        <v>13.3</v>
      </c>
      <c r="D43">
        <v>26.2</v>
      </c>
      <c r="E43">
        <v>50</v>
      </c>
      <c r="G43">
        <v>16</v>
      </c>
      <c r="H43">
        <v>53.908472857208203</v>
      </c>
      <c r="I43">
        <v>-3.9084728572082028</v>
      </c>
      <c r="J43">
        <v>-1.4071691078359045</v>
      </c>
      <c r="K43">
        <f t="shared" si="0"/>
        <v>7.8169457144164056</v>
      </c>
      <c r="L43">
        <v>8.6592178770949726</v>
      </c>
      <c r="M43">
        <v>50</v>
      </c>
    </row>
    <row r="44" spans="1:13" ht="14.5" x14ac:dyDescent="0.35">
      <c r="A44">
        <v>50</v>
      </c>
      <c r="B44">
        <v>14026</v>
      </c>
      <c r="C44">
        <v>3.4</v>
      </c>
      <c r="D44">
        <v>23.5</v>
      </c>
      <c r="E44">
        <v>251.4</v>
      </c>
      <c r="G44">
        <v>17</v>
      </c>
      <c r="H44">
        <v>57.667444832138948</v>
      </c>
      <c r="I44">
        <v>-0.16744483213894767</v>
      </c>
      <c r="J44">
        <v>-6.0285232534785967E-2</v>
      </c>
      <c r="K44">
        <f t="shared" si="0"/>
        <v>0.29120840371990897</v>
      </c>
      <c r="L44">
        <v>9.2178770949720672</v>
      </c>
      <c r="M44">
        <v>50</v>
      </c>
    </row>
    <row r="45" spans="1:13" ht="14.5" x14ac:dyDescent="0.35">
      <c r="A45">
        <v>53.5</v>
      </c>
      <c r="B45">
        <v>9528</v>
      </c>
      <c r="C45">
        <v>5.2</v>
      </c>
      <c r="D45">
        <v>24.8</v>
      </c>
      <c r="E45">
        <v>50</v>
      </c>
      <c r="G45">
        <v>18</v>
      </c>
      <c r="H45">
        <v>47.224043472780252</v>
      </c>
      <c r="I45">
        <v>2.7759565272197477</v>
      </c>
      <c r="J45">
        <v>0.99942878267530577</v>
      </c>
      <c r="K45">
        <f t="shared" si="0"/>
        <v>5.5519130544394955</v>
      </c>
      <c r="L45">
        <v>9.7765363128491618</v>
      </c>
      <c r="M45">
        <v>50</v>
      </c>
    </row>
    <row r="46" spans="1:13" ht="14.5" x14ac:dyDescent="0.35">
      <c r="A46">
        <v>58</v>
      </c>
      <c r="B46">
        <v>459</v>
      </c>
      <c r="C46">
        <v>12.9</v>
      </c>
      <c r="D46">
        <v>20.7</v>
      </c>
      <c r="E46">
        <v>114.8</v>
      </c>
      <c r="G46">
        <v>19</v>
      </c>
      <c r="H46">
        <v>48.923042082891342</v>
      </c>
      <c r="I46">
        <v>1.7769579171086605</v>
      </c>
      <c r="J46">
        <v>0.63975889771582506</v>
      </c>
      <c r="K46">
        <f t="shared" si="0"/>
        <v>3.504847962738975</v>
      </c>
      <c r="L46">
        <v>10.335195530726256</v>
      </c>
      <c r="M46">
        <v>50</v>
      </c>
    </row>
    <row r="47" spans="1:13" ht="14.5" x14ac:dyDescent="0.35">
      <c r="A47">
        <v>62</v>
      </c>
      <c r="B47">
        <v>346</v>
      </c>
      <c r="C47">
        <v>11.5</v>
      </c>
      <c r="D47">
        <v>25</v>
      </c>
      <c r="E47">
        <v>71.5</v>
      </c>
      <c r="G47">
        <v>20</v>
      </c>
      <c r="H47">
        <v>48.794375597079387</v>
      </c>
      <c r="I47">
        <v>1.2056244029206127</v>
      </c>
      <c r="J47">
        <v>0.43406145505505833</v>
      </c>
      <c r="K47">
        <f t="shared" si="0"/>
        <v>2.4112488058412254</v>
      </c>
      <c r="L47">
        <v>10.893854748603353</v>
      </c>
      <c r="M47">
        <v>50</v>
      </c>
    </row>
    <row r="48" spans="1:13" ht="14.5" x14ac:dyDescent="0.35">
      <c r="A48">
        <v>51.5</v>
      </c>
      <c r="B48">
        <v>1212</v>
      </c>
      <c r="C48">
        <v>8.1999999999999993</v>
      </c>
      <c r="D48">
        <v>23.8</v>
      </c>
      <c r="E48">
        <v>159.1</v>
      </c>
      <c r="G48">
        <v>21</v>
      </c>
      <c r="H48">
        <v>53.332809452458726</v>
      </c>
      <c r="I48">
        <v>3.5671905475412728</v>
      </c>
      <c r="J48">
        <v>1.2842970959890001</v>
      </c>
      <c r="K48">
        <f t="shared" si="0"/>
        <v>6.2692276758194607</v>
      </c>
      <c r="L48">
        <v>11.452513966480447</v>
      </c>
      <c r="M48">
        <v>50</v>
      </c>
    </row>
    <row r="49" spans="1:13" ht="14.5" x14ac:dyDescent="0.35">
      <c r="A49">
        <v>58.9</v>
      </c>
      <c r="B49">
        <v>466</v>
      </c>
      <c r="C49">
        <v>14.4</v>
      </c>
      <c r="D49">
        <v>19.100000000000001</v>
      </c>
      <c r="E49">
        <v>137.9</v>
      </c>
      <c r="G49">
        <v>22</v>
      </c>
      <c r="H49">
        <v>57.339517084512188</v>
      </c>
      <c r="I49">
        <v>1.1604829154878118</v>
      </c>
      <c r="J49">
        <v>0.41780914656581036</v>
      </c>
      <c r="K49">
        <f t="shared" si="0"/>
        <v>1.9837314794663448</v>
      </c>
      <c r="L49">
        <v>12.011173184357542</v>
      </c>
      <c r="M49">
        <v>50</v>
      </c>
    </row>
    <row r="50" spans="1:13" ht="14.5" x14ac:dyDescent="0.35">
      <c r="A50">
        <v>55.5</v>
      </c>
      <c r="B50">
        <v>1171</v>
      </c>
      <c r="C50">
        <v>7.4</v>
      </c>
      <c r="D50">
        <v>23.5</v>
      </c>
      <c r="E50">
        <v>102.9</v>
      </c>
      <c r="G50">
        <v>23</v>
      </c>
      <c r="H50">
        <v>55.880431274919225</v>
      </c>
      <c r="I50">
        <v>-2.4804312749192263</v>
      </c>
      <c r="J50">
        <v>-0.89303070321678624</v>
      </c>
      <c r="K50">
        <f t="shared" si="0"/>
        <v>4.6450023874891881</v>
      </c>
      <c r="L50">
        <v>12.569832402234637</v>
      </c>
      <c r="M50">
        <v>50</v>
      </c>
    </row>
    <row r="51" spans="1:13" ht="14.5" x14ac:dyDescent="0.35">
      <c r="A51">
        <v>50.5</v>
      </c>
      <c r="B51">
        <v>1054</v>
      </c>
      <c r="C51">
        <v>10.7</v>
      </c>
      <c r="D51">
        <v>25.9</v>
      </c>
      <c r="E51">
        <v>215</v>
      </c>
      <c r="G51">
        <v>24</v>
      </c>
      <c r="H51">
        <v>59.350381049799161</v>
      </c>
      <c r="I51">
        <v>1.349618950200842</v>
      </c>
      <c r="J51">
        <v>0.48590387178205813</v>
      </c>
      <c r="K51">
        <f t="shared" si="0"/>
        <v>2.2234249591447148</v>
      </c>
      <c r="L51">
        <v>13.128491620111731</v>
      </c>
      <c r="M51">
        <v>50</v>
      </c>
    </row>
    <row r="52" spans="1:13" ht="14.5" x14ac:dyDescent="0.35">
      <c r="A52">
        <v>54.1</v>
      </c>
      <c r="B52">
        <v>1287</v>
      </c>
      <c r="C52">
        <v>10.199999999999999</v>
      </c>
      <c r="D52">
        <v>26.8</v>
      </c>
      <c r="E52">
        <v>148.30000000000001</v>
      </c>
      <c r="G52">
        <v>25</v>
      </c>
      <c r="H52">
        <v>48.377629620321372</v>
      </c>
      <c r="I52">
        <v>1.6223703796786282</v>
      </c>
      <c r="J52">
        <v>0.58410268234086427</v>
      </c>
      <c r="K52">
        <f t="shared" si="0"/>
        <v>3.2447407593572564</v>
      </c>
      <c r="L52">
        <v>13.687150837988826</v>
      </c>
      <c r="M52">
        <v>50</v>
      </c>
    </row>
    <row r="53" spans="1:13" ht="14.5" x14ac:dyDescent="0.35">
      <c r="A53">
        <v>56.8</v>
      </c>
      <c r="B53">
        <v>1227</v>
      </c>
      <c r="C53">
        <v>9.6</v>
      </c>
      <c r="D53">
        <v>24.4</v>
      </c>
      <c r="E53">
        <v>132.6</v>
      </c>
      <c r="G53">
        <v>26</v>
      </c>
      <c r="H53">
        <v>51.556853291103238</v>
      </c>
      <c r="I53">
        <v>-1.5568532911032378</v>
      </c>
      <c r="J53">
        <v>-0.5605145377005325</v>
      </c>
      <c r="K53">
        <f t="shared" si="0"/>
        <v>3.1137065822064756</v>
      </c>
      <c r="L53">
        <v>14.245810055865922</v>
      </c>
      <c r="M53">
        <v>50</v>
      </c>
    </row>
    <row r="54" spans="1:13" ht="14.5" x14ac:dyDescent="0.35">
      <c r="A54">
        <v>51.5</v>
      </c>
      <c r="B54">
        <v>10100</v>
      </c>
      <c r="C54">
        <v>11.9</v>
      </c>
      <c r="D54">
        <v>25.1</v>
      </c>
      <c r="E54">
        <v>204.6</v>
      </c>
      <c r="G54">
        <v>27</v>
      </c>
      <c r="H54">
        <v>55.041143114633051</v>
      </c>
      <c r="I54">
        <v>1.1588568853669514</v>
      </c>
      <c r="J54">
        <v>0.41722372626533022</v>
      </c>
      <c r="K54">
        <f t="shared" si="0"/>
        <v>2.0620229276992017</v>
      </c>
      <c r="L54">
        <v>14.804469273743017</v>
      </c>
      <c r="M54">
        <v>50</v>
      </c>
    </row>
    <row r="55" spans="1:13" ht="14.5" x14ac:dyDescent="0.35">
      <c r="A55">
        <v>63</v>
      </c>
      <c r="B55">
        <v>2452</v>
      </c>
      <c r="C55">
        <v>8.3000000000000007</v>
      </c>
      <c r="D55">
        <v>26.8</v>
      </c>
      <c r="E55">
        <v>84.5</v>
      </c>
      <c r="G55">
        <v>28</v>
      </c>
      <c r="H55">
        <v>53.344280587225498</v>
      </c>
      <c r="I55">
        <v>1.1557194127745021</v>
      </c>
      <c r="J55">
        <v>0.41609414070338002</v>
      </c>
      <c r="K55">
        <f t="shared" si="0"/>
        <v>2.1205860784853248</v>
      </c>
      <c r="L55">
        <v>15.363128491620111</v>
      </c>
      <c r="M55">
        <v>50</v>
      </c>
    </row>
    <row r="56" spans="1:13" ht="14.5" x14ac:dyDescent="0.35">
      <c r="A56">
        <v>53</v>
      </c>
      <c r="B56">
        <v>482</v>
      </c>
      <c r="C56">
        <v>11.5</v>
      </c>
      <c r="D56">
        <v>27.4</v>
      </c>
      <c r="E56">
        <v>199.9</v>
      </c>
      <c r="G56">
        <v>29</v>
      </c>
      <c r="H56">
        <v>50.838965388657932</v>
      </c>
      <c r="I56">
        <v>-0.83896538865793246</v>
      </c>
      <c r="J56">
        <v>-0.30205305770148205</v>
      </c>
      <c r="K56">
        <f t="shared" si="0"/>
        <v>1.6779307773158649</v>
      </c>
      <c r="L56">
        <v>15.921787709497206</v>
      </c>
      <c r="M56">
        <v>50</v>
      </c>
    </row>
    <row r="57" spans="1:13" ht="14.5" x14ac:dyDescent="0.35">
      <c r="A57">
        <v>50</v>
      </c>
      <c r="B57">
        <v>776</v>
      </c>
      <c r="C57">
        <v>8.1999999999999993</v>
      </c>
      <c r="D57">
        <v>23</v>
      </c>
      <c r="E57">
        <v>228</v>
      </c>
      <c r="G57">
        <v>30</v>
      </c>
      <c r="H57">
        <v>56.650125894441189</v>
      </c>
      <c r="I57">
        <v>6.7498741055588098</v>
      </c>
      <c r="J57">
        <v>2.4301599806703988</v>
      </c>
      <c r="K57">
        <f t="shared" si="0"/>
        <v>10.646489125487083</v>
      </c>
      <c r="L57">
        <v>16.480446927374299</v>
      </c>
      <c r="M57">
        <v>50</v>
      </c>
    </row>
    <row r="58" spans="1:13" ht="14.5" x14ac:dyDescent="0.35">
      <c r="A58">
        <v>57.4</v>
      </c>
      <c r="B58">
        <v>1841</v>
      </c>
      <c r="C58">
        <v>9.1999999999999993</v>
      </c>
      <c r="D58">
        <v>23.3</v>
      </c>
      <c r="E58">
        <v>84.2</v>
      </c>
      <c r="G58">
        <v>31</v>
      </c>
      <c r="H58">
        <v>52.177206931319922</v>
      </c>
      <c r="I58">
        <v>-1.7772069313199239</v>
      </c>
      <c r="J58">
        <v>-0.63984855040584077</v>
      </c>
      <c r="K58">
        <f t="shared" si="0"/>
        <v>3.5262042288093731</v>
      </c>
      <c r="L58">
        <v>17.039106145251395</v>
      </c>
      <c r="M58">
        <v>50</v>
      </c>
    </row>
    <row r="59" spans="1:13" ht="14.5" x14ac:dyDescent="0.35">
      <c r="A59">
        <v>52.7</v>
      </c>
      <c r="B59">
        <v>1394</v>
      </c>
      <c r="C59">
        <v>6.6</v>
      </c>
      <c r="D59">
        <v>25.7</v>
      </c>
      <c r="E59">
        <v>50</v>
      </c>
      <c r="G59">
        <v>32</v>
      </c>
      <c r="H59">
        <v>51.678760716623628</v>
      </c>
      <c r="I59">
        <v>-7.8760716623627047E-2</v>
      </c>
      <c r="J59">
        <v>-2.8356253552941565E-2</v>
      </c>
      <c r="K59">
        <f t="shared" si="0"/>
        <v>0.15263704772020745</v>
      </c>
      <c r="L59">
        <v>17.597765363128488</v>
      </c>
      <c r="M59">
        <v>50</v>
      </c>
    </row>
    <row r="60" spans="1:13" ht="14.5" x14ac:dyDescent="0.35">
      <c r="A60">
        <v>50</v>
      </c>
      <c r="B60">
        <v>2164</v>
      </c>
      <c r="C60">
        <v>8.9</v>
      </c>
      <c r="D60">
        <v>29.4</v>
      </c>
      <c r="E60">
        <v>218.6</v>
      </c>
      <c r="G60">
        <v>33</v>
      </c>
      <c r="H60">
        <v>57.096895830094915</v>
      </c>
      <c r="I60">
        <v>0.20310416990508173</v>
      </c>
      <c r="J60">
        <v>7.3123678737078993E-2</v>
      </c>
      <c r="K60">
        <f t="shared" si="0"/>
        <v>0.35445753910136429</v>
      </c>
      <c r="L60">
        <v>18.156424581005584</v>
      </c>
      <c r="M60">
        <v>50</v>
      </c>
    </row>
    <row r="61" spans="1:13" ht="14.5" x14ac:dyDescent="0.35">
      <c r="A61">
        <v>50</v>
      </c>
      <c r="B61">
        <v>663</v>
      </c>
      <c r="C61">
        <v>7.9</v>
      </c>
      <c r="D61">
        <v>24.1</v>
      </c>
      <c r="E61">
        <v>175.8</v>
      </c>
      <c r="G61">
        <v>34</v>
      </c>
      <c r="H61">
        <v>51.237358454787433</v>
      </c>
      <c r="I61">
        <v>-1.237358454787433</v>
      </c>
      <c r="J61">
        <v>-0.44548667894297572</v>
      </c>
      <c r="K61">
        <f t="shared" si="0"/>
        <v>2.474716909574866</v>
      </c>
      <c r="L61">
        <v>18.715083798882681</v>
      </c>
      <c r="M61">
        <v>50</v>
      </c>
    </row>
    <row r="62" spans="1:13" ht="14.5" x14ac:dyDescent="0.35">
      <c r="A62">
        <v>50.4</v>
      </c>
      <c r="B62">
        <v>29706</v>
      </c>
      <c r="C62">
        <v>7.7</v>
      </c>
      <c r="D62">
        <v>26.2</v>
      </c>
      <c r="E62">
        <v>205.2</v>
      </c>
      <c r="G62">
        <v>35</v>
      </c>
      <c r="H62">
        <v>53.370459744036701</v>
      </c>
      <c r="I62">
        <v>7.4295402559632961</v>
      </c>
      <c r="J62">
        <v>2.674860467390447</v>
      </c>
      <c r="K62">
        <f t="shared" si="0"/>
        <v>12.219638578887</v>
      </c>
      <c r="L62">
        <v>19.273743016759774</v>
      </c>
      <c r="M62">
        <v>50</v>
      </c>
    </row>
    <row r="63" spans="1:13" ht="14.5" x14ac:dyDescent="0.35">
      <c r="A63">
        <v>51.7</v>
      </c>
      <c r="B63">
        <v>3038</v>
      </c>
      <c r="C63">
        <v>8.3000000000000007</v>
      </c>
      <c r="D63">
        <v>22.7</v>
      </c>
      <c r="E63">
        <v>152</v>
      </c>
      <c r="G63">
        <v>36</v>
      </c>
      <c r="H63">
        <v>58.820589216688511</v>
      </c>
      <c r="I63">
        <v>2.8794107833114921</v>
      </c>
      <c r="J63">
        <v>1.0366754615099727</v>
      </c>
      <c r="K63">
        <f t="shared" si="0"/>
        <v>4.6667921933735688</v>
      </c>
      <c r="L63">
        <v>19.83240223463687</v>
      </c>
      <c r="M63">
        <v>50</v>
      </c>
    </row>
    <row r="64" spans="1:13" ht="14.5" x14ac:dyDescent="0.35">
      <c r="A64">
        <v>54.6</v>
      </c>
      <c r="B64">
        <v>12568</v>
      </c>
      <c r="C64">
        <v>14.5</v>
      </c>
      <c r="D64">
        <v>22.7</v>
      </c>
      <c r="E64">
        <v>219.8</v>
      </c>
      <c r="G64">
        <v>37</v>
      </c>
      <c r="H64">
        <v>44.823445261717737</v>
      </c>
      <c r="I64">
        <v>5.1765547382822632</v>
      </c>
      <c r="J64">
        <v>1.8637171547189655</v>
      </c>
      <c r="K64">
        <f t="shared" si="0"/>
        <v>10.353109476564526</v>
      </c>
      <c r="L64">
        <v>20.391061452513963</v>
      </c>
      <c r="M64">
        <v>50</v>
      </c>
    </row>
    <row r="65" spans="1:13" ht="14.5" x14ac:dyDescent="0.35">
      <c r="A65">
        <v>53.1</v>
      </c>
      <c r="B65">
        <v>887</v>
      </c>
      <c r="C65">
        <v>5.5</v>
      </c>
      <c r="D65">
        <v>23.2</v>
      </c>
      <c r="E65">
        <v>50</v>
      </c>
      <c r="G65">
        <v>38</v>
      </c>
      <c r="H65">
        <v>53.186704891082364</v>
      </c>
      <c r="I65">
        <v>-3.1867048910823641</v>
      </c>
      <c r="J65">
        <v>-1.1473106868967085</v>
      </c>
      <c r="K65">
        <f t="shared" si="0"/>
        <v>6.3734097821647282</v>
      </c>
      <c r="L65">
        <v>20.949720670391059</v>
      </c>
      <c r="M65">
        <v>50</v>
      </c>
    </row>
    <row r="66" spans="1:13" ht="14.5" x14ac:dyDescent="0.35">
      <c r="A66">
        <v>50</v>
      </c>
      <c r="B66">
        <v>3735</v>
      </c>
      <c r="C66">
        <v>9</v>
      </c>
      <c r="D66">
        <v>30.6</v>
      </c>
      <c r="E66">
        <v>226</v>
      </c>
      <c r="G66">
        <v>39</v>
      </c>
      <c r="H66">
        <v>52.492988054753631</v>
      </c>
      <c r="I66">
        <v>-2.4929880547536314</v>
      </c>
      <c r="J66">
        <v>-0.8975515258813942</v>
      </c>
      <c r="K66">
        <f t="shared" si="0"/>
        <v>4.9859761095072628</v>
      </c>
      <c r="L66">
        <v>21.508379888268156</v>
      </c>
      <c r="M66">
        <v>50</v>
      </c>
    </row>
    <row r="67" spans="1:13" ht="14.5" x14ac:dyDescent="0.35">
      <c r="A67">
        <v>50</v>
      </c>
      <c r="B67">
        <v>6235</v>
      </c>
      <c r="C67">
        <v>4</v>
      </c>
      <c r="D67">
        <v>30.5</v>
      </c>
      <c r="E67">
        <v>244.4</v>
      </c>
      <c r="G67">
        <v>40</v>
      </c>
      <c r="H67">
        <v>51.779323480735748</v>
      </c>
      <c r="I67">
        <v>-0.47932348073575071</v>
      </c>
      <c r="J67">
        <v>-0.1725710320612307</v>
      </c>
      <c r="K67">
        <f t="shared" si="0"/>
        <v>0.93435376361744782</v>
      </c>
      <c r="L67">
        <v>22.067039106145248</v>
      </c>
      <c r="M67">
        <v>50</v>
      </c>
    </row>
    <row r="68" spans="1:13" ht="14.5" x14ac:dyDescent="0.35">
      <c r="A68">
        <v>61.5</v>
      </c>
      <c r="B68">
        <v>22716</v>
      </c>
      <c r="C68">
        <v>7.7</v>
      </c>
      <c r="D68">
        <v>28.7</v>
      </c>
      <c r="E68">
        <v>50</v>
      </c>
      <c r="G68">
        <v>41</v>
      </c>
      <c r="H68">
        <v>59.562817048879033</v>
      </c>
      <c r="I68">
        <v>0.33718295112096541</v>
      </c>
      <c r="J68">
        <v>0.12139611808517961</v>
      </c>
      <c r="K68">
        <f t="shared" si="0"/>
        <v>0.56290976814852323</v>
      </c>
      <c r="L68">
        <v>22.625698324022345</v>
      </c>
      <c r="M68">
        <v>50</v>
      </c>
    </row>
    <row r="69" spans="1:13" ht="14.5" x14ac:dyDescent="0.35">
      <c r="A69">
        <v>56.1</v>
      </c>
      <c r="B69">
        <v>3199</v>
      </c>
      <c r="C69">
        <v>6.6</v>
      </c>
      <c r="D69">
        <v>26.9</v>
      </c>
      <c r="E69">
        <v>64.599999999999994</v>
      </c>
      <c r="G69">
        <v>42</v>
      </c>
      <c r="H69">
        <v>62.053232013405477</v>
      </c>
      <c r="I69">
        <v>5.74676798659452</v>
      </c>
      <c r="J69">
        <v>2.0690112675906898</v>
      </c>
      <c r="K69">
        <f t="shared" si="0"/>
        <v>8.4760589772780524</v>
      </c>
      <c r="L69">
        <v>23.184357541899438</v>
      </c>
      <c r="M69">
        <v>50</v>
      </c>
    </row>
    <row r="70" spans="1:13" ht="14.5" x14ac:dyDescent="0.35">
      <c r="A70">
        <v>64.8</v>
      </c>
      <c r="B70">
        <v>6449</v>
      </c>
      <c r="C70">
        <v>10.1</v>
      </c>
      <c r="D70">
        <v>21.6</v>
      </c>
      <c r="E70">
        <v>50</v>
      </c>
      <c r="G70">
        <v>43</v>
      </c>
      <c r="H70">
        <v>46.463677582974192</v>
      </c>
      <c r="I70">
        <v>3.5363224170258079</v>
      </c>
      <c r="J70">
        <v>1.2731836301252419</v>
      </c>
      <c r="K70">
        <f t="shared" si="0"/>
        <v>7.0726448340516157</v>
      </c>
      <c r="L70">
        <v>23.743016759776534</v>
      </c>
      <c r="M70">
        <v>50</v>
      </c>
    </row>
    <row r="71" spans="1:13" ht="14.5" x14ac:dyDescent="0.35">
      <c r="A71">
        <v>50</v>
      </c>
      <c r="B71">
        <v>970</v>
      </c>
      <c r="C71">
        <v>12.7</v>
      </c>
      <c r="D71">
        <v>25.3</v>
      </c>
      <c r="E71">
        <v>244.3</v>
      </c>
      <c r="G71">
        <v>44</v>
      </c>
      <c r="H71">
        <v>56.163547394214355</v>
      </c>
      <c r="I71">
        <v>-2.6635473942143548</v>
      </c>
      <c r="J71">
        <v>-0.95895807578218129</v>
      </c>
      <c r="K71">
        <f t="shared" si="0"/>
        <v>4.9785932602137475</v>
      </c>
      <c r="L71">
        <v>24.30167597765363</v>
      </c>
      <c r="M71">
        <v>50</v>
      </c>
    </row>
    <row r="72" spans="1:13" ht="14.5" x14ac:dyDescent="0.35">
      <c r="A72">
        <v>58.4</v>
      </c>
      <c r="B72">
        <v>41482</v>
      </c>
      <c r="C72">
        <v>7.3</v>
      </c>
      <c r="D72">
        <v>27.9</v>
      </c>
      <c r="E72">
        <v>201.6</v>
      </c>
      <c r="G72">
        <v>45</v>
      </c>
      <c r="H72">
        <v>57.19727178339086</v>
      </c>
      <c r="I72">
        <v>0.80272821660913962</v>
      </c>
      <c r="J72">
        <v>0.28900657358215287</v>
      </c>
      <c r="K72">
        <f t="shared" si="0"/>
        <v>1.3840141665674821</v>
      </c>
      <c r="L72">
        <v>24.860335195530723</v>
      </c>
      <c r="M72">
        <v>50</v>
      </c>
    </row>
    <row r="73" spans="1:13" ht="14.5" x14ac:dyDescent="0.35">
      <c r="A73">
        <v>55.5</v>
      </c>
      <c r="B73">
        <v>8342</v>
      </c>
      <c r="C73">
        <v>11.2</v>
      </c>
      <c r="D73">
        <v>19.7</v>
      </c>
      <c r="E73">
        <v>55.3</v>
      </c>
      <c r="G73">
        <v>46</v>
      </c>
      <c r="H73">
        <v>59.315878218998733</v>
      </c>
      <c r="I73">
        <v>2.6841217810012665</v>
      </c>
      <c r="J73">
        <v>0.96636548081144102</v>
      </c>
      <c r="K73">
        <f t="shared" si="0"/>
        <v>4.3292286790343004</v>
      </c>
      <c r="L73">
        <v>25.41899441340782</v>
      </c>
      <c r="M73">
        <v>50</v>
      </c>
    </row>
    <row r="74" spans="1:13" ht="14.5" x14ac:dyDescent="0.35">
      <c r="A74">
        <v>50</v>
      </c>
      <c r="B74">
        <v>8746</v>
      </c>
      <c r="C74">
        <v>12.5</v>
      </c>
      <c r="D74">
        <v>25.2</v>
      </c>
      <c r="E74">
        <v>280.3</v>
      </c>
      <c r="G74">
        <v>47</v>
      </c>
      <c r="H74">
        <v>52.852842751077247</v>
      </c>
      <c r="I74">
        <v>-1.3528427510772474</v>
      </c>
      <c r="J74">
        <v>-0.48706453815197437</v>
      </c>
      <c r="K74">
        <f t="shared" si="0"/>
        <v>2.626879128305335</v>
      </c>
      <c r="L74">
        <v>25.977653631284912</v>
      </c>
      <c r="M74">
        <v>50</v>
      </c>
    </row>
    <row r="75" spans="1:13" ht="14.5" x14ac:dyDescent="0.35">
      <c r="A75">
        <v>59.7</v>
      </c>
      <c r="B75">
        <v>2743</v>
      </c>
      <c r="C75">
        <v>9.1999999999999993</v>
      </c>
      <c r="D75">
        <v>24.9</v>
      </c>
      <c r="E75">
        <v>50</v>
      </c>
      <c r="G75">
        <v>48</v>
      </c>
      <c r="H75">
        <v>56.868895183746304</v>
      </c>
      <c r="I75">
        <v>2.0311048162536949</v>
      </c>
      <c r="J75">
        <v>0.7312595114835847</v>
      </c>
      <c r="K75">
        <f t="shared" si="0"/>
        <v>3.4483952737753731</v>
      </c>
      <c r="L75">
        <v>26.536312849162009</v>
      </c>
      <c r="M75">
        <v>50</v>
      </c>
    </row>
    <row r="76" spans="1:13" ht="14.5" x14ac:dyDescent="0.35">
      <c r="A76">
        <v>52.3</v>
      </c>
      <c r="B76">
        <v>8140</v>
      </c>
      <c r="C76">
        <v>9.1</v>
      </c>
      <c r="D76">
        <v>22.2</v>
      </c>
      <c r="E76">
        <v>108.9</v>
      </c>
      <c r="G76">
        <v>49</v>
      </c>
      <c r="H76">
        <v>54.455464831705868</v>
      </c>
      <c r="I76">
        <v>1.0445351682941322</v>
      </c>
      <c r="J76">
        <v>0.37606443093520064</v>
      </c>
      <c r="K76">
        <f t="shared" si="0"/>
        <v>1.8820453482777155</v>
      </c>
      <c r="L76">
        <v>27.094972067039102</v>
      </c>
      <c r="M76">
        <v>50</v>
      </c>
    </row>
    <row r="77" spans="1:13" ht="14.5" x14ac:dyDescent="0.35">
      <c r="A77">
        <v>50.5</v>
      </c>
      <c r="B77">
        <v>12490</v>
      </c>
      <c r="C77">
        <v>5</v>
      </c>
      <c r="D77">
        <v>26.5</v>
      </c>
      <c r="E77">
        <v>107.6</v>
      </c>
      <c r="G77">
        <v>50</v>
      </c>
      <c r="H77">
        <v>53.142187572840143</v>
      </c>
      <c r="I77">
        <v>-2.6421875728401432</v>
      </c>
      <c r="J77">
        <v>-0.95126789041188975</v>
      </c>
      <c r="K77">
        <f t="shared" si="0"/>
        <v>5.232054599683452</v>
      </c>
      <c r="L77">
        <v>27.653631284916198</v>
      </c>
      <c r="M77">
        <v>50</v>
      </c>
    </row>
    <row r="78" spans="1:13" ht="14.5" x14ac:dyDescent="0.35">
      <c r="A78">
        <v>50</v>
      </c>
      <c r="B78">
        <v>631</v>
      </c>
      <c r="C78">
        <v>6.3</v>
      </c>
      <c r="D78">
        <v>21.4</v>
      </c>
      <c r="E78">
        <v>307.2</v>
      </c>
      <c r="G78">
        <v>51</v>
      </c>
      <c r="H78">
        <v>55.82966992017171</v>
      </c>
      <c r="I78">
        <v>-1.729669920171709</v>
      </c>
      <c r="J78">
        <v>-0.62273378051732731</v>
      </c>
      <c r="K78">
        <f t="shared" si="0"/>
        <v>3.1971717563247855</v>
      </c>
      <c r="L78">
        <v>28.212290502793294</v>
      </c>
      <c r="M78">
        <v>50</v>
      </c>
    </row>
    <row r="79" spans="1:13" ht="14.5" x14ac:dyDescent="0.35">
      <c r="A79">
        <v>50</v>
      </c>
      <c r="B79">
        <v>4109</v>
      </c>
      <c r="C79">
        <v>7.7</v>
      </c>
      <c r="D79">
        <v>24.3</v>
      </c>
      <c r="E79">
        <v>199.1</v>
      </c>
      <c r="G79">
        <v>52</v>
      </c>
      <c r="H79">
        <v>55.220515163353227</v>
      </c>
      <c r="I79">
        <v>1.5794848366467704</v>
      </c>
      <c r="J79">
        <v>0.56866258245225887</v>
      </c>
      <c r="K79">
        <f t="shared" si="0"/>
        <v>2.7807831631105113</v>
      </c>
      <c r="L79">
        <v>28.770949720670387</v>
      </c>
      <c r="M79">
        <v>50</v>
      </c>
    </row>
    <row r="80" spans="1:13" ht="14.5" x14ac:dyDescent="0.35">
      <c r="A80">
        <v>59.4</v>
      </c>
      <c r="B80">
        <v>1257</v>
      </c>
      <c r="C80">
        <v>7.2</v>
      </c>
      <c r="D80">
        <v>18.100000000000001</v>
      </c>
      <c r="E80">
        <v>50</v>
      </c>
      <c r="G80">
        <v>53</v>
      </c>
      <c r="H80">
        <v>55.079230877695814</v>
      </c>
      <c r="I80">
        <v>-3.5792308776958137</v>
      </c>
      <c r="J80">
        <v>-1.2886319810606384</v>
      </c>
      <c r="K80">
        <f t="shared" si="0"/>
        <v>6.9499628693122597</v>
      </c>
      <c r="L80">
        <v>29.329608938547484</v>
      </c>
      <c r="M80">
        <v>50</v>
      </c>
    </row>
    <row r="81" spans="1:13" ht="14.5" x14ac:dyDescent="0.35">
      <c r="A81">
        <v>50</v>
      </c>
      <c r="B81">
        <v>2052</v>
      </c>
      <c r="C81">
        <v>9.6999999999999993</v>
      </c>
      <c r="D81">
        <v>25.9</v>
      </c>
      <c r="E81">
        <v>396.3</v>
      </c>
      <c r="G81">
        <v>54</v>
      </c>
      <c r="H81">
        <v>57.11365509093136</v>
      </c>
      <c r="I81">
        <v>5.8863449090686402</v>
      </c>
      <c r="J81">
        <v>2.1192632050219968</v>
      </c>
      <c r="K81">
        <f t="shared" si="0"/>
        <v>9.34340461756927</v>
      </c>
      <c r="L81">
        <v>29.888268156424576</v>
      </c>
      <c r="M81">
        <v>50</v>
      </c>
    </row>
    <row r="82" spans="1:13" ht="14.5" x14ac:dyDescent="0.35">
      <c r="A82">
        <v>50</v>
      </c>
      <c r="B82">
        <v>711</v>
      </c>
      <c r="C82">
        <v>3.2</v>
      </c>
      <c r="D82">
        <v>25.6</v>
      </c>
      <c r="E82">
        <v>89.5</v>
      </c>
      <c r="G82">
        <v>55</v>
      </c>
      <c r="H82">
        <v>54.820117404734518</v>
      </c>
      <c r="I82">
        <v>-1.8201174047345177</v>
      </c>
      <c r="J82">
        <v>-0.65529762599050811</v>
      </c>
      <c r="K82">
        <f t="shared" si="0"/>
        <v>3.434183782517958</v>
      </c>
      <c r="L82">
        <v>30.446927374301673</v>
      </c>
      <c r="M82">
        <v>50</v>
      </c>
    </row>
    <row r="83" spans="1:13" ht="14.5" x14ac:dyDescent="0.35">
      <c r="A83">
        <v>61.6</v>
      </c>
      <c r="B83">
        <v>589</v>
      </c>
      <c r="C83">
        <v>13.1</v>
      </c>
      <c r="D83">
        <v>27.6</v>
      </c>
      <c r="E83">
        <v>149.4</v>
      </c>
      <c r="G83">
        <v>56</v>
      </c>
      <c r="H83">
        <v>49.704568694798077</v>
      </c>
      <c r="I83">
        <v>0.29543130520192307</v>
      </c>
      <c r="J83">
        <v>0.1063642556455501</v>
      </c>
      <c r="K83">
        <f t="shared" si="0"/>
        <v>0.59086261040384613</v>
      </c>
      <c r="L83">
        <v>31.005586592178769</v>
      </c>
      <c r="M83">
        <v>50</v>
      </c>
    </row>
    <row r="84" spans="1:13" ht="14.5" x14ac:dyDescent="0.35">
      <c r="A84">
        <v>62.3</v>
      </c>
      <c r="B84">
        <v>819</v>
      </c>
      <c r="C84">
        <v>12.6</v>
      </c>
      <c r="D84">
        <v>26.6</v>
      </c>
      <c r="E84">
        <v>67</v>
      </c>
      <c r="G84">
        <v>57</v>
      </c>
      <c r="H84">
        <v>56.606242969094104</v>
      </c>
      <c r="I84">
        <v>0.79375703090589411</v>
      </c>
      <c r="J84">
        <v>0.28577667386339589</v>
      </c>
      <c r="K84">
        <f t="shared" si="0"/>
        <v>1.3828519702193278</v>
      </c>
      <c r="L84">
        <v>31.564245810055862</v>
      </c>
      <c r="M84">
        <v>50</v>
      </c>
    </row>
    <row r="85" spans="1:13" ht="14.5" x14ac:dyDescent="0.35">
      <c r="A85">
        <v>64.900000000000006</v>
      </c>
      <c r="B85">
        <v>375</v>
      </c>
      <c r="C85">
        <v>10.8</v>
      </c>
      <c r="D85">
        <v>30.7</v>
      </c>
      <c r="E85">
        <v>50</v>
      </c>
      <c r="G85">
        <v>58</v>
      </c>
      <c r="H85">
        <v>56.770506278056288</v>
      </c>
      <c r="I85">
        <v>-4.0705062780562855</v>
      </c>
      <c r="J85">
        <v>-1.4655060677136971</v>
      </c>
      <c r="K85">
        <f t="shared" si="0"/>
        <v>7.7239208312263479</v>
      </c>
      <c r="L85">
        <v>32.122905027932958</v>
      </c>
      <c r="M85">
        <v>50</v>
      </c>
    </row>
    <row r="86" spans="1:13" ht="14.5" x14ac:dyDescent="0.35">
      <c r="A86">
        <v>50</v>
      </c>
      <c r="B86">
        <v>1436</v>
      </c>
      <c r="C86">
        <v>6.2</v>
      </c>
      <c r="D86">
        <v>22.4</v>
      </c>
      <c r="E86">
        <v>153.9</v>
      </c>
      <c r="G86">
        <v>59</v>
      </c>
      <c r="H86">
        <v>52.869337117458414</v>
      </c>
      <c r="I86">
        <v>-2.8693371174584144</v>
      </c>
      <c r="J86">
        <v>-1.0330486354044852</v>
      </c>
      <c r="K86">
        <f t="shared" si="0"/>
        <v>5.7386742349168287</v>
      </c>
      <c r="L86">
        <v>32.681564245810051</v>
      </c>
      <c r="M86">
        <v>50</v>
      </c>
    </row>
    <row r="87" spans="1:13" ht="14.5" x14ac:dyDescent="0.35">
      <c r="A87">
        <v>54.9</v>
      </c>
      <c r="B87">
        <v>2765</v>
      </c>
      <c r="C87">
        <v>7.3</v>
      </c>
      <c r="D87">
        <v>22.3</v>
      </c>
      <c r="E87">
        <v>103.9</v>
      </c>
      <c r="G87">
        <v>60</v>
      </c>
      <c r="H87">
        <v>51.980532697954295</v>
      </c>
      <c r="I87">
        <v>-1.9805326979542954</v>
      </c>
      <c r="J87">
        <v>-0.71305201070550084</v>
      </c>
      <c r="K87">
        <f t="shared" si="0"/>
        <v>3.9610653959085909</v>
      </c>
      <c r="L87">
        <v>33.240223463687151</v>
      </c>
      <c r="M87">
        <v>50</v>
      </c>
    </row>
    <row r="88" spans="1:13" ht="14.5" x14ac:dyDescent="0.35">
      <c r="A88">
        <v>60.9</v>
      </c>
      <c r="B88">
        <v>688</v>
      </c>
      <c r="C88">
        <v>8.3000000000000007</v>
      </c>
      <c r="D88">
        <v>27.3</v>
      </c>
      <c r="E88">
        <v>50</v>
      </c>
      <c r="G88">
        <v>61</v>
      </c>
      <c r="H88">
        <v>54.035048148926272</v>
      </c>
      <c r="I88">
        <v>-3.6350481489262734</v>
      </c>
      <c r="J88">
        <v>-1.3087278964293085</v>
      </c>
      <c r="K88">
        <f t="shared" si="0"/>
        <v>7.2123971208854636</v>
      </c>
      <c r="L88">
        <v>33.798882681564244</v>
      </c>
      <c r="M88">
        <v>50</v>
      </c>
    </row>
    <row r="89" spans="1:13" ht="14.5" x14ac:dyDescent="0.35">
      <c r="A89">
        <v>55.3</v>
      </c>
      <c r="B89">
        <v>7016</v>
      </c>
      <c r="C89">
        <v>5.7</v>
      </c>
      <c r="D89">
        <v>19.600000000000001</v>
      </c>
      <c r="E89">
        <v>50</v>
      </c>
      <c r="G89">
        <v>62</v>
      </c>
      <c r="H89">
        <v>53.031784208012404</v>
      </c>
      <c r="I89">
        <v>-1.3317842080124009</v>
      </c>
      <c r="J89">
        <v>-0.47948282213666843</v>
      </c>
      <c r="K89">
        <f t="shared" si="0"/>
        <v>2.5759849284572551</v>
      </c>
      <c r="L89">
        <v>34.357541899441337</v>
      </c>
      <c r="M89">
        <v>50</v>
      </c>
    </row>
    <row r="90" spans="1:13" ht="14.5" x14ac:dyDescent="0.35">
      <c r="A90">
        <v>50</v>
      </c>
      <c r="B90">
        <v>768</v>
      </c>
      <c r="C90">
        <v>9.9</v>
      </c>
      <c r="D90">
        <v>20</v>
      </c>
      <c r="E90">
        <v>144.69999999999999</v>
      </c>
      <c r="G90">
        <v>63</v>
      </c>
      <c r="H90">
        <v>55.889081044881678</v>
      </c>
      <c r="I90">
        <v>-1.2890810448816765</v>
      </c>
      <c r="J90">
        <v>-0.46410838455969755</v>
      </c>
      <c r="K90">
        <f t="shared" si="0"/>
        <v>2.3609542946550852</v>
      </c>
      <c r="L90">
        <v>34.91620111731843</v>
      </c>
      <c r="M90">
        <v>50</v>
      </c>
    </row>
    <row r="91" spans="1:13" ht="14.5" x14ac:dyDescent="0.35">
      <c r="A91">
        <v>50</v>
      </c>
      <c r="B91">
        <v>3201</v>
      </c>
      <c r="C91">
        <v>5.4</v>
      </c>
      <c r="D91">
        <v>23.8</v>
      </c>
      <c r="E91">
        <v>230.5</v>
      </c>
      <c r="G91">
        <v>64</v>
      </c>
      <c r="H91">
        <v>55.054544244055684</v>
      </c>
      <c r="I91">
        <v>-1.9545442440556826</v>
      </c>
      <c r="J91">
        <v>-0.70369537684296779</v>
      </c>
      <c r="K91">
        <f t="shared" si="0"/>
        <v>3.680874282590739</v>
      </c>
      <c r="L91">
        <v>35.47486033519553</v>
      </c>
      <c r="M91">
        <v>50</v>
      </c>
    </row>
    <row r="92" spans="1:13" ht="14.5" x14ac:dyDescent="0.35">
      <c r="A92">
        <v>59</v>
      </c>
      <c r="B92">
        <v>548</v>
      </c>
      <c r="C92">
        <v>9.6</v>
      </c>
      <c r="D92">
        <v>29.3</v>
      </c>
      <c r="E92">
        <v>50</v>
      </c>
      <c r="G92">
        <v>65</v>
      </c>
      <c r="H92">
        <v>53.183764631746286</v>
      </c>
      <c r="I92">
        <v>-3.1837646317462855</v>
      </c>
      <c r="J92">
        <v>-1.1462521041054463</v>
      </c>
      <c r="K92">
        <f t="shared" si="0"/>
        <v>6.367529263492572</v>
      </c>
      <c r="L92">
        <v>36.033519553072622</v>
      </c>
      <c r="M92">
        <v>50</v>
      </c>
    </row>
    <row r="93" spans="1:13" ht="14.5" x14ac:dyDescent="0.35">
      <c r="A93">
        <v>50.3</v>
      </c>
      <c r="B93">
        <v>2198</v>
      </c>
      <c r="C93">
        <v>9.1</v>
      </c>
      <c r="D93">
        <v>23.2</v>
      </c>
      <c r="E93">
        <v>156.9</v>
      </c>
      <c r="G93">
        <v>66</v>
      </c>
      <c r="H93">
        <v>48.787685121063248</v>
      </c>
      <c r="I93">
        <v>1.2123148789367519</v>
      </c>
      <c r="J93">
        <v>0.4364702299168986</v>
      </c>
      <c r="K93">
        <f t="shared" ref="K93:K156" si="1">ABS(I93/A67)*100</f>
        <v>2.4246297578735039</v>
      </c>
      <c r="L93">
        <v>36.592178770949715</v>
      </c>
      <c r="M93">
        <v>50</v>
      </c>
    </row>
    <row r="94" spans="1:13" ht="14.5" x14ac:dyDescent="0.35">
      <c r="A94">
        <v>53.6</v>
      </c>
      <c r="B94">
        <v>4366</v>
      </c>
      <c r="C94">
        <v>9</v>
      </c>
      <c r="D94">
        <v>23.8</v>
      </c>
      <c r="E94">
        <v>111</v>
      </c>
      <c r="G94">
        <v>67</v>
      </c>
      <c r="H94">
        <v>60.607434831590304</v>
      </c>
      <c r="I94">
        <v>0.89256516840969624</v>
      </c>
      <c r="J94">
        <v>0.32135060869109422</v>
      </c>
      <c r="K94">
        <f t="shared" si="1"/>
        <v>1.451325477088937</v>
      </c>
      <c r="L94">
        <v>37.150837988826815</v>
      </c>
      <c r="M94">
        <v>50</v>
      </c>
    </row>
    <row r="95" spans="1:13" ht="14.5" x14ac:dyDescent="0.35">
      <c r="A95">
        <v>50</v>
      </c>
      <c r="B95">
        <v>1585</v>
      </c>
      <c r="C95">
        <v>8.9</v>
      </c>
      <c r="D95">
        <v>31.2</v>
      </c>
      <c r="E95">
        <v>219.7</v>
      </c>
      <c r="G95">
        <v>68</v>
      </c>
      <c r="H95">
        <v>56.732989477965951</v>
      </c>
      <c r="I95">
        <v>-0.63298947796594973</v>
      </c>
      <c r="J95">
        <v>-0.2278954649348898</v>
      </c>
      <c r="K95">
        <f t="shared" si="1"/>
        <v>1.1283234901353829</v>
      </c>
      <c r="L95">
        <v>37.709497206703908</v>
      </c>
      <c r="M95">
        <v>50</v>
      </c>
    </row>
    <row r="96" spans="1:13" ht="14.5" x14ac:dyDescent="0.35">
      <c r="A96">
        <v>50</v>
      </c>
      <c r="B96">
        <v>1616</v>
      </c>
      <c r="C96">
        <v>1.9</v>
      </c>
      <c r="D96">
        <v>22</v>
      </c>
      <c r="E96">
        <v>50</v>
      </c>
      <c r="G96">
        <v>69</v>
      </c>
      <c r="H96">
        <v>58.581597108080757</v>
      </c>
      <c r="I96">
        <v>6.21840289191924</v>
      </c>
      <c r="J96">
        <v>2.23881417864995</v>
      </c>
      <c r="K96">
        <f t="shared" si="1"/>
        <v>9.5963007591346301</v>
      </c>
      <c r="L96">
        <v>38.268156424581001</v>
      </c>
      <c r="M96">
        <v>50</v>
      </c>
    </row>
    <row r="97" spans="1:13" ht="14.5" x14ac:dyDescent="0.35">
      <c r="A97">
        <v>50</v>
      </c>
      <c r="B97">
        <v>36852</v>
      </c>
      <c r="C97">
        <v>9</v>
      </c>
      <c r="D97">
        <v>24.3</v>
      </c>
      <c r="E97">
        <v>216.4</v>
      </c>
      <c r="G97">
        <v>70</v>
      </c>
      <c r="H97">
        <v>53.262758337364055</v>
      </c>
      <c r="I97">
        <v>-3.2627583373640547</v>
      </c>
      <c r="J97">
        <v>-1.1746922407828204</v>
      </c>
      <c r="K97">
        <f t="shared" si="1"/>
        <v>6.5255166747281104</v>
      </c>
      <c r="L97">
        <v>38.826815642458094</v>
      </c>
      <c r="M97">
        <v>50</v>
      </c>
    </row>
    <row r="98" spans="1:13" ht="14.5" x14ac:dyDescent="0.35">
      <c r="A98">
        <v>50</v>
      </c>
      <c r="B98">
        <v>9474</v>
      </c>
      <c r="C98">
        <v>3.6</v>
      </c>
      <c r="D98">
        <v>28.4</v>
      </c>
      <c r="E98">
        <v>177.1</v>
      </c>
      <c r="G98">
        <v>71</v>
      </c>
      <c r="H98">
        <v>55.543440590738953</v>
      </c>
      <c r="I98">
        <v>2.8565594092610453</v>
      </c>
      <c r="J98">
        <v>1.0284482718095023</v>
      </c>
      <c r="K98">
        <f t="shared" si="1"/>
        <v>4.8913688514743932</v>
      </c>
      <c r="L98">
        <v>39.385474860335194</v>
      </c>
      <c r="M98">
        <v>50</v>
      </c>
    </row>
    <row r="99" spans="1:13" ht="14.5" x14ac:dyDescent="0.35">
      <c r="A99">
        <v>63.4</v>
      </c>
      <c r="B99">
        <v>60000</v>
      </c>
      <c r="C99">
        <v>8.5</v>
      </c>
      <c r="D99">
        <v>25.7</v>
      </c>
      <c r="E99">
        <v>113.3</v>
      </c>
      <c r="G99">
        <v>72</v>
      </c>
      <c r="H99">
        <v>58.759169509703192</v>
      </c>
      <c r="I99">
        <v>-3.2591695097031916</v>
      </c>
      <c r="J99">
        <v>-1.1734001536679259</v>
      </c>
      <c r="K99">
        <f t="shared" si="1"/>
        <v>5.8723774949607055</v>
      </c>
      <c r="L99">
        <v>39.944134078212286</v>
      </c>
      <c r="M99">
        <v>50.3</v>
      </c>
    </row>
    <row r="100" spans="1:13" ht="14.5" x14ac:dyDescent="0.35">
      <c r="A100">
        <v>50</v>
      </c>
      <c r="B100">
        <v>825</v>
      </c>
      <c r="C100">
        <v>8.1999999999999993</v>
      </c>
      <c r="D100">
        <v>23.6</v>
      </c>
      <c r="E100">
        <v>188.3</v>
      </c>
      <c r="G100">
        <v>73</v>
      </c>
      <c r="H100">
        <v>52.32123968468516</v>
      </c>
      <c r="I100">
        <v>-2.3212396846851604</v>
      </c>
      <c r="J100">
        <v>-0.8357168887965275</v>
      </c>
      <c r="K100">
        <f t="shared" si="1"/>
        <v>4.6424793693703208</v>
      </c>
      <c r="L100">
        <v>40.502793296089379</v>
      </c>
      <c r="M100">
        <v>50.3</v>
      </c>
    </row>
    <row r="101" spans="1:13" ht="14.5" x14ac:dyDescent="0.35">
      <c r="A101">
        <v>52.5</v>
      </c>
      <c r="B101">
        <v>1387</v>
      </c>
      <c r="C101">
        <v>7.2</v>
      </c>
      <c r="D101">
        <v>22.1</v>
      </c>
      <c r="E101">
        <v>114.5</v>
      </c>
      <c r="G101">
        <v>74</v>
      </c>
      <c r="H101">
        <v>58.629772374390917</v>
      </c>
      <c r="I101">
        <v>1.0702276256090855</v>
      </c>
      <c r="J101">
        <v>0.38531449702464998</v>
      </c>
      <c r="K101">
        <f t="shared" si="1"/>
        <v>1.792676089797463</v>
      </c>
      <c r="L101">
        <v>41.061452513966479</v>
      </c>
      <c r="M101">
        <v>50.4</v>
      </c>
    </row>
    <row r="102" spans="1:13" ht="14.5" x14ac:dyDescent="0.35">
      <c r="A102">
        <v>57.6</v>
      </c>
      <c r="B102">
        <v>748</v>
      </c>
      <c r="C102">
        <v>10.6</v>
      </c>
      <c r="D102">
        <v>29.1</v>
      </c>
      <c r="E102">
        <v>183.1</v>
      </c>
      <c r="G102">
        <v>75</v>
      </c>
      <c r="H102">
        <v>55.739545160367129</v>
      </c>
      <c r="I102">
        <v>-3.4395451603671319</v>
      </c>
      <c r="J102">
        <v>-1.238340874172609</v>
      </c>
      <c r="K102">
        <f t="shared" si="1"/>
        <v>6.5765681842583783</v>
      </c>
      <c r="L102">
        <v>41.620111731843572</v>
      </c>
      <c r="M102">
        <v>50.4</v>
      </c>
    </row>
    <row r="103" spans="1:13" ht="14.5" x14ac:dyDescent="0.35">
      <c r="A103">
        <v>50</v>
      </c>
      <c r="B103">
        <v>461</v>
      </c>
      <c r="C103">
        <v>2.7</v>
      </c>
      <c r="D103">
        <v>29.5</v>
      </c>
      <c r="E103">
        <v>202.3</v>
      </c>
      <c r="G103">
        <v>76</v>
      </c>
      <c r="H103">
        <v>54.471260686424074</v>
      </c>
      <c r="I103">
        <v>-3.971260686424074</v>
      </c>
      <c r="J103">
        <v>-1.429774636094264</v>
      </c>
      <c r="K103">
        <f t="shared" si="1"/>
        <v>7.8638825473744038</v>
      </c>
      <c r="L103">
        <v>42.178770949720665</v>
      </c>
      <c r="M103">
        <v>50.5</v>
      </c>
    </row>
    <row r="104" spans="1:13" ht="14.5" x14ac:dyDescent="0.35">
      <c r="A104">
        <v>60.2</v>
      </c>
      <c r="B104">
        <v>551</v>
      </c>
      <c r="C104">
        <v>15</v>
      </c>
      <c r="D104">
        <v>25.4</v>
      </c>
      <c r="E104">
        <v>158.80000000000001</v>
      </c>
      <c r="G104">
        <v>77</v>
      </c>
      <c r="H104">
        <v>44.436224919282083</v>
      </c>
      <c r="I104">
        <v>5.5637750807179174</v>
      </c>
      <c r="J104">
        <v>2.0031282556035959</v>
      </c>
      <c r="K104">
        <f t="shared" si="1"/>
        <v>11.127550161435835</v>
      </c>
      <c r="L104">
        <v>42.737430167597765</v>
      </c>
      <c r="M104">
        <v>50.5</v>
      </c>
    </row>
    <row r="105" spans="1:13" ht="14.5" x14ac:dyDescent="0.35">
      <c r="A105">
        <v>50</v>
      </c>
      <c r="B105">
        <v>4171</v>
      </c>
      <c r="C105">
        <v>5.6</v>
      </c>
      <c r="D105">
        <v>26.4</v>
      </c>
      <c r="E105">
        <v>300.60000000000002</v>
      </c>
      <c r="G105">
        <v>78</v>
      </c>
      <c r="H105">
        <v>51.255096891406417</v>
      </c>
      <c r="I105">
        <v>-1.2550968914064171</v>
      </c>
      <c r="J105">
        <v>-0.45187305565415214</v>
      </c>
      <c r="K105">
        <f t="shared" si="1"/>
        <v>2.5101937828128342</v>
      </c>
      <c r="L105">
        <v>43.296089385474858</v>
      </c>
      <c r="M105">
        <v>50.5</v>
      </c>
    </row>
    <row r="106" spans="1:13" ht="14.5" x14ac:dyDescent="0.35">
      <c r="A106">
        <v>50</v>
      </c>
      <c r="B106">
        <v>1385</v>
      </c>
      <c r="C106">
        <v>5</v>
      </c>
      <c r="D106">
        <v>24.6</v>
      </c>
      <c r="E106">
        <v>154.5</v>
      </c>
      <c r="G106">
        <v>79</v>
      </c>
      <c r="H106">
        <v>54.713894277059168</v>
      </c>
      <c r="I106">
        <v>4.6861057229408303</v>
      </c>
      <c r="J106">
        <v>1.6871405918079034</v>
      </c>
      <c r="K106">
        <f t="shared" si="1"/>
        <v>7.8890668736377627</v>
      </c>
      <c r="L106">
        <v>43.85474860335195</v>
      </c>
      <c r="M106">
        <v>50.6</v>
      </c>
    </row>
    <row r="107" spans="1:13" ht="14.5" x14ac:dyDescent="0.35">
      <c r="A107">
        <v>56.6</v>
      </c>
      <c r="B107">
        <v>29564</v>
      </c>
      <c r="C107">
        <v>7.5</v>
      </c>
      <c r="D107">
        <v>23.7</v>
      </c>
      <c r="E107">
        <v>69</v>
      </c>
      <c r="G107">
        <v>80</v>
      </c>
      <c r="H107">
        <v>44.985530780085597</v>
      </c>
      <c r="I107">
        <v>5.0144692199144032</v>
      </c>
      <c r="J107">
        <v>1.8053614381494665</v>
      </c>
      <c r="K107">
        <f t="shared" si="1"/>
        <v>10.028938439828806</v>
      </c>
      <c r="L107">
        <v>44.413407821229043</v>
      </c>
      <c r="M107">
        <v>50.6</v>
      </c>
    </row>
    <row r="108" spans="1:13" ht="14.5" x14ac:dyDescent="0.35">
      <c r="A108">
        <v>52.1</v>
      </c>
      <c r="B108">
        <v>3328</v>
      </c>
      <c r="C108">
        <v>4.0999999999999996</v>
      </c>
      <c r="D108">
        <v>21.1</v>
      </c>
      <c r="E108">
        <v>123.1</v>
      </c>
      <c r="G108">
        <v>81</v>
      </c>
      <c r="H108">
        <v>52.432807758058004</v>
      </c>
      <c r="I108">
        <v>-2.4328077580580043</v>
      </c>
      <c r="J108">
        <v>-0.87588478864045172</v>
      </c>
      <c r="K108">
        <f t="shared" si="1"/>
        <v>4.8656155161160086</v>
      </c>
      <c r="L108">
        <v>44.972067039106143</v>
      </c>
      <c r="M108">
        <v>50.7</v>
      </c>
    </row>
    <row r="109" spans="1:13" ht="14.5" x14ac:dyDescent="0.35">
      <c r="A109">
        <v>56.9</v>
      </c>
      <c r="B109">
        <v>313</v>
      </c>
      <c r="C109">
        <v>7.3</v>
      </c>
      <c r="D109">
        <v>24.2</v>
      </c>
      <c r="E109">
        <v>50</v>
      </c>
      <c r="G109">
        <v>82</v>
      </c>
      <c r="H109">
        <v>58.208714930962174</v>
      </c>
      <c r="I109">
        <v>3.3912850690378278</v>
      </c>
      <c r="J109">
        <v>1.2209657734258574</v>
      </c>
      <c r="K109">
        <f t="shared" si="1"/>
        <v>5.5053329042821879</v>
      </c>
      <c r="L109">
        <v>45.530726256983236</v>
      </c>
      <c r="M109">
        <v>50.9</v>
      </c>
    </row>
    <row r="110" spans="1:13" ht="14.5" x14ac:dyDescent="0.35">
      <c r="A110">
        <v>57.9</v>
      </c>
      <c r="B110">
        <v>8470</v>
      </c>
      <c r="C110">
        <v>13.5</v>
      </c>
      <c r="D110">
        <v>28.4</v>
      </c>
      <c r="E110">
        <v>128.5</v>
      </c>
      <c r="G110">
        <v>83</v>
      </c>
      <c r="H110">
        <v>60.917800601182336</v>
      </c>
      <c r="I110">
        <v>1.3821993988176615</v>
      </c>
      <c r="J110">
        <v>0.49763382424379049</v>
      </c>
      <c r="K110">
        <f t="shared" si="1"/>
        <v>2.2186186176848501</v>
      </c>
      <c r="L110">
        <v>46.089385474860329</v>
      </c>
      <c r="M110">
        <v>50.9</v>
      </c>
    </row>
    <row r="111" spans="1:13" ht="14.5" x14ac:dyDescent="0.35">
      <c r="A111">
        <v>50</v>
      </c>
      <c r="B111">
        <v>3258</v>
      </c>
      <c r="C111">
        <v>8</v>
      </c>
      <c r="D111">
        <v>24.9</v>
      </c>
      <c r="E111">
        <v>165.8</v>
      </c>
      <c r="G111">
        <v>84</v>
      </c>
      <c r="H111">
        <v>61.546833219584613</v>
      </c>
      <c r="I111">
        <v>3.3531667804153926</v>
      </c>
      <c r="J111">
        <v>1.2072420301243938</v>
      </c>
      <c r="K111">
        <f t="shared" si="1"/>
        <v>5.1666668419343491</v>
      </c>
      <c r="L111">
        <v>46.648044692737429</v>
      </c>
      <c r="M111">
        <v>51.3</v>
      </c>
    </row>
    <row r="112" spans="1:13" ht="14.5" x14ac:dyDescent="0.35">
      <c r="A112">
        <v>54.6</v>
      </c>
      <c r="B112">
        <v>1313</v>
      </c>
      <c r="C112">
        <v>7.9</v>
      </c>
      <c r="D112">
        <v>23.4</v>
      </c>
      <c r="E112">
        <v>93</v>
      </c>
      <c r="G112">
        <v>85</v>
      </c>
      <c r="H112">
        <v>51.091713970726431</v>
      </c>
      <c r="I112">
        <v>-1.0917139707264312</v>
      </c>
      <c r="J112">
        <v>-0.39305023479078771</v>
      </c>
      <c r="K112">
        <f t="shared" si="1"/>
        <v>2.1834279414528623</v>
      </c>
      <c r="L112">
        <v>47.206703910614522</v>
      </c>
      <c r="M112">
        <v>51.4</v>
      </c>
    </row>
    <row r="113" spans="1:13" ht="14.5" x14ac:dyDescent="0.35">
      <c r="A113">
        <v>50</v>
      </c>
      <c r="B113">
        <v>28452</v>
      </c>
      <c r="C113">
        <v>1</v>
      </c>
      <c r="D113">
        <v>28.3</v>
      </c>
      <c r="E113">
        <v>249.7</v>
      </c>
      <c r="G113">
        <v>86</v>
      </c>
      <c r="H113">
        <v>54.091796146414531</v>
      </c>
      <c r="I113">
        <v>0.80820385358546787</v>
      </c>
      <c r="J113">
        <v>0.2909779694393872</v>
      </c>
      <c r="K113">
        <f t="shared" si="1"/>
        <v>1.4721381668223459</v>
      </c>
      <c r="L113">
        <v>47.765363128491614</v>
      </c>
      <c r="M113">
        <v>51.5</v>
      </c>
    </row>
    <row r="114" spans="1:13" ht="14.5" x14ac:dyDescent="0.35">
      <c r="A114">
        <v>57</v>
      </c>
      <c r="B114">
        <v>1708</v>
      </c>
      <c r="C114">
        <v>3.8</v>
      </c>
      <c r="D114">
        <v>22.7</v>
      </c>
      <c r="E114">
        <v>61.2</v>
      </c>
      <c r="G114">
        <v>87</v>
      </c>
      <c r="H114">
        <v>58.536538638022755</v>
      </c>
      <c r="I114">
        <v>2.3634613619772438</v>
      </c>
      <c r="J114">
        <v>0.85091797682682146</v>
      </c>
      <c r="K114">
        <f t="shared" si="1"/>
        <v>3.8808889359232248</v>
      </c>
      <c r="L114">
        <v>48.324022346368714</v>
      </c>
      <c r="M114">
        <v>51.5</v>
      </c>
    </row>
    <row r="115" spans="1:13" ht="14.5" x14ac:dyDescent="0.35">
      <c r="A115">
        <v>60.5</v>
      </c>
      <c r="B115">
        <v>20077</v>
      </c>
      <c r="C115">
        <v>10.199999999999999</v>
      </c>
      <c r="D115">
        <v>21.6</v>
      </c>
      <c r="E115">
        <v>108</v>
      </c>
      <c r="G115">
        <v>88</v>
      </c>
      <c r="H115">
        <v>54.597814008194035</v>
      </c>
      <c r="I115">
        <v>0.70218599180596186</v>
      </c>
      <c r="J115">
        <v>0.25280831458306574</v>
      </c>
      <c r="K115">
        <f t="shared" si="1"/>
        <v>1.2697757537178336</v>
      </c>
      <c r="L115">
        <v>48.882681564245807</v>
      </c>
      <c r="M115">
        <v>51.6</v>
      </c>
    </row>
    <row r="116" spans="1:13" ht="14.5" x14ac:dyDescent="0.35">
      <c r="A116">
        <v>50</v>
      </c>
      <c r="B116">
        <v>8686</v>
      </c>
      <c r="C116">
        <v>7.3</v>
      </c>
      <c r="D116">
        <v>23.9</v>
      </c>
      <c r="E116">
        <v>206.9</v>
      </c>
      <c r="G116">
        <v>89</v>
      </c>
      <c r="H116">
        <v>53.458397765045397</v>
      </c>
      <c r="I116">
        <v>-3.4583977650453974</v>
      </c>
      <c r="J116">
        <v>-1.2451283852734145</v>
      </c>
      <c r="K116">
        <f t="shared" si="1"/>
        <v>6.9167955300907957</v>
      </c>
      <c r="L116">
        <v>49.4413407821229</v>
      </c>
      <c r="M116">
        <v>51.6</v>
      </c>
    </row>
    <row r="117" spans="1:13" ht="14.5" x14ac:dyDescent="0.35">
      <c r="A117">
        <v>50</v>
      </c>
      <c r="B117">
        <v>16966</v>
      </c>
      <c r="C117">
        <v>4.8</v>
      </c>
      <c r="D117">
        <v>26.8</v>
      </c>
      <c r="E117">
        <v>197.4</v>
      </c>
      <c r="G117">
        <v>90</v>
      </c>
      <c r="H117">
        <v>47.943257200539698</v>
      </c>
      <c r="I117">
        <v>2.0567427994603023</v>
      </c>
      <c r="J117">
        <v>0.74048996523715716</v>
      </c>
      <c r="K117">
        <f t="shared" si="1"/>
        <v>4.1134855989206045</v>
      </c>
      <c r="L117">
        <v>49.999999999999993</v>
      </c>
      <c r="M117">
        <v>51.6</v>
      </c>
    </row>
    <row r="118" spans="1:13" ht="14.5" x14ac:dyDescent="0.35">
      <c r="A118">
        <v>59.8</v>
      </c>
      <c r="B118">
        <v>456</v>
      </c>
      <c r="C118">
        <v>10.8</v>
      </c>
      <c r="D118">
        <v>24.4</v>
      </c>
      <c r="E118">
        <v>108.2</v>
      </c>
      <c r="G118">
        <v>91</v>
      </c>
      <c r="H118">
        <v>60.180480198076893</v>
      </c>
      <c r="I118">
        <v>-1.1804801980768929</v>
      </c>
      <c r="J118">
        <v>-0.42500877653077823</v>
      </c>
      <c r="K118">
        <f t="shared" si="1"/>
        <v>2.0008138950455812</v>
      </c>
      <c r="L118">
        <v>50.558659217877093</v>
      </c>
      <c r="M118">
        <v>51.7</v>
      </c>
    </row>
    <row r="119" spans="1:13" ht="14.5" x14ac:dyDescent="0.35">
      <c r="A119">
        <v>58.4</v>
      </c>
      <c r="B119">
        <v>360</v>
      </c>
      <c r="C119">
        <v>3.3</v>
      </c>
      <c r="D119">
        <v>26.8</v>
      </c>
      <c r="E119">
        <v>50</v>
      </c>
      <c r="G119">
        <v>92</v>
      </c>
      <c r="H119">
        <v>53.529552688108801</v>
      </c>
      <c r="I119">
        <v>-3.2295526881088037</v>
      </c>
      <c r="J119">
        <v>-1.1627371970752891</v>
      </c>
      <c r="K119">
        <f t="shared" si="1"/>
        <v>6.4205818849081595</v>
      </c>
      <c r="L119">
        <v>51.117318435754186</v>
      </c>
      <c r="M119">
        <v>51.8</v>
      </c>
    </row>
    <row r="120" spans="1:13" ht="14.5" x14ac:dyDescent="0.35">
      <c r="A120">
        <v>63.1</v>
      </c>
      <c r="B120">
        <v>37975</v>
      </c>
      <c r="C120">
        <v>8.6</v>
      </c>
      <c r="D120">
        <v>24.7</v>
      </c>
      <c r="E120">
        <v>106.4</v>
      </c>
      <c r="G120">
        <v>93</v>
      </c>
      <c r="H120">
        <v>55.74865405291834</v>
      </c>
      <c r="I120">
        <v>-2.1486540529183387</v>
      </c>
      <c r="J120">
        <v>-0.77358081203428897</v>
      </c>
      <c r="K120">
        <f t="shared" si="1"/>
        <v>4.0086829345491388</v>
      </c>
      <c r="L120">
        <v>51.675977653631278</v>
      </c>
      <c r="M120">
        <v>52.1</v>
      </c>
    </row>
    <row r="121" spans="1:13" ht="14.5" x14ac:dyDescent="0.35">
      <c r="A121">
        <v>55.9</v>
      </c>
      <c r="B121">
        <v>15599</v>
      </c>
      <c r="C121">
        <v>8.3000000000000007</v>
      </c>
      <c r="D121">
        <v>25.5</v>
      </c>
      <c r="E121">
        <v>120.9</v>
      </c>
      <c r="G121">
        <v>94</v>
      </c>
      <c r="H121">
        <v>53.362664305425639</v>
      </c>
      <c r="I121">
        <v>-3.3626643054256391</v>
      </c>
      <c r="J121">
        <v>-1.2106614280026904</v>
      </c>
      <c r="K121">
        <f t="shared" si="1"/>
        <v>6.7253286108512782</v>
      </c>
      <c r="L121">
        <v>52.234636871508378</v>
      </c>
      <c r="M121">
        <v>52.3</v>
      </c>
    </row>
    <row r="122" spans="1:13" ht="14.5" x14ac:dyDescent="0.35">
      <c r="A122">
        <v>50</v>
      </c>
      <c r="B122">
        <v>300</v>
      </c>
      <c r="C122">
        <v>4</v>
      </c>
      <c r="D122">
        <v>27.2</v>
      </c>
      <c r="E122">
        <v>163.69999999999999</v>
      </c>
      <c r="G122">
        <v>95</v>
      </c>
      <c r="H122">
        <v>51.96379066909784</v>
      </c>
      <c r="I122">
        <v>-1.9637906690978397</v>
      </c>
      <c r="J122">
        <v>-0.70702437109535154</v>
      </c>
      <c r="K122">
        <f t="shared" si="1"/>
        <v>3.9275813381956795</v>
      </c>
      <c r="L122">
        <v>52.793296089385471</v>
      </c>
      <c r="M122">
        <v>52.3</v>
      </c>
    </row>
    <row r="123" spans="1:13" ht="14.5" x14ac:dyDescent="0.35">
      <c r="A123">
        <v>50</v>
      </c>
      <c r="B123">
        <v>5021</v>
      </c>
      <c r="C123">
        <v>6.4</v>
      </c>
      <c r="D123">
        <v>22.7</v>
      </c>
      <c r="E123">
        <v>165.7</v>
      </c>
      <c r="G123">
        <v>96</v>
      </c>
      <c r="H123">
        <v>54.616338698267825</v>
      </c>
      <c r="I123">
        <v>-4.6163386982678247</v>
      </c>
      <c r="J123">
        <v>-1.6620223409073194</v>
      </c>
      <c r="K123">
        <f t="shared" si="1"/>
        <v>9.2326773965356495</v>
      </c>
      <c r="L123">
        <v>53.351955307262564</v>
      </c>
      <c r="M123">
        <v>52.4</v>
      </c>
    </row>
    <row r="124" spans="1:13" ht="14.5" x14ac:dyDescent="0.35">
      <c r="A124">
        <v>55.6</v>
      </c>
      <c r="B124">
        <v>300</v>
      </c>
      <c r="C124">
        <v>11.1</v>
      </c>
      <c r="D124">
        <v>26.4</v>
      </c>
      <c r="E124">
        <v>170.5</v>
      </c>
      <c r="G124">
        <v>97</v>
      </c>
      <c r="H124">
        <v>50.870640199642942</v>
      </c>
      <c r="I124">
        <v>-0.87064019964294204</v>
      </c>
      <c r="J124">
        <v>-0.31345695307009008</v>
      </c>
      <c r="K124">
        <f t="shared" si="1"/>
        <v>1.7412803992858841</v>
      </c>
      <c r="L124">
        <v>53.910614525139657</v>
      </c>
      <c r="M124">
        <v>52.5</v>
      </c>
    </row>
    <row r="125" spans="1:13" ht="14.5" x14ac:dyDescent="0.35">
      <c r="A125">
        <v>50</v>
      </c>
      <c r="B125">
        <v>13651</v>
      </c>
      <c r="C125">
        <v>2.5</v>
      </c>
      <c r="D125">
        <v>21.2</v>
      </c>
      <c r="E125">
        <v>100</v>
      </c>
      <c r="G125">
        <v>98</v>
      </c>
      <c r="H125">
        <v>61.124468200285229</v>
      </c>
      <c r="I125">
        <v>2.2755317997147699</v>
      </c>
      <c r="J125">
        <v>0.8192606599663258</v>
      </c>
      <c r="K125">
        <f t="shared" si="1"/>
        <v>3.5891668765217188</v>
      </c>
      <c r="L125">
        <v>54.469273743016757</v>
      </c>
      <c r="M125">
        <v>52.5</v>
      </c>
    </row>
    <row r="126" spans="1:13" ht="14.5" x14ac:dyDescent="0.35">
      <c r="A126">
        <v>50</v>
      </c>
      <c r="B126">
        <v>1004</v>
      </c>
      <c r="C126">
        <v>8.6</v>
      </c>
      <c r="D126">
        <v>22.7</v>
      </c>
      <c r="E126">
        <v>101.1</v>
      </c>
      <c r="G126">
        <v>99</v>
      </c>
      <c r="H126">
        <v>51.54540863621984</v>
      </c>
      <c r="I126">
        <v>-1.5454086362198396</v>
      </c>
      <c r="J126">
        <v>-0.55639411384443216</v>
      </c>
      <c r="K126">
        <f t="shared" si="1"/>
        <v>3.0908172724396792</v>
      </c>
      <c r="L126">
        <v>55.02793296089385</v>
      </c>
      <c r="M126">
        <v>52.6</v>
      </c>
    </row>
    <row r="127" spans="1:13" ht="14.5" x14ac:dyDescent="0.35">
      <c r="A127">
        <v>61.6</v>
      </c>
      <c r="B127">
        <v>392</v>
      </c>
      <c r="C127">
        <v>5.0999999999999996</v>
      </c>
      <c r="D127">
        <v>28.2</v>
      </c>
      <c r="E127">
        <v>74</v>
      </c>
      <c r="G127">
        <v>100</v>
      </c>
      <c r="H127">
        <v>53.38212383064063</v>
      </c>
      <c r="I127">
        <v>-0.88212383064063005</v>
      </c>
      <c r="J127">
        <v>-0.31759140951282361</v>
      </c>
      <c r="K127">
        <f t="shared" si="1"/>
        <v>1.6802358678869145</v>
      </c>
      <c r="L127">
        <v>55.586592178770942</v>
      </c>
      <c r="M127">
        <v>52.7</v>
      </c>
    </row>
    <row r="128" spans="1:13" ht="14.5" x14ac:dyDescent="0.35">
      <c r="A128">
        <v>52.5</v>
      </c>
      <c r="B128">
        <v>3933</v>
      </c>
      <c r="C128">
        <v>5.4</v>
      </c>
      <c r="D128">
        <v>27.1</v>
      </c>
      <c r="E128">
        <v>103.9</v>
      </c>
      <c r="G128">
        <v>101</v>
      </c>
      <c r="H128">
        <v>55.407725420527221</v>
      </c>
      <c r="I128">
        <v>2.1922745794727803</v>
      </c>
      <c r="J128">
        <v>0.78928552834611987</v>
      </c>
      <c r="K128">
        <f t="shared" si="1"/>
        <v>3.8060322560291322</v>
      </c>
      <c r="L128">
        <v>56.145251396648042</v>
      </c>
      <c r="M128">
        <v>53</v>
      </c>
    </row>
    <row r="129" spans="1:13" ht="14.5" x14ac:dyDescent="0.35">
      <c r="A129">
        <v>59.7</v>
      </c>
      <c r="B129">
        <v>2581</v>
      </c>
      <c r="C129">
        <v>11.4</v>
      </c>
      <c r="D129">
        <v>22.9</v>
      </c>
      <c r="E129">
        <v>147.19999999999999</v>
      </c>
      <c r="G129">
        <v>102</v>
      </c>
      <c r="H129">
        <v>48.655040989038817</v>
      </c>
      <c r="I129">
        <v>1.3449590109611833</v>
      </c>
      <c r="J129">
        <v>0.48422615192010576</v>
      </c>
      <c r="K129">
        <f t="shared" si="1"/>
        <v>2.6899180219223666</v>
      </c>
      <c r="L129">
        <v>56.703910614525135</v>
      </c>
      <c r="M129">
        <v>53</v>
      </c>
    </row>
    <row r="130" spans="1:13" ht="14.5" x14ac:dyDescent="0.35">
      <c r="A130">
        <v>60.1</v>
      </c>
      <c r="B130">
        <v>45192</v>
      </c>
      <c r="C130">
        <v>10.1</v>
      </c>
      <c r="D130">
        <v>23.3</v>
      </c>
      <c r="E130">
        <v>200.6</v>
      </c>
      <c r="G130">
        <v>103</v>
      </c>
      <c r="H130">
        <v>58.550922545730671</v>
      </c>
      <c r="I130">
        <v>1.6490774542693316</v>
      </c>
      <c r="J130">
        <v>0.593718041509957</v>
      </c>
      <c r="K130">
        <f t="shared" si="1"/>
        <v>2.7393313193842714</v>
      </c>
      <c r="L130">
        <v>57.262569832402228</v>
      </c>
      <c r="M130">
        <v>53.1</v>
      </c>
    </row>
    <row r="131" spans="1:13" ht="14.5" x14ac:dyDescent="0.35">
      <c r="A131">
        <v>50</v>
      </c>
      <c r="B131">
        <v>300</v>
      </c>
      <c r="C131">
        <v>5.8</v>
      </c>
      <c r="D131">
        <v>24.3</v>
      </c>
      <c r="E131">
        <v>144</v>
      </c>
      <c r="G131">
        <v>104</v>
      </c>
      <c r="H131">
        <v>46.151518084016637</v>
      </c>
      <c r="I131">
        <v>3.8484819159833634</v>
      </c>
      <c r="J131">
        <v>1.3855705443238395</v>
      </c>
      <c r="K131">
        <f t="shared" si="1"/>
        <v>7.6969638319667268</v>
      </c>
      <c r="L131">
        <v>57.821229050279328</v>
      </c>
      <c r="M131">
        <v>53.3</v>
      </c>
    </row>
    <row r="132" spans="1:13" ht="14.5" x14ac:dyDescent="0.35">
      <c r="A132">
        <v>51.8</v>
      </c>
      <c r="B132">
        <v>402</v>
      </c>
      <c r="C132">
        <v>9.1</v>
      </c>
      <c r="D132">
        <v>26.8</v>
      </c>
      <c r="E132">
        <v>194.8</v>
      </c>
      <c r="G132">
        <v>105</v>
      </c>
      <c r="H132">
        <v>50.865829258781773</v>
      </c>
      <c r="I132">
        <v>-0.86582925878177264</v>
      </c>
      <c r="J132">
        <v>-0.31172486803156213</v>
      </c>
      <c r="K132">
        <f t="shared" si="1"/>
        <v>1.7316585175635453</v>
      </c>
      <c r="L132">
        <v>58.379888268156421</v>
      </c>
      <c r="M132">
        <v>53.4</v>
      </c>
    </row>
    <row r="133" spans="1:13" ht="14.5" x14ac:dyDescent="0.35">
      <c r="A133">
        <v>50</v>
      </c>
      <c r="B133">
        <v>5936</v>
      </c>
      <c r="C133">
        <v>7.8</v>
      </c>
      <c r="D133">
        <v>20</v>
      </c>
      <c r="E133">
        <v>184.4</v>
      </c>
      <c r="G133">
        <v>106</v>
      </c>
      <c r="H133">
        <v>58.665672266092422</v>
      </c>
      <c r="I133">
        <v>-2.0656722660924203</v>
      </c>
      <c r="J133">
        <v>-0.74370484482139032</v>
      </c>
      <c r="K133">
        <f t="shared" si="1"/>
        <v>3.649597643272827</v>
      </c>
      <c r="L133">
        <v>58.938547486033514</v>
      </c>
      <c r="M133">
        <v>53.5</v>
      </c>
    </row>
    <row r="134" spans="1:13" ht="14.5" x14ac:dyDescent="0.35">
      <c r="A134">
        <v>50</v>
      </c>
      <c r="B134">
        <v>439</v>
      </c>
      <c r="C134">
        <v>4.8</v>
      </c>
      <c r="D134">
        <v>28.2</v>
      </c>
      <c r="E134">
        <v>146.80000000000001</v>
      </c>
      <c r="G134">
        <v>107</v>
      </c>
      <c r="H134">
        <v>50.500101543720191</v>
      </c>
      <c r="I134">
        <v>1.59989845627981</v>
      </c>
      <c r="J134">
        <v>0.57601210641626666</v>
      </c>
      <c r="K134">
        <f t="shared" si="1"/>
        <v>3.0708223728979078</v>
      </c>
      <c r="L134">
        <v>59.497206703910607</v>
      </c>
      <c r="M134">
        <v>53.6</v>
      </c>
    </row>
    <row r="135" spans="1:13" ht="14.5" x14ac:dyDescent="0.35">
      <c r="A135">
        <v>51.6</v>
      </c>
      <c r="B135">
        <v>3117</v>
      </c>
      <c r="C135">
        <v>10.8</v>
      </c>
      <c r="D135">
        <v>23.5</v>
      </c>
      <c r="E135">
        <v>157.69999999999999</v>
      </c>
      <c r="G135">
        <v>108</v>
      </c>
      <c r="H135">
        <v>56.712041385416299</v>
      </c>
      <c r="I135">
        <v>0.18795861458369956</v>
      </c>
      <c r="J135">
        <v>6.7670818157540016E-2</v>
      </c>
      <c r="K135">
        <f t="shared" si="1"/>
        <v>0.33033148432987619</v>
      </c>
      <c r="L135">
        <v>60.055865921787706</v>
      </c>
      <c r="M135">
        <v>53.6</v>
      </c>
    </row>
    <row r="136" spans="1:13" ht="14.5" x14ac:dyDescent="0.35">
      <c r="A136">
        <v>50</v>
      </c>
      <c r="B136">
        <v>1875</v>
      </c>
      <c r="C136">
        <v>8.6999999999999993</v>
      </c>
      <c r="D136">
        <v>23.6</v>
      </c>
      <c r="E136">
        <v>250.5</v>
      </c>
      <c r="G136">
        <v>109</v>
      </c>
      <c r="H136">
        <v>60.382683863106372</v>
      </c>
      <c r="I136">
        <v>-2.4826838631063737</v>
      </c>
      <c r="J136">
        <v>-0.89384170347838043</v>
      </c>
      <c r="K136">
        <f t="shared" si="1"/>
        <v>4.2878823197001275</v>
      </c>
      <c r="L136">
        <v>60.614525139664799</v>
      </c>
      <c r="M136">
        <v>54.1</v>
      </c>
    </row>
    <row r="137" spans="1:13" ht="14.5" x14ac:dyDescent="0.35">
      <c r="A137">
        <v>50</v>
      </c>
      <c r="B137">
        <v>1541</v>
      </c>
      <c r="C137">
        <v>12.3</v>
      </c>
      <c r="D137">
        <v>25.6</v>
      </c>
      <c r="E137">
        <v>232.5</v>
      </c>
      <c r="G137">
        <v>110</v>
      </c>
      <c r="H137">
        <v>52.977529703947496</v>
      </c>
      <c r="I137">
        <v>-2.9775297039474964</v>
      </c>
      <c r="J137">
        <v>-1.0720012573021971</v>
      </c>
      <c r="K137">
        <f t="shared" si="1"/>
        <v>5.9550594078949928</v>
      </c>
      <c r="L137">
        <v>61.173184357541892</v>
      </c>
      <c r="M137">
        <v>54.2</v>
      </c>
    </row>
    <row r="138" spans="1:13" ht="14.5" x14ac:dyDescent="0.35">
      <c r="A138">
        <v>61.2</v>
      </c>
      <c r="B138">
        <v>11321</v>
      </c>
      <c r="C138">
        <v>8.1999999999999993</v>
      </c>
      <c r="D138">
        <v>28.2</v>
      </c>
      <c r="E138">
        <v>108.6</v>
      </c>
      <c r="G138">
        <v>111</v>
      </c>
      <c r="H138">
        <v>55.228322507206869</v>
      </c>
      <c r="I138">
        <v>-0.62832250720686744</v>
      </c>
      <c r="J138">
        <v>-0.22621521351207577</v>
      </c>
      <c r="K138">
        <f t="shared" si="1"/>
        <v>1.1507738227232005</v>
      </c>
      <c r="L138">
        <v>61.731843575418992</v>
      </c>
      <c r="M138">
        <v>54.5</v>
      </c>
    </row>
    <row r="139" spans="1:13" ht="14.5" x14ac:dyDescent="0.35">
      <c r="A139">
        <v>50</v>
      </c>
      <c r="B139">
        <v>1730</v>
      </c>
      <c r="C139">
        <v>6.7</v>
      </c>
      <c r="D139">
        <v>29.4</v>
      </c>
      <c r="E139">
        <v>276.39999999999998</v>
      </c>
      <c r="G139">
        <v>112</v>
      </c>
      <c r="H139">
        <v>47.628757158848977</v>
      </c>
      <c r="I139">
        <v>2.3712428411510231</v>
      </c>
      <c r="J139">
        <v>0.85371954600912148</v>
      </c>
      <c r="K139">
        <f t="shared" si="1"/>
        <v>4.7424856823020463</v>
      </c>
      <c r="L139">
        <v>62.290502793296085</v>
      </c>
      <c r="M139">
        <v>54.6</v>
      </c>
    </row>
    <row r="140" spans="1:13" ht="14.5" x14ac:dyDescent="0.35">
      <c r="A140">
        <v>50</v>
      </c>
      <c r="B140">
        <v>1953</v>
      </c>
      <c r="C140">
        <v>4</v>
      </c>
      <c r="D140">
        <v>22.2</v>
      </c>
      <c r="E140">
        <v>69.7</v>
      </c>
      <c r="G140">
        <v>113</v>
      </c>
      <c r="H140">
        <v>53.199542387318132</v>
      </c>
      <c r="I140">
        <v>3.8004576126818677</v>
      </c>
      <c r="J140">
        <v>1.3682803344387753</v>
      </c>
      <c r="K140">
        <f t="shared" si="1"/>
        <v>6.6674694959331013</v>
      </c>
      <c r="L140">
        <v>62.849162011173178</v>
      </c>
      <c r="M140">
        <v>54.6</v>
      </c>
    </row>
    <row r="141" spans="1:13" ht="14.5" x14ac:dyDescent="0.35">
      <c r="A141">
        <v>50</v>
      </c>
      <c r="B141">
        <v>4236</v>
      </c>
      <c r="C141">
        <v>12.7</v>
      </c>
      <c r="D141">
        <v>22</v>
      </c>
      <c r="E141">
        <v>228.7</v>
      </c>
      <c r="G141">
        <v>114</v>
      </c>
      <c r="H141">
        <v>57.545328173779211</v>
      </c>
      <c r="I141">
        <v>2.9546718262207889</v>
      </c>
      <c r="J141">
        <v>1.0637717260804582</v>
      </c>
      <c r="K141">
        <f t="shared" si="1"/>
        <v>4.8837550846624609</v>
      </c>
      <c r="L141">
        <v>63.407821229050278</v>
      </c>
      <c r="M141">
        <v>54.7</v>
      </c>
    </row>
    <row r="142" spans="1:13" ht="14.5" x14ac:dyDescent="0.35">
      <c r="A142">
        <v>50</v>
      </c>
      <c r="B142">
        <v>8203</v>
      </c>
      <c r="C142">
        <v>4.5999999999999996</v>
      </c>
      <c r="D142">
        <v>26.1</v>
      </c>
      <c r="E142">
        <v>163.30000000000001</v>
      </c>
      <c r="G142">
        <v>115</v>
      </c>
      <c r="H142">
        <v>50.924417444221675</v>
      </c>
      <c r="I142">
        <v>-0.9244174442216746</v>
      </c>
      <c r="J142">
        <v>-0.33281839679514175</v>
      </c>
      <c r="K142">
        <f t="shared" si="1"/>
        <v>1.8488348884433494</v>
      </c>
      <c r="L142">
        <v>63.96648044692737</v>
      </c>
      <c r="M142">
        <v>54.7</v>
      </c>
    </row>
    <row r="143" spans="1:13" ht="14.5" x14ac:dyDescent="0.35">
      <c r="A143">
        <v>61.6</v>
      </c>
      <c r="B143">
        <v>60000</v>
      </c>
      <c r="C143">
        <v>6.1</v>
      </c>
      <c r="D143">
        <v>23.4</v>
      </c>
      <c r="E143">
        <v>100.1</v>
      </c>
      <c r="G143">
        <v>116</v>
      </c>
      <c r="H143">
        <v>51.130951331987937</v>
      </c>
      <c r="I143">
        <v>-1.1309513319879372</v>
      </c>
      <c r="J143">
        <v>-0.40717687827978133</v>
      </c>
      <c r="K143">
        <f t="shared" si="1"/>
        <v>2.2619026639758744</v>
      </c>
      <c r="L143">
        <v>64.52513966480447</v>
      </c>
      <c r="M143">
        <v>54.8</v>
      </c>
    </row>
    <row r="144" spans="1:13" ht="14.5" x14ac:dyDescent="0.35">
      <c r="A144">
        <v>65</v>
      </c>
      <c r="B144">
        <v>17739</v>
      </c>
      <c r="C144">
        <v>12.3</v>
      </c>
      <c r="D144">
        <v>23.3</v>
      </c>
      <c r="E144">
        <v>83.4</v>
      </c>
      <c r="G144">
        <v>117</v>
      </c>
      <c r="H144">
        <v>57.076386031183901</v>
      </c>
      <c r="I144">
        <v>2.7236139688160961</v>
      </c>
      <c r="J144">
        <v>0.9805838696103788</v>
      </c>
      <c r="K144">
        <f t="shared" si="1"/>
        <v>4.5545384093914656</v>
      </c>
      <c r="L144">
        <v>65.083798882681563</v>
      </c>
      <c r="M144">
        <v>54.9</v>
      </c>
    </row>
    <row r="145" spans="1:13" ht="14.5" x14ac:dyDescent="0.35">
      <c r="A145">
        <v>50</v>
      </c>
      <c r="B145">
        <v>7703</v>
      </c>
      <c r="C145">
        <v>8.6</v>
      </c>
      <c r="D145">
        <v>20.5</v>
      </c>
      <c r="E145">
        <v>273.8</v>
      </c>
      <c r="G145">
        <v>118</v>
      </c>
      <c r="H145">
        <v>54.502288150800169</v>
      </c>
      <c r="I145">
        <v>3.8977118491998297</v>
      </c>
      <c r="J145">
        <v>1.4032948176484645</v>
      </c>
      <c r="K145">
        <f t="shared" si="1"/>
        <v>6.6741641253421751</v>
      </c>
      <c r="L145">
        <v>65.642458100558656</v>
      </c>
      <c r="M145">
        <v>55.1</v>
      </c>
    </row>
    <row r="146" spans="1:13" ht="14.5" x14ac:dyDescent="0.35">
      <c r="A146">
        <v>53.6</v>
      </c>
      <c r="B146">
        <v>1666</v>
      </c>
      <c r="C146">
        <v>8.9</v>
      </c>
      <c r="D146">
        <v>26</v>
      </c>
      <c r="E146">
        <v>202.7</v>
      </c>
      <c r="G146">
        <v>119</v>
      </c>
      <c r="H146">
        <v>59.086577622186219</v>
      </c>
      <c r="I146">
        <v>4.0134223778137823</v>
      </c>
      <c r="J146">
        <v>1.4449541273751851</v>
      </c>
      <c r="K146">
        <f t="shared" si="1"/>
        <v>6.3604158127001309</v>
      </c>
      <c r="L146">
        <v>66.201117318435763</v>
      </c>
      <c r="M146">
        <v>55.3</v>
      </c>
    </row>
    <row r="147" spans="1:13" ht="14.5" x14ac:dyDescent="0.35">
      <c r="A147">
        <v>50.3</v>
      </c>
      <c r="B147">
        <v>900</v>
      </c>
      <c r="C147">
        <v>3.9</v>
      </c>
      <c r="D147">
        <v>22.8</v>
      </c>
      <c r="E147">
        <v>147.30000000000001</v>
      </c>
      <c r="G147">
        <v>120</v>
      </c>
      <c r="H147">
        <v>56.418515587238915</v>
      </c>
      <c r="I147">
        <v>-0.518515587238916</v>
      </c>
      <c r="J147">
        <v>-0.18668138246076299</v>
      </c>
      <c r="K147">
        <f t="shared" si="1"/>
        <v>0.9275770791393847</v>
      </c>
      <c r="L147">
        <v>66.759776536312856</v>
      </c>
      <c r="M147">
        <v>55.5</v>
      </c>
    </row>
    <row r="148" spans="1:13" ht="14.5" x14ac:dyDescent="0.35">
      <c r="A148">
        <v>50</v>
      </c>
      <c r="B148">
        <v>4170</v>
      </c>
      <c r="C148">
        <v>8</v>
      </c>
      <c r="D148">
        <v>28.6</v>
      </c>
      <c r="E148">
        <v>352.2</v>
      </c>
      <c r="G148">
        <v>121</v>
      </c>
      <c r="H148">
        <v>50.47318038579175</v>
      </c>
      <c r="I148">
        <v>-0.47318038579174981</v>
      </c>
      <c r="J148">
        <v>-0.17035933103438114</v>
      </c>
      <c r="K148">
        <f t="shared" si="1"/>
        <v>0.94636077158349963</v>
      </c>
      <c r="L148">
        <v>67.318435754189949</v>
      </c>
      <c r="M148">
        <v>55.5</v>
      </c>
    </row>
    <row r="149" spans="1:13" ht="14.5" x14ac:dyDescent="0.35">
      <c r="A149">
        <v>52.3</v>
      </c>
      <c r="B149">
        <v>14275</v>
      </c>
      <c r="C149">
        <v>10</v>
      </c>
      <c r="D149">
        <v>30.5</v>
      </c>
      <c r="E149">
        <v>196.7</v>
      </c>
      <c r="G149">
        <v>122</v>
      </c>
      <c r="H149">
        <v>51.194021381012448</v>
      </c>
      <c r="I149">
        <v>-1.1940213810124476</v>
      </c>
      <c r="J149">
        <v>-0.42988401425318573</v>
      </c>
      <c r="K149">
        <f t="shared" si="1"/>
        <v>2.3880427620248952</v>
      </c>
      <c r="L149">
        <v>67.877094972067042</v>
      </c>
      <c r="M149">
        <v>55.6</v>
      </c>
    </row>
    <row r="150" spans="1:13" ht="14.5" x14ac:dyDescent="0.35">
      <c r="A150">
        <v>53.3</v>
      </c>
      <c r="B150">
        <v>15726</v>
      </c>
      <c r="C150">
        <v>10.5</v>
      </c>
      <c r="D150">
        <v>26.5</v>
      </c>
      <c r="E150">
        <v>235.3</v>
      </c>
      <c r="G150">
        <v>123</v>
      </c>
      <c r="H150">
        <v>55.3798102140602</v>
      </c>
      <c r="I150">
        <v>0.22018978593980165</v>
      </c>
      <c r="J150">
        <v>7.9275020181874642E-2</v>
      </c>
      <c r="K150">
        <f t="shared" si="1"/>
        <v>0.39602479485575831</v>
      </c>
      <c r="L150">
        <v>68.435754189944134</v>
      </c>
      <c r="M150">
        <v>55.8</v>
      </c>
    </row>
    <row r="151" spans="1:13" ht="14.5" x14ac:dyDescent="0.35">
      <c r="A151">
        <v>50</v>
      </c>
      <c r="B151">
        <v>7888</v>
      </c>
      <c r="C151">
        <v>7.5</v>
      </c>
      <c r="D151">
        <v>25.4</v>
      </c>
      <c r="E151">
        <v>246.5</v>
      </c>
      <c r="G151">
        <v>124</v>
      </c>
      <c r="H151">
        <v>51.228239059662904</v>
      </c>
      <c r="I151">
        <v>-1.2282390596629043</v>
      </c>
      <c r="J151">
        <v>-0.44220341932465196</v>
      </c>
      <c r="K151">
        <f t="shared" si="1"/>
        <v>2.4564781193258085</v>
      </c>
      <c r="L151">
        <v>68.994413407821227</v>
      </c>
      <c r="M151">
        <v>55.9</v>
      </c>
    </row>
    <row r="152" spans="1:13" ht="14.5" x14ac:dyDescent="0.35">
      <c r="A152">
        <v>50.6</v>
      </c>
      <c r="B152">
        <v>1652</v>
      </c>
      <c r="C152">
        <v>8.1</v>
      </c>
      <c r="D152">
        <v>28.8</v>
      </c>
      <c r="E152">
        <v>165.3</v>
      </c>
      <c r="G152">
        <v>125</v>
      </c>
      <c r="H152">
        <v>55.171721337570872</v>
      </c>
      <c r="I152">
        <v>-5.1717213375708724</v>
      </c>
      <c r="J152">
        <v>-1.8619769834512239</v>
      </c>
      <c r="K152">
        <f t="shared" si="1"/>
        <v>10.343442675141745</v>
      </c>
      <c r="L152">
        <v>69.55307262569832</v>
      </c>
      <c r="M152">
        <v>56.1</v>
      </c>
    </row>
    <row r="153" spans="1:13" ht="14.5" x14ac:dyDescent="0.35">
      <c r="A153">
        <v>58.8</v>
      </c>
      <c r="B153">
        <v>9131</v>
      </c>
      <c r="C153">
        <v>9.9</v>
      </c>
      <c r="D153">
        <v>31.5</v>
      </c>
      <c r="E153">
        <v>125.4</v>
      </c>
      <c r="G153">
        <v>126</v>
      </c>
      <c r="H153">
        <v>55.358005125544054</v>
      </c>
      <c r="I153">
        <v>6.2419948744559477</v>
      </c>
      <c r="J153">
        <v>2.2473080099316576</v>
      </c>
      <c r="K153">
        <f t="shared" si="1"/>
        <v>10.133108562428486</v>
      </c>
      <c r="L153">
        <v>70.111731843575427</v>
      </c>
      <c r="M153">
        <v>56.2</v>
      </c>
    </row>
    <row r="154" spans="1:13" ht="14.5" x14ac:dyDescent="0.35">
      <c r="A154">
        <v>53</v>
      </c>
      <c r="B154">
        <v>31767</v>
      </c>
      <c r="C154">
        <v>7.7</v>
      </c>
      <c r="D154">
        <v>25.8</v>
      </c>
      <c r="E154">
        <v>198.6</v>
      </c>
      <c r="G154">
        <v>127</v>
      </c>
      <c r="H154">
        <v>54.32458469409719</v>
      </c>
      <c r="I154">
        <v>-1.8245846940971902</v>
      </c>
      <c r="J154">
        <v>-0.65690598603714967</v>
      </c>
      <c r="K154">
        <f t="shared" si="1"/>
        <v>3.475399417327981</v>
      </c>
      <c r="L154">
        <v>70.67039106145252</v>
      </c>
      <c r="M154">
        <v>56.6</v>
      </c>
    </row>
    <row r="155" spans="1:13" ht="14.5" x14ac:dyDescent="0.35">
      <c r="A155">
        <v>50.9</v>
      </c>
      <c r="B155">
        <v>3988</v>
      </c>
      <c r="C155">
        <v>11.2</v>
      </c>
      <c r="D155">
        <v>21.9</v>
      </c>
      <c r="E155">
        <v>160.6</v>
      </c>
      <c r="G155">
        <v>128</v>
      </c>
      <c r="H155">
        <v>55.632819300134585</v>
      </c>
      <c r="I155">
        <v>4.0671806998654176</v>
      </c>
      <c r="J155">
        <v>1.4643087584149383</v>
      </c>
      <c r="K155">
        <f t="shared" si="1"/>
        <v>6.8126979897243176</v>
      </c>
      <c r="L155">
        <v>71.229050279329613</v>
      </c>
      <c r="M155">
        <v>56.8</v>
      </c>
    </row>
    <row r="156" spans="1:13" ht="14.5" x14ac:dyDescent="0.35">
      <c r="A156">
        <v>50</v>
      </c>
      <c r="B156">
        <v>303</v>
      </c>
      <c r="C156">
        <v>6.3</v>
      </c>
      <c r="D156">
        <v>26.1</v>
      </c>
      <c r="E156">
        <v>275.2</v>
      </c>
      <c r="G156">
        <v>129</v>
      </c>
      <c r="H156">
        <v>56.567225709837764</v>
      </c>
      <c r="I156">
        <v>3.5327742901622372</v>
      </c>
      <c r="J156">
        <v>1.2719061965353191</v>
      </c>
      <c r="K156">
        <f t="shared" si="1"/>
        <v>5.8781602165761022</v>
      </c>
      <c r="L156">
        <v>71.787709497206706</v>
      </c>
      <c r="M156">
        <v>56.9</v>
      </c>
    </row>
    <row r="157" spans="1:13" ht="14.5" x14ac:dyDescent="0.35">
      <c r="A157">
        <v>50</v>
      </c>
      <c r="B157">
        <v>50098</v>
      </c>
      <c r="C157">
        <v>3.7</v>
      </c>
      <c r="D157">
        <v>18.399999999999999</v>
      </c>
      <c r="E157">
        <v>185.2</v>
      </c>
      <c r="G157">
        <v>130</v>
      </c>
      <c r="H157">
        <v>51.712551511974382</v>
      </c>
      <c r="I157">
        <v>-1.7125515119743824</v>
      </c>
      <c r="J157">
        <v>-0.61657063289659408</v>
      </c>
      <c r="K157">
        <f t="shared" ref="K157:K206" si="2">ABS(I157/A131)*100</f>
        <v>3.4251030239487648</v>
      </c>
      <c r="L157">
        <v>72.346368715083798</v>
      </c>
      <c r="M157">
        <v>56.9</v>
      </c>
    </row>
    <row r="158" spans="1:13" ht="14.5" x14ac:dyDescent="0.35">
      <c r="A158">
        <v>62.8</v>
      </c>
      <c r="B158">
        <v>8626</v>
      </c>
      <c r="C158">
        <v>8.6999999999999993</v>
      </c>
      <c r="D158">
        <v>23.3</v>
      </c>
      <c r="E158">
        <v>50</v>
      </c>
      <c r="G158">
        <v>131</v>
      </c>
      <c r="H158">
        <v>52.982816775334626</v>
      </c>
      <c r="I158">
        <v>-1.1828167753346293</v>
      </c>
      <c r="J158">
        <v>-0.42585001541237738</v>
      </c>
      <c r="K158">
        <f t="shared" si="2"/>
        <v>2.28343006821357</v>
      </c>
      <c r="L158">
        <v>72.905027932960891</v>
      </c>
      <c r="M158">
        <v>57</v>
      </c>
    </row>
    <row r="159" spans="1:13" ht="14.5" x14ac:dyDescent="0.35">
      <c r="A159">
        <v>62.2</v>
      </c>
      <c r="B159">
        <v>2569</v>
      </c>
      <c r="C159">
        <v>13.5</v>
      </c>
      <c r="D159">
        <v>21.8</v>
      </c>
      <c r="E159">
        <v>50</v>
      </c>
      <c r="G159">
        <v>132</v>
      </c>
      <c r="H159">
        <v>50.693329636694344</v>
      </c>
      <c r="I159">
        <v>-0.69332963669434378</v>
      </c>
      <c r="J159">
        <v>-0.24961975736995634</v>
      </c>
      <c r="K159">
        <f t="shared" si="2"/>
        <v>1.3866592733886876</v>
      </c>
      <c r="L159">
        <v>73.463687150837984</v>
      </c>
      <c r="M159">
        <v>57.1</v>
      </c>
    </row>
    <row r="160" spans="1:13" ht="14.5" x14ac:dyDescent="0.35">
      <c r="A160">
        <v>62.7</v>
      </c>
      <c r="B160">
        <v>4294</v>
      </c>
      <c r="C160">
        <v>7.3</v>
      </c>
      <c r="D160">
        <v>26.1</v>
      </c>
      <c r="E160">
        <v>50</v>
      </c>
      <c r="G160">
        <v>133</v>
      </c>
      <c r="H160">
        <v>52.127459408769141</v>
      </c>
      <c r="I160">
        <v>-2.1274594087691412</v>
      </c>
      <c r="J160">
        <v>-0.7659500954889964</v>
      </c>
      <c r="K160">
        <f t="shared" si="2"/>
        <v>4.2549188175382824</v>
      </c>
      <c r="L160">
        <v>74.022346368715091</v>
      </c>
      <c r="M160">
        <v>57.3</v>
      </c>
    </row>
    <row r="161" spans="1:13" ht="14.5" x14ac:dyDescent="0.35">
      <c r="A161">
        <v>52.6</v>
      </c>
      <c r="B161">
        <v>15930</v>
      </c>
      <c r="C161">
        <v>9</v>
      </c>
      <c r="D161">
        <v>26.4</v>
      </c>
      <c r="E161">
        <v>195.6</v>
      </c>
      <c r="G161">
        <v>134</v>
      </c>
      <c r="H161">
        <v>54.986905219526051</v>
      </c>
      <c r="I161">
        <v>-3.3869052195260494</v>
      </c>
      <c r="J161">
        <v>-1.2193888943850888</v>
      </c>
      <c r="K161">
        <f t="shared" si="2"/>
        <v>6.5637698052830418</v>
      </c>
      <c r="L161">
        <v>74.581005586592184</v>
      </c>
      <c r="M161">
        <v>57.4</v>
      </c>
    </row>
    <row r="162" spans="1:13" ht="14.5" x14ac:dyDescent="0.35">
      <c r="A162">
        <v>60.7</v>
      </c>
      <c r="B162">
        <v>21889</v>
      </c>
      <c r="C162">
        <v>8.6</v>
      </c>
      <c r="D162">
        <v>27.1</v>
      </c>
      <c r="E162">
        <v>142.80000000000001</v>
      </c>
      <c r="G162">
        <v>135</v>
      </c>
      <c r="H162">
        <v>49.460800752999333</v>
      </c>
      <c r="I162">
        <v>0.53919924700066701</v>
      </c>
      <c r="J162">
        <v>0.1941281290845874</v>
      </c>
      <c r="K162">
        <f t="shared" si="2"/>
        <v>1.078398494001334</v>
      </c>
      <c r="L162">
        <v>75.139664804469277</v>
      </c>
      <c r="M162">
        <v>57.5</v>
      </c>
    </row>
    <row r="163" spans="1:13" ht="14.5" x14ac:dyDescent="0.35">
      <c r="A163">
        <v>54.7</v>
      </c>
      <c r="B163">
        <v>44418</v>
      </c>
      <c r="C163">
        <v>7.9</v>
      </c>
      <c r="D163">
        <v>20.7</v>
      </c>
      <c r="E163">
        <v>160.19999999999999</v>
      </c>
      <c r="G163">
        <v>136</v>
      </c>
      <c r="H163">
        <v>53.595201432293443</v>
      </c>
      <c r="I163">
        <v>-3.5952014322934431</v>
      </c>
      <c r="J163">
        <v>-1.2943818664726208</v>
      </c>
      <c r="K163">
        <f t="shared" si="2"/>
        <v>7.1904028645868863</v>
      </c>
      <c r="L163">
        <v>75.69832402234637</v>
      </c>
      <c r="M163">
        <v>57.6</v>
      </c>
    </row>
    <row r="164" spans="1:13" ht="14.5" x14ac:dyDescent="0.35">
      <c r="A164">
        <v>50</v>
      </c>
      <c r="B164">
        <v>1120</v>
      </c>
      <c r="C164">
        <v>6.7</v>
      </c>
      <c r="D164">
        <v>19.3</v>
      </c>
      <c r="E164">
        <v>113.8</v>
      </c>
      <c r="G164">
        <v>137</v>
      </c>
      <c r="H164">
        <v>57.337058789485013</v>
      </c>
      <c r="I164">
        <v>3.8629412105149896</v>
      </c>
      <c r="J164">
        <v>1.3907763301459108</v>
      </c>
      <c r="K164">
        <f t="shared" si="2"/>
        <v>6.311995442017956</v>
      </c>
      <c r="L164">
        <v>76.256983240223462</v>
      </c>
      <c r="M164">
        <v>57.9</v>
      </c>
    </row>
    <row r="165" spans="1:13" ht="14.5" x14ac:dyDescent="0.35">
      <c r="A165">
        <v>61.2</v>
      </c>
      <c r="B165">
        <v>9327</v>
      </c>
      <c r="C165">
        <v>10.4</v>
      </c>
      <c r="D165">
        <v>26.3</v>
      </c>
      <c r="E165">
        <v>72.599999999999994</v>
      </c>
      <c r="G165">
        <v>138</v>
      </c>
      <c r="H165">
        <v>48.753983248475933</v>
      </c>
      <c r="I165">
        <v>1.246016751524067</v>
      </c>
      <c r="J165">
        <v>0.44860392911699137</v>
      </c>
      <c r="K165">
        <f t="shared" si="2"/>
        <v>2.492033503048134</v>
      </c>
      <c r="L165">
        <v>76.815642458100555</v>
      </c>
      <c r="M165">
        <v>57.9</v>
      </c>
    </row>
    <row r="166" spans="1:13" ht="14.5" x14ac:dyDescent="0.35">
      <c r="A166">
        <v>57.9</v>
      </c>
      <c r="B166">
        <v>525</v>
      </c>
      <c r="C166">
        <v>12.5</v>
      </c>
      <c r="D166">
        <v>27.6</v>
      </c>
      <c r="E166">
        <v>132.30000000000001</v>
      </c>
      <c r="G166">
        <v>139</v>
      </c>
      <c r="H166">
        <v>52.860535719887423</v>
      </c>
      <c r="I166">
        <v>-2.8605357198874231</v>
      </c>
      <c r="J166">
        <v>-1.0298798645775777</v>
      </c>
      <c r="K166">
        <f t="shared" si="2"/>
        <v>5.7210714397748461</v>
      </c>
      <c r="L166">
        <v>77.374301675977648</v>
      </c>
      <c r="M166">
        <v>58</v>
      </c>
    </row>
    <row r="167" spans="1:13" ht="14.5" x14ac:dyDescent="0.35">
      <c r="A167">
        <v>54.2</v>
      </c>
      <c r="B167">
        <v>300</v>
      </c>
      <c r="C167">
        <v>7.3</v>
      </c>
      <c r="D167">
        <v>23</v>
      </c>
      <c r="E167">
        <v>69.900000000000006</v>
      </c>
      <c r="G167">
        <v>140</v>
      </c>
      <c r="H167">
        <v>53.126124317070825</v>
      </c>
      <c r="I167">
        <v>-3.1261243170708255</v>
      </c>
      <c r="J167">
        <v>-1.125499837647292</v>
      </c>
      <c r="K167">
        <f t="shared" si="2"/>
        <v>6.252248634141651</v>
      </c>
      <c r="L167">
        <v>77.932960893854755</v>
      </c>
      <c r="M167">
        <v>58.4</v>
      </c>
    </row>
    <row r="168" spans="1:13" ht="14.5" x14ac:dyDescent="0.35">
      <c r="A168">
        <v>50</v>
      </c>
      <c r="B168">
        <v>7795</v>
      </c>
      <c r="C168">
        <v>6.3</v>
      </c>
      <c r="D168">
        <v>26.7</v>
      </c>
      <c r="E168">
        <v>261.89999999999998</v>
      </c>
      <c r="G168">
        <v>141</v>
      </c>
      <c r="H168">
        <v>51.33058169619931</v>
      </c>
      <c r="I168">
        <v>-1.3305816961993102</v>
      </c>
      <c r="J168">
        <v>-0.47904988130862397</v>
      </c>
      <c r="K168">
        <f t="shared" si="2"/>
        <v>2.6611633923986204</v>
      </c>
      <c r="L168">
        <v>78.491620111731848</v>
      </c>
      <c r="M168">
        <v>58.4</v>
      </c>
    </row>
    <row r="169" spans="1:13" ht="14.5" x14ac:dyDescent="0.35">
      <c r="A169">
        <v>50</v>
      </c>
      <c r="B169">
        <v>1130</v>
      </c>
      <c r="C169">
        <v>10.1</v>
      </c>
      <c r="D169">
        <v>26.2</v>
      </c>
      <c r="E169">
        <v>221.6</v>
      </c>
      <c r="G169">
        <v>142</v>
      </c>
      <c r="H169">
        <v>59.068804394381054</v>
      </c>
      <c r="I169">
        <v>2.5311956056189473</v>
      </c>
      <c r="J169">
        <v>0.9113074063052754</v>
      </c>
      <c r="K169">
        <f t="shared" si="2"/>
        <v>4.1090837753554332</v>
      </c>
      <c r="L169">
        <v>79.050279329608941</v>
      </c>
      <c r="M169">
        <v>58.5</v>
      </c>
    </row>
    <row r="170" spans="1:13" ht="14.5" x14ac:dyDescent="0.35">
      <c r="A170">
        <v>50</v>
      </c>
      <c r="B170">
        <v>1336</v>
      </c>
      <c r="C170">
        <v>12</v>
      </c>
      <c r="D170">
        <v>25.6</v>
      </c>
      <c r="E170">
        <v>316</v>
      </c>
      <c r="G170">
        <v>143</v>
      </c>
      <c r="H170">
        <v>60.513334866397372</v>
      </c>
      <c r="I170">
        <v>4.486665133602628</v>
      </c>
      <c r="J170">
        <v>1.6153359135055527</v>
      </c>
      <c r="K170">
        <f t="shared" si="2"/>
        <v>6.9025617440040428</v>
      </c>
      <c r="L170">
        <v>79.608938547486034</v>
      </c>
      <c r="M170">
        <v>58.8</v>
      </c>
    </row>
    <row r="171" spans="1:13" ht="14.5" x14ac:dyDescent="0.35">
      <c r="A171">
        <v>51.4</v>
      </c>
      <c r="B171">
        <v>4011</v>
      </c>
      <c r="C171">
        <v>6</v>
      </c>
      <c r="D171">
        <v>23.5</v>
      </c>
      <c r="E171">
        <v>124.4</v>
      </c>
      <c r="G171">
        <v>144</v>
      </c>
      <c r="H171">
        <v>47.948573322349148</v>
      </c>
      <c r="I171">
        <v>2.0514266776508521</v>
      </c>
      <c r="J171">
        <v>0.73857599969177679</v>
      </c>
      <c r="K171">
        <f t="shared" si="2"/>
        <v>4.1028533553017041</v>
      </c>
      <c r="L171">
        <v>80.167597765363126</v>
      </c>
      <c r="M171">
        <v>58.9</v>
      </c>
    </row>
    <row r="172" spans="1:13" ht="14.5" x14ac:dyDescent="0.35">
      <c r="A172">
        <v>50</v>
      </c>
      <c r="B172">
        <v>1261</v>
      </c>
      <c r="C172">
        <v>7.9</v>
      </c>
      <c r="D172">
        <v>31.4</v>
      </c>
      <c r="E172">
        <v>288.2</v>
      </c>
      <c r="G172">
        <v>145</v>
      </c>
      <c r="H172">
        <v>52.358389799027591</v>
      </c>
      <c r="I172">
        <v>1.2416102009724099</v>
      </c>
      <c r="J172">
        <v>0.44701743688973355</v>
      </c>
      <c r="K172">
        <f t="shared" si="2"/>
        <v>2.3164369421127051</v>
      </c>
      <c r="L172">
        <v>80.726256983240219</v>
      </c>
      <c r="M172">
        <v>58.9</v>
      </c>
    </row>
    <row r="173" spans="1:13" ht="14.5" x14ac:dyDescent="0.35">
      <c r="A173">
        <v>50</v>
      </c>
      <c r="B173">
        <v>3569</v>
      </c>
      <c r="C173">
        <v>9.8000000000000007</v>
      </c>
      <c r="D173">
        <v>21.9</v>
      </c>
      <c r="E173">
        <v>129.4</v>
      </c>
      <c r="G173">
        <v>146</v>
      </c>
      <c r="H173">
        <v>49.679763526186449</v>
      </c>
      <c r="I173">
        <v>0.62023647381354863</v>
      </c>
      <c r="J173">
        <v>0.22330399554748812</v>
      </c>
      <c r="K173">
        <f t="shared" si="2"/>
        <v>1.2330745006233572</v>
      </c>
      <c r="L173">
        <v>81.284916201117326</v>
      </c>
      <c r="M173">
        <v>59</v>
      </c>
    </row>
    <row r="174" spans="1:13" ht="14.5" x14ac:dyDescent="0.35">
      <c r="A174">
        <v>54.8</v>
      </c>
      <c r="B174">
        <v>7870</v>
      </c>
      <c r="C174">
        <v>6.6</v>
      </c>
      <c r="D174">
        <v>29.7</v>
      </c>
      <c r="E174">
        <v>51.9</v>
      </c>
      <c r="G174">
        <v>147</v>
      </c>
      <c r="H174">
        <v>46.589268949822994</v>
      </c>
      <c r="I174">
        <v>3.4107310501770058</v>
      </c>
      <c r="J174">
        <v>1.2279669181005979</v>
      </c>
      <c r="K174">
        <f t="shared" si="2"/>
        <v>6.8214621003540117</v>
      </c>
      <c r="L174">
        <v>81.843575418994419</v>
      </c>
      <c r="M174">
        <v>59.3</v>
      </c>
    </row>
    <row r="175" spans="1:13" ht="14.5" x14ac:dyDescent="0.35">
      <c r="A175">
        <v>51.6</v>
      </c>
      <c r="B175">
        <v>14338</v>
      </c>
      <c r="C175">
        <v>13.1</v>
      </c>
      <c r="D175">
        <v>23.6</v>
      </c>
      <c r="E175">
        <v>236.3</v>
      </c>
      <c r="G175">
        <v>148</v>
      </c>
      <c r="H175">
        <v>56.118386115220289</v>
      </c>
      <c r="I175">
        <v>-3.8183861152202923</v>
      </c>
      <c r="J175">
        <v>-1.374735140661953</v>
      </c>
      <c r="K175">
        <f t="shared" si="2"/>
        <v>7.3009294746085907</v>
      </c>
      <c r="L175">
        <v>82.402234636871512</v>
      </c>
      <c r="M175">
        <v>59.4</v>
      </c>
    </row>
    <row r="176" spans="1:13" ht="14.5" x14ac:dyDescent="0.35">
      <c r="A176">
        <v>50</v>
      </c>
      <c r="B176">
        <v>11220</v>
      </c>
      <c r="C176">
        <v>10</v>
      </c>
      <c r="D176">
        <v>20.3</v>
      </c>
      <c r="E176">
        <v>268.10000000000002</v>
      </c>
      <c r="G176">
        <v>149</v>
      </c>
      <c r="H176">
        <v>53.727404282489132</v>
      </c>
      <c r="I176">
        <v>-0.42740428248913531</v>
      </c>
      <c r="J176">
        <v>-0.15387854152966515</v>
      </c>
      <c r="K176">
        <f t="shared" si="2"/>
        <v>0.80188420729668908</v>
      </c>
      <c r="L176">
        <v>82.960893854748605</v>
      </c>
      <c r="M176">
        <v>59.7</v>
      </c>
    </row>
    <row r="177" spans="1:13" ht="14.5" x14ac:dyDescent="0.35">
      <c r="A177">
        <v>54.7</v>
      </c>
      <c r="B177">
        <v>5398</v>
      </c>
      <c r="C177">
        <v>9.5</v>
      </c>
      <c r="D177">
        <v>25.8</v>
      </c>
      <c r="E177">
        <v>106</v>
      </c>
      <c r="G177">
        <v>150</v>
      </c>
      <c r="H177">
        <v>49.862858570219402</v>
      </c>
      <c r="I177">
        <v>0.1371414297805984</v>
      </c>
      <c r="J177">
        <v>4.9375085984235345E-2</v>
      </c>
      <c r="K177">
        <f t="shared" si="2"/>
        <v>0.2742828595611968</v>
      </c>
      <c r="L177">
        <v>83.519553072625698</v>
      </c>
      <c r="M177">
        <v>59.7</v>
      </c>
    </row>
    <row r="178" spans="1:13" ht="14.5" x14ac:dyDescent="0.35">
      <c r="A178">
        <v>50</v>
      </c>
      <c r="B178">
        <v>17311</v>
      </c>
      <c r="C178">
        <v>9.6</v>
      </c>
      <c r="D178">
        <v>23.9</v>
      </c>
      <c r="E178">
        <v>211.7</v>
      </c>
      <c r="G178">
        <v>151</v>
      </c>
      <c r="H178">
        <v>54.209146957088606</v>
      </c>
      <c r="I178">
        <v>-3.6091469570886048</v>
      </c>
      <c r="J178">
        <v>-1.2994026795628588</v>
      </c>
      <c r="K178">
        <f t="shared" si="2"/>
        <v>7.1327014962225395</v>
      </c>
      <c r="L178">
        <v>84.07821229050279</v>
      </c>
      <c r="M178">
        <v>59.8</v>
      </c>
    </row>
    <row r="179" spans="1:13" ht="14.5" x14ac:dyDescent="0.35">
      <c r="A179">
        <v>59.3</v>
      </c>
      <c r="B179">
        <v>300</v>
      </c>
      <c r="C179">
        <v>6.9</v>
      </c>
      <c r="D179">
        <v>21.6</v>
      </c>
      <c r="E179">
        <v>50</v>
      </c>
      <c r="G179">
        <v>152</v>
      </c>
      <c r="H179">
        <v>58.830434300713186</v>
      </c>
      <c r="I179">
        <v>-3.0434300713189089E-2</v>
      </c>
      <c r="J179">
        <v>-1.0957273939668194E-2</v>
      </c>
      <c r="K179">
        <f t="shared" si="2"/>
        <v>5.1759014818348791E-2</v>
      </c>
      <c r="L179">
        <v>84.636871508379883</v>
      </c>
      <c r="M179">
        <v>59.9</v>
      </c>
    </row>
    <row r="180" spans="1:13" ht="14.5" x14ac:dyDescent="0.35">
      <c r="A180">
        <v>50</v>
      </c>
      <c r="B180">
        <v>5013</v>
      </c>
      <c r="C180">
        <v>7.9</v>
      </c>
      <c r="D180">
        <v>26.4</v>
      </c>
      <c r="E180">
        <v>156.1</v>
      </c>
      <c r="G180">
        <v>153</v>
      </c>
      <c r="H180">
        <v>54.369331717185759</v>
      </c>
      <c r="I180">
        <v>-1.3693317171857586</v>
      </c>
      <c r="J180">
        <v>-0.49300106747576344</v>
      </c>
      <c r="K180">
        <f t="shared" si="2"/>
        <v>2.583644749407092</v>
      </c>
      <c r="L180">
        <v>85.19553072625699</v>
      </c>
      <c r="M180">
        <v>60.1</v>
      </c>
    </row>
    <row r="181" spans="1:13" ht="15" customHeight="1" x14ac:dyDescent="0.35">
      <c r="G181">
        <v>154</v>
      </c>
      <c r="H181">
        <v>54.728927774336363</v>
      </c>
      <c r="I181">
        <v>-3.8289277743363641</v>
      </c>
      <c r="J181">
        <v>-1.3785304585764975</v>
      </c>
      <c r="K181">
        <f t="shared" si="2"/>
        <v>7.5224514230576895</v>
      </c>
      <c r="L181">
        <v>85.754189944134083</v>
      </c>
      <c r="M181">
        <v>60.2</v>
      </c>
    </row>
    <row r="182" spans="1:13" ht="15" customHeight="1" x14ac:dyDescent="0.35">
      <c r="G182">
        <v>155</v>
      </c>
      <c r="H182">
        <v>47.274880505635323</v>
      </c>
      <c r="I182">
        <v>2.7251194943646766</v>
      </c>
      <c r="J182">
        <v>0.98112590459959803</v>
      </c>
      <c r="K182">
        <f t="shared" si="2"/>
        <v>5.4502389887293532</v>
      </c>
      <c r="L182">
        <v>86.312849162011176</v>
      </c>
      <c r="M182">
        <v>60.5</v>
      </c>
    </row>
    <row r="183" spans="1:13" ht="15" customHeight="1" x14ac:dyDescent="0.35">
      <c r="G183">
        <v>156</v>
      </c>
      <c r="H183">
        <v>51.135739161589939</v>
      </c>
      <c r="I183">
        <v>-1.1357391615899388</v>
      </c>
      <c r="J183">
        <v>-0.40890064256206199</v>
      </c>
      <c r="K183">
        <f t="shared" si="2"/>
        <v>2.2714783231798776</v>
      </c>
      <c r="L183">
        <v>86.871508379888269</v>
      </c>
      <c r="M183">
        <v>60.7</v>
      </c>
    </row>
    <row r="184" spans="1:13" ht="15" customHeight="1" x14ac:dyDescent="0.35">
      <c r="G184">
        <v>157</v>
      </c>
      <c r="H184">
        <v>58.271556451704463</v>
      </c>
      <c r="I184">
        <v>4.5284435482955345</v>
      </c>
      <c r="J184">
        <v>1.6303774135179663</v>
      </c>
      <c r="K184">
        <f t="shared" si="2"/>
        <v>7.2108973698973484</v>
      </c>
      <c r="L184">
        <v>87.430167597765362</v>
      </c>
      <c r="M184">
        <v>60.7</v>
      </c>
    </row>
    <row r="185" spans="1:13" ht="15" customHeight="1" x14ac:dyDescent="0.35">
      <c r="G185">
        <v>158</v>
      </c>
      <c r="H185">
        <v>60.893148280931513</v>
      </c>
      <c r="I185">
        <v>1.3068517190684901</v>
      </c>
      <c r="J185">
        <v>0.47050636777582328</v>
      </c>
      <c r="K185">
        <f t="shared" si="2"/>
        <v>2.1010477798528777</v>
      </c>
      <c r="L185">
        <v>87.988826815642454</v>
      </c>
      <c r="M185">
        <v>60.8</v>
      </c>
    </row>
    <row r="186" spans="1:13" ht="15" customHeight="1" x14ac:dyDescent="0.35">
      <c r="G186">
        <v>159</v>
      </c>
      <c r="H186">
        <v>57.71227197698812</v>
      </c>
      <c r="I186">
        <v>4.9877280230118828</v>
      </c>
      <c r="J186">
        <v>1.7957337939102629</v>
      </c>
      <c r="K186">
        <f t="shared" si="2"/>
        <v>7.9549091276106587</v>
      </c>
      <c r="L186">
        <v>88.547486033519547</v>
      </c>
      <c r="M186">
        <v>60.9</v>
      </c>
    </row>
    <row r="187" spans="1:13" ht="15" customHeight="1" x14ac:dyDescent="0.35">
      <c r="G187">
        <v>160</v>
      </c>
      <c r="H187">
        <v>54.200545990716705</v>
      </c>
      <c r="I187">
        <v>-1.6005459907167037</v>
      </c>
      <c r="J187">
        <v>-0.57624523850881182</v>
      </c>
      <c r="K187">
        <f t="shared" si="2"/>
        <v>3.04286310022187</v>
      </c>
      <c r="L187">
        <v>89.106145251396654</v>
      </c>
      <c r="M187">
        <v>61.2</v>
      </c>
    </row>
    <row r="188" spans="1:13" ht="15" customHeight="1" x14ac:dyDescent="0.35">
      <c r="G188">
        <v>161</v>
      </c>
      <c r="H188">
        <v>56.863340826828889</v>
      </c>
      <c r="I188">
        <v>3.8366591731711139</v>
      </c>
      <c r="J188">
        <v>1.3813139973135145</v>
      </c>
      <c r="K188">
        <f t="shared" si="2"/>
        <v>6.3206905653560348</v>
      </c>
      <c r="L188">
        <v>89.664804469273747</v>
      </c>
      <c r="M188">
        <v>61.2</v>
      </c>
    </row>
    <row r="189" spans="1:13" ht="15" customHeight="1" x14ac:dyDescent="0.35">
      <c r="G189">
        <v>162</v>
      </c>
      <c r="H189">
        <v>55.616124410176909</v>
      </c>
      <c r="I189">
        <v>-0.91612441017690571</v>
      </c>
      <c r="J189">
        <v>-0.32983265229994629</v>
      </c>
      <c r="K189">
        <f t="shared" si="2"/>
        <v>1.6748161063563176</v>
      </c>
      <c r="L189">
        <v>90.22346368715084</v>
      </c>
      <c r="M189">
        <v>61.5</v>
      </c>
    </row>
    <row r="190" spans="1:13" ht="15" customHeight="1" x14ac:dyDescent="0.35">
      <c r="G190">
        <v>163</v>
      </c>
      <c r="H190">
        <v>52.079390559463477</v>
      </c>
      <c r="I190">
        <v>-2.0793905594634765</v>
      </c>
      <c r="J190">
        <v>-0.7486438476875299</v>
      </c>
      <c r="K190">
        <f t="shared" si="2"/>
        <v>4.158781118926953</v>
      </c>
      <c r="L190">
        <v>90.782122905027933</v>
      </c>
      <c r="M190">
        <v>61.6</v>
      </c>
    </row>
    <row r="191" spans="1:13" ht="15" customHeight="1" x14ac:dyDescent="0.35">
      <c r="G191">
        <v>164</v>
      </c>
      <c r="H191">
        <v>59.69839184532821</v>
      </c>
      <c r="I191">
        <v>1.5016081546717928</v>
      </c>
      <c r="J191">
        <v>0.54062460826143233</v>
      </c>
      <c r="K191">
        <f t="shared" si="2"/>
        <v>2.4536080958689426</v>
      </c>
      <c r="L191">
        <v>91.340782122905026</v>
      </c>
      <c r="M191">
        <v>61.6</v>
      </c>
    </row>
    <row r="192" spans="1:13" ht="15" customHeight="1" x14ac:dyDescent="0.35">
      <c r="G192">
        <v>165</v>
      </c>
      <c r="H192">
        <v>58.447821509315958</v>
      </c>
      <c r="I192">
        <v>-0.54782150931595908</v>
      </c>
      <c r="J192">
        <v>-0.19723240577090503</v>
      </c>
      <c r="K192">
        <f t="shared" si="2"/>
        <v>0.94615113871495526</v>
      </c>
      <c r="L192">
        <v>91.899441340782118</v>
      </c>
      <c r="M192">
        <v>61.6</v>
      </c>
    </row>
    <row r="193" spans="7:13" ht="15" customHeight="1" x14ac:dyDescent="0.35">
      <c r="G193">
        <v>166</v>
      </c>
      <c r="H193">
        <v>55.494067689568382</v>
      </c>
      <c r="I193">
        <v>-1.2940676895683794</v>
      </c>
      <c r="J193">
        <v>-0.46590372831958604</v>
      </c>
      <c r="K193">
        <f t="shared" si="2"/>
        <v>2.3875787630412901</v>
      </c>
      <c r="L193">
        <v>92.458100558659211</v>
      </c>
      <c r="M193">
        <v>61.7</v>
      </c>
    </row>
    <row r="194" spans="7:13" ht="15" customHeight="1" x14ac:dyDescent="0.35">
      <c r="G194">
        <v>167</v>
      </c>
      <c r="H194">
        <v>48.725621785094447</v>
      </c>
      <c r="I194">
        <v>1.2743782149055534</v>
      </c>
      <c r="J194">
        <v>0.45881491857028744</v>
      </c>
      <c r="K194">
        <f t="shared" si="2"/>
        <v>2.5487564298111067</v>
      </c>
      <c r="L194">
        <v>93.016759776536318</v>
      </c>
      <c r="M194">
        <v>62</v>
      </c>
    </row>
    <row r="195" spans="7:13" ht="15" customHeight="1" x14ac:dyDescent="0.35">
      <c r="G195">
        <v>168</v>
      </c>
      <c r="H195">
        <v>52.515148504725936</v>
      </c>
      <c r="I195">
        <v>-2.5151485047259357</v>
      </c>
      <c r="J195">
        <v>-0.90552996189874024</v>
      </c>
      <c r="K195">
        <f t="shared" si="2"/>
        <v>5.0302970094518713</v>
      </c>
      <c r="L195">
        <v>93.575418994413411</v>
      </c>
      <c r="M195">
        <v>62.2</v>
      </c>
    </row>
    <row r="196" spans="7:13" ht="15" customHeight="1" x14ac:dyDescent="0.35">
      <c r="G196">
        <v>169</v>
      </c>
      <c r="H196">
        <v>49.899356133917927</v>
      </c>
      <c r="I196">
        <v>0.10064386608207343</v>
      </c>
      <c r="J196">
        <v>3.6234852950988099E-2</v>
      </c>
      <c r="K196">
        <f t="shared" si="2"/>
        <v>0.20128773216414683</v>
      </c>
      <c r="L196">
        <v>94.134078212290504</v>
      </c>
      <c r="M196">
        <v>62.3</v>
      </c>
    </row>
    <row r="197" spans="7:13" ht="15" customHeight="1" x14ac:dyDescent="0.35">
      <c r="G197">
        <v>170</v>
      </c>
      <c r="H197">
        <v>52.760183617911856</v>
      </c>
      <c r="I197">
        <v>-1.3601836179118578</v>
      </c>
      <c r="J197">
        <v>-0.48970747349060673</v>
      </c>
      <c r="K197">
        <f t="shared" si="2"/>
        <v>2.6462716301787115</v>
      </c>
      <c r="L197">
        <v>94.692737430167597</v>
      </c>
      <c r="M197">
        <v>62.7</v>
      </c>
    </row>
    <row r="198" spans="7:13" ht="15" customHeight="1" x14ac:dyDescent="0.35">
      <c r="G198">
        <v>171</v>
      </c>
      <c r="H198">
        <v>49.803215634289835</v>
      </c>
      <c r="I198">
        <v>0.19678436571016533</v>
      </c>
      <c r="J198">
        <v>7.0848357005150589E-2</v>
      </c>
      <c r="K198">
        <f t="shared" si="2"/>
        <v>0.39356873142033066</v>
      </c>
      <c r="L198">
        <v>95.25139664804469</v>
      </c>
      <c r="M198">
        <v>62.8</v>
      </c>
    </row>
    <row r="199" spans="7:13" ht="15" customHeight="1" x14ac:dyDescent="0.35">
      <c r="G199">
        <v>172</v>
      </c>
      <c r="H199">
        <v>54.902428356886801</v>
      </c>
      <c r="I199">
        <v>-4.9024283568868015</v>
      </c>
      <c r="J199">
        <v>-1.7650233196495644</v>
      </c>
      <c r="K199">
        <f t="shared" si="2"/>
        <v>9.8048567137736029</v>
      </c>
      <c r="L199">
        <v>95.810055865921782</v>
      </c>
      <c r="M199">
        <v>63</v>
      </c>
    </row>
    <row r="200" spans="7:13" ht="15" customHeight="1" x14ac:dyDescent="0.35">
      <c r="G200">
        <v>173</v>
      </c>
      <c r="H200">
        <v>58.618799137726612</v>
      </c>
      <c r="I200">
        <v>-3.8187991377266144</v>
      </c>
      <c r="J200">
        <v>-1.3748838413266298</v>
      </c>
      <c r="K200">
        <f t="shared" si="2"/>
        <v>6.9686115651945517</v>
      </c>
      <c r="L200">
        <v>96.36871508379889</v>
      </c>
      <c r="M200">
        <v>63.1</v>
      </c>
    </row>
    <row r="201" spans="7:13" ht="15" customHeight="1" x14ac:dyDescent="0.35">
      <c r="G201">
        <v>174</v>
      </c>
      <c r="H201">
        <v>54.596174370837282</v>
      </c>
      <c r="I201">
        <v>-2.9961743708372808</v>
      </c>
      <c r="J201">
        <v>-1.0787139044745597</v>
      </c>
      <c r="K201">
        <f t="shared" si="2"/>
        <v>5.8065394783668234</v>
      </c>
      <c r="L201">
        <v>96.927374301675982</v>
      </c>
      <c r="M201">
        <v>63.4</v>
      </c>
    </row>
    <row r="202" spans="7:13" ht="15" customHeight="1" x14ac:dyDescent="0.35">
      <c r="G202">
        <v>175</v>
      </c>
      <c r="H202">
        <v>49.523277599031502</v>
      </c>
      <c r="I202">
        <v>0.47672240096849805</v>
      </c>
      <c r="J202">
        <v>0.17163456423115617</v>
      </c>
      <c r="K202">
        <f t="shared" si="2"/>
        <v>0.9534448019369961</v>
      </c>
      <c r="L202">
        <v>97.486033519553075</v>
      </c>
      <c r="M202">
        <v>63.4</v>
      </c>
    </row>
    <row r="203" spans="7:13" ht="15" customHeight="1" x14ac:dyDescent="0.35">
      <c r="G203">
        <v>176</v>
      </c>
      <c r="H203">
        <v>57.094917524822371</v>
      </c>
      <c r="I203">
        <v>-2.3949175248223682</v>
      </c>
      <c r="J203">
        <v>-0.86224315221471759</v>
      </c>
      <c r="K203">
        <f t="shared" si="2"/>
        <v>4.3782770106441831</v>
      </c>
      <c r="L203">
        <v>98.044692737430168</v>
      </c>
      <c r="M203">
        <v>64.8</v>
      </c>
    </row>
    <row r="204" spans="7:13" ht="15" customHeight="1" x14ac:dyDescent="0.35">
      <c r="G204">
        <v>177</v>
      </c>
      <c r="H204">
        <v>53.302676370972769</v>
      </c>
      <c r="I204">
        <v>-3.3026763709727689</v>
      </c>
      <c r="J204">
        <v>-1.1890639470199877</v>
      </c>
      <c r="K204">
        <f t="shared" si="2"/>
        <v>6.6053527419455378</v>
      </c>
      <c r="L204">
        <v>98.603351955307261</v>
      </c>
      <c r="M204">
        <v>64.900000000000006</v>
      </c>
    </row>
    <row r="205" spans="7:13" ht="15" customHeight="1" x14ac:dyDescent="0.35">
      <c r="G205">
        <v>178</v>
      </c>
      <c r="H205">
        <v>55.546966276973365</v>
      </c>
      <c r="I205">
        <v>3.7530337230266326</v>
      </c>
      <c r="J205">
        <v>1.3512062917284129</v>
      </c>
      <c r="K205">
        <f t="shared" si="2"/>
        <v>6.3288932934681839</v>
      </c>
      <c r="L205">
        <v>99.162011173184354</v>
      </c>
      <c r="M205">
        <v>65</v>
      </c>
    </row>
    <row r="206" spans="7:13" ht="15" customHeight="1" x14ac:dyDescent="0.35">
      <c r="G206">
        <v>179</v>
      </c>
      <c r="H206">
        <v>53.960320989889127</v>
      </c>
      <c r="I206">
        <v>-3.9603209898891265</v>
      </c>
      <c r="J206">
        <v>-1.4258360126023066</v>
      </c>
      <c r="K206">
        <f t="shared" si="2"/>
        <v>7.920641979778253</v>
      </c>
      <c r="L206">
        <v>99.720670391061446</v>
      </c>
      <c r="M206">
        <v>67.8</v>
      </c>
    </row>
  </sheetData>
  <pageMargins left="0.75" right="0.75" top="1" bottom="1" header="0.511811023622047" footer="0.511811023622047"/>
  <pageSetup paperSize="9" orientation="portrait" horizontalDpi="300" verticalDpi="300"/>
  <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907F86DB-4AB5-451C-A4FA-8583C4EAB0CD}">
          <xm:f>Data!A1:A180</xm:f>
        </x15:webExtension>
        <x15:webExtension appRef="{C60F4D44-575D-463F-8D77-8E445EDA6378}">
          <xm:f>Data!B1:E180</xm:f>
        </x15:webExtension>
        <x15:webExtension appRef="{2F8676C8-1C3E-4A87-A218-35B4F6B8EA96}">
          <xm:f>Data!$G$1:$P$207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zoomScaleNormal="100" workbookViewId="0"/>
  </sheetViews>
  <sheetFormatPr defaultColWidth="8.6328125" defaultRowHeight="15" customHeight="1" x14ac:dyDescent="0.35"/>
  <cols>
    <col min="1" max="7" width="18" customWidth="1"/>
  </cols>
  <sheetData>
    <row r="1" spans="1:2" ht="20" x14ac:dyDescent="0.4">
      <c r="A1" s="1" t="s">
        <v>5</v>
      </c>
    </row>
    <row r="3" spans="1:2" ht="15.5" x14ac:dyDescent="0.35">
      <c r="A3" s="2" t="s">
        <v>6</v>
      </c>
    </row>
    <row r="4" spans="1:2" ht="14.5" x14ac:dyDescent="0.35">
      <c r="A4" t="s">
        <v>7</v>
      </c>
    </row>
    <row r="5" spans="1:2" ht="14.5" x14ac:dyDescent="0.35">
      <c r="A5" t="s">
        <v>8</v>
      </c>
    </row>
    <row r="6" spans="1:2" ht="14.5" x14ac:dyDescent="0.35">
      <c r="A6" t="s">
        <v>9</v>
      </c>
    </row>
    <row r="7" spans="1:2" ht="14.5" x14ac:dyDescent="0.35">
      <c r="A7" t="s">
        <v>10</v>
      </c>
    </row>
    <row r="9" spans="1:2" ht="15.5" x14ac:dyDescent="0.35">
      <c r="A9" s="2" t="s">
        <v>11</v>
      </c>
    </row>
    <row r="10" spans="1:2" ht="14.5" x14ac:dyDescent="0.35">
      <c r="A10" t="s">
        <v>12</v>
      </c>
    </row>
    <row r="11" spans="1:2" ht="14.5" x14ac:dyDescent="0.35">
      <c r="A11" t="s">
        <v>13</v>
      </c>
    </row>
    <row r="12" spans="1:2" ht="14.5" x14ac:dyDescent="0.35">
      <c r="A12" t="s">
        <v>14</v>
      </c>
    </row>
    <row r="14" spans="1:2" ht="15.5" x14ac:dyDescent="0.35">
      <c r="A14" s="2" t="s">
        <v>15</v>
      </c>
    </row>
    <row r="15" spans="1:2" ht="14.5" x14ac:dyDescent="0.35">
      <c r="A15" t="s">
        <v>16</v>
      </c>
      <c r="B15" s="3" t="s">
        <v>17</v>
      </c>
    </row>
    <row r="16" spans="1:2" ht="14.5" x14ac:dyDescent="0.35">
      <c r="A16" t="s">
        <v>18</v>
      </c>
      <c r="B16" s="3" t="s">
        <v>19</v>
      </c>
    </row>
    <row r="17" spans="1:2" ht="14.5" x14ac:dyDescent="0.35">
      <c r="A17" t="s">
        <v>20</v>
      </c>
      <c r="B17" s="3" t="s">
        <v>21</v>
      </c>
    </row>
    <row r="19" spans="1:2" ht="15.5" x14ac:dyDescent="0.35">
      <c r="A19" s="2" t="s">
        <v>22</v>
      </c>
    </row>
    <row r="20" spans="1:2" ht="14.5" x14ac:dyDescent="0.35">
      <c r="A20" t="s">
        <v>23</v>
      </c>
    </row>
    <row r="21" spans="1:2" ht="14.5" x14ac:dyDescent="0.35">
      <c r="A21" t="s">
        <v>24</v>
      </c>
    </row>
    <row r="22" spans="1:2" ht="14.5" x14ac:dyDescent="0.35">
      <c r="A22" t="s">
        <v>25</v>
      </c>
    </row>
    <row r="23" spans="1:2" ht="14.5" x14ac:dyDescent="0.35">
      <c r="A23" t="s">
        <v>26</v>
      </c>
    </row>
    <row r="25" spans="1:2" ht="15.5" x14ac:dyDescent="0.35">
      <c r="A25" s="2" t="s">
        <v>27</v>
      </c>
    </row>
  </sheetData>
  <pageMargins left="0.75" right="0.75" top="1" bottom="1" header="0.511811023622047" footer="0.511811023622047"/>
  <pageSetup paperSize="9" orientation="portrait" horizontalDpi="300" verticalDpi="300"/>
  <extLst>
    <ext xmlns:x15="http://schemas.microsoft.com/office/spreadsheetml/2010/11/main" uri="{F7C9EE02-42E1-4005-9D12-6889AFFD525C}">
      <x15:webExtensions xmlns:xm="http://schemas.microsoft.com/office/excel/2006/main">
        <x15:webExtension appRef="{881ACCAC-292C-46C7-8D08-4F38D5EB4DDD}">
          <xm:f>Regression_Setup!1:1048576</xm:f>
        </x15:webExtension>
      </x15:webExtens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8:G22"/>
  <sheetViews>
    <sheetView zoomScaleNormal="100" workbookViewId="0"/>
  </sheetViews>
  <sheetFormatPr defaultColWidth="8.6328125" defaultRowHeight="15" customHeight="1" x14ac:dyDescent="0.35"/>
  <cols>
    <col min="1" max="7" width="18" customWidth="1"/>
  </cols>
  <sheetData>
    <row r="8" spans="1:6" x14ac:dyDescent="0.35">
      <c r="A8" t="s">
        <v>28</v>
      </c>
    </row>
    <row r="10" spans="1:6" x14ac:dyDescent="0.35">
      <c r="A10" s="4" t="s">
        <v>29</v>
      </c>
    </row>
    <row r="11" spans="1:6" x14ac:dyDescent="0.35">
      <c r="B11" s="5" t="s">
        <v>30</v>
      </c>
      <c r="C11" s="5"/>
      <c r="D11" s="5"/>
      <c r="E11" s="5"/>
      <c r="F11" s="5"/>
    </row>
    <row r="12" spans="1:6" x14ac:dyDescent="0.35">
      <c r="A12" t="s">
        <v>31</v>
      </c>
    </row>
    <row r="13" spans="1:6" x14ac:dyDescent="0.35">
      <c r="A13" t="s">
        <v>32</v>
      </c>
    </row>
    <row r="14" spans="1:6" x14ac:dyDescent="0.35">
      <c r="A14" t="s">
        <v>33</v>
      </c>
    </row>
    <row r="17" spans="1:7" x14ac:dyDescent="0.35">
      <c r="B17" s="5" t="s">
        <v>34</v>
      </c>
      <c r="C17" s="5"/>
      <c r="D17" s="5"/>
      <c r="E17" s="5"/>
      <c r="F17" s="5"/>
      <c r="G17" s="5"/>
    </row>
    <row r="18" spans="1:7" x14ac:dyDescent="0.35">
      <c r="A18" t="s">
        <v>35</v>
      </c>
      <c r="B18">
        <v>45.167344</v>
      </c>
      <c r="C18">
        <v>4.5167339999999996</v>
      </c>
      <c r="D18">
        <v>10</v>
      </c>
      <c r="E18" t="s">
        <v>36</v>
      </c>
    </row>
    <row r="19" spans="1:7" x14ac:dyDescent="0.35">
      <c r="A19" t="s">
        <v>1</v>
      </c>
      <c r="B19">
        <v>9.3999999999999994E-5</v>
      </c>
      <c r="C19">
        <v>9.0000000000000002E-6</v>
      </c>
      <c r="D19">
        <v>10</v>
      </c>
      <c r="E19" t="s">
        <v>37</v>
      </c>
    </row>
    <row r="20" spans="1:7" x14ac:dyDescent="0.35">
      <c r="A20" t="s">
        <v>2</v>
      </c>
      <c r="B20">
        <v>0.767733</v>
      </c>
      <c r="C20">
        <v>7.6772999999999994E-2</v>
      </c>
      <c r="D20">
        <v>10</v>
      </c>
      <c r="E20" t="s">
        <v>36</v>
      </c>
    </row>
    <row r="21" spans="1:7" x14ac:dyDescent="0.35">
      <c r="A21" t="s">
        <v>3</v>
      </c>
      <c r="B21">
        <v>0.32952300000000001</v>
      </c>
      <c r="C21">
        <v>3.2952000000000002E-2</v>
      </c>
      <c r="D21">
        <v>10</v>
      </c>
      <c r="E21" t="s">
        <v>36</v>
      </c>
    </row>
    <row r="22" spans="1:7" x14ac:dyDescent="0.35">
      <c r="A22" t="s">
        <v>4</v>
      </c>
      <c r="B22">
        <v>-4.1272999999999997E-2</v>
      </c>
      <c r="C22">
        <v>4.1269999999999996E-3</v>
      </c>
      <c r="D22">
        <v>-10</v>
      </c>
      <c r="E22" t="s"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0"/>
  <sheetViews>
    <sheetView zoomScaleNormal="100" workbookViewId="0"/>
  </sheetViews>
  <sheetFormatPr defaultColWidth="8.6328125" defaultRowHeight="15" customHeight="1" x14ac:dyDescent="0.35"/>
  <cols>
    <col min="1" max="7" width="18" customWidth="1"/>
  </cols>
  <sheetData>
    <row r="1" spans="1:3" x14ac:dyDescent="0.35">
      <c r="A1" s="6" t="s">
        <v>38</v>
      </c>
      <c r="B1" s="6" t="s">
        <v>39</v>
      </c>
      <c r="C1" s="6" t="s">
        <v>40</v>
      </c>
    </row>
    <row r="2" spans="1:3" x14ac:dyDescent="0.35">
      <c r="A2">
        <v>1</v>
      </c>
      <c r="B2">
        <v>57.33</v>
      </c>
      <c r="C2">
        <v>-2.23</v>
      </c>
    </row>
    <row r="3" spans="1:3" x14ac:dyDescent="0.35">
      <c r="A3">
        <v>2</v>
      </c>
      <c r="B3">
        <v>55.23</v>
      </c>
      <c r="C3">
        <v>-2.83</v>
      </c>
    </row>
    <row r="4" spans="1:3" x14ac:dyDescent="0.35">
      <c r="A4">
        <v>3</v>
      </c>
      <c r="B4">
        <v>52.18</v>
      </c>
      <c r="C4">
        <v>-1.28</v>
      </c>
    </row>
    <row r="5" spans="1:3" x14ac:dyDescent="0.35">
      <c r="A5">
        <v>4</v>
      </c>
      <c r="B5">
        <v>56.31</v>
      </c>
      <c r="C5">
        <v>-5.81</v>
      </c>
    </row>
    <row r="6" spans="1:3" x14ac:dyDescent="0.35">
      <c r="A6">
        <v>5</v>
      </c>
      <c r="B6">
        <v>53.35</v>
      </c>
      <c r="C6">
        <v>-3.35</v>
      </c>
    </row>
    <row r="7" spans="1:3" x14ac:dyDescent="0.35">
      <c r="A7">
        <v>6</v>
      </c>
      <c r="B7">
        <v>54.09</v>
      </c>
      <c r="C7">
        <v>-4.09</v>
      </c>
    </row>
    <row r="8" spans="1:3" x14ac:dyDescent="0.35">
      <c r="A8">
        <v>7</v>
      </c>
      <c r="B8">
        <v>48.07</v>
      </c>
      <c r="C8">
        <v>1.93</v>
      </c>
    </row>
    <row r="9" spans="1:3" x14ac:dyDescent="0.35">
      <c r="A9">
        <v>8</v>
      </c>
      <c r="B9">
        <v>50.95</v>
      </c>
      <c r="C9">
        <v>-0.35</v>
      </c>
    </row>
    <row r="10" spans="1:3" x14ac:dyDescent="0.35">
      <c r="A10">
        <v>9</v>
      </c>
      <c r="B10">
        <v>55.99</v>
      </c>
      <c r="C10">
        <v>1.1100000000000001</v>
      </c>
    </row>
    <row r="11" spans="1:3" x14ac:dyDescent="0.35">
      <c r="A11">
        <v>10</v>
      </c>
      <c r="B11">
        <v>51.18</v>
      </c>
      <c r="C11">
        <v>-1.18</v>
      </c>
    </row>
    <row r="12" spans="1:3" x14ac:dyDescent="0.35">
      <c r="A12">
        <v>11</v>
      </c>
      <c r="B12">
        <v>47.17</v>
      </c>
      <c r="C12">
        <v>2.83</v>
      </c>
    </row>
    <row r="13" spans="1:3" x14ac:dyDescent="0.35">
      <c r="A13">
        <v>12</v>
      </c>
      <c r="B13">
        <v>53.64</v>
      </c>
      <c r="C13">
        <v>2.16</v>
      </c>
    </row>
    <row r="14" spans="1:3" x14ac:dyDescent="0.35">
      <c r="A14">
        <v>13</v>
      </c>
      <c r="B14">
        <v>51.45</v>
      </c>
      <c r="C14">
        <v>-1.45</v>
      </c>
    </row>
    <row r="15" spans="1:3" x14ac:dyDescent="0.35">
      <c r="A15">
        <v>14</v>
      </c>
      <c r="B15">
        <v>48.33</v>
      </c>
      <c r="C15">
        <v>1.67</v>
      </c>
    </row>
    <row r="16" spans="1:3" x14ac:dyDescent="0.35">
      <c r="A16">
        <v>15</v>
      </c>
      <c r="B16">
        <v>57.64</v>
      </c>
      <c r="C16">
        <v>1.26</v>
      </c>
    </row>
    <row r="17" spans="1:3" x14ac:dyDescent="0.35">
      <c r="A17">
        <v>16</v>
      </c>
      <c r="B17">
        <v>53.91</v>
      </c>
      <c r="C17">
        <v>-3.91</v>
      </c>
    </row>
    <row r="18" spans="1:3" x14ac:dyDescent="0.35">
      <c r="A18">
        <v>17</v>
      </c>
      <c r="B18">
        <v>57.67</v>
      </c>
      <c r="C18">
        <v>-0.17</v>
      </c>
    </row>
    <row r="19" spans="1:3" x14ac:dyDescent="0.35">
      <c r="A19">
        <v>18</v>
      </c>
      <c r="B19">
        <v>47.22</v>
      </c>
      <c r="C19">
        <v>2.78</v>
      </c>
    </row>
    <row r="20" spans="1:3" x14ac:dyDescent="0.35">
      <c r="A20">
        <v>19</v>
      </c>
      <c r="B20">
        <v>48.92</v>
      </c>
      <c r="C20">
        <v>1.78</v>
      </c>
    </row>
    <row r="21" spans="1:3" x14ac:dyDescent="0.35">
      <c r="A21">
        <v>20</v>
      </c>
      <c r="B21">
        <v>48.79</v>
      </c>
      <c r="C21">
        <v>1.21</v>
      </c>
    </row>
    <row r="22" spans="1:3" x14ac:dyDescent="0.35">
      <c r="A22">
        <v>21</v>
      </c>
      <c r="B22">
        <v>53.33</v>
      </c>
      <c r="C22">
        <v>3.57</v>
      </c>
    </row>
    <row r="23" spans="1:3" x14ac:dyDescent="0.35">
      <c r="A23">
        <v>22</v>
      </c>
      <c r="B23">
        <v>57.34</v>
      </c>
      <c r="C23">
        <v>1.1599999999999999</v>
      </c>
    </row>
    <row r="24" spans="1:3" x14ac:dyDescent="0.35">
      <c r="A24">
        <v>23</v>
      </c>
      <c r="B24">
        <v>55.88</v>
      </c>
      <c r="C24">
        <v>-2.48</v>
      </c>
    </row>
    <row r="25" spans="1:3" x14ac:dyDescent="0.35">
      <c r="A25">
        <v>24</v>
      </c>
      <c r="B25">
        <v>59.35</v>
      </c>
      <c r="C25">
        <v>1.35</v>
      </c>
    </row>
    <row r="26" spans="1:3" x14ac:dyDescent="0.35">
      <c r="A26">
        <v>25</v>
      </c>
      <c r="B26">
        <v>48.38</v>
      </c>
      <c r="C26">
        <v>1.62</v>
      </c>
    </row>
    <row r="27" spans="1:3" x14ac:dyDescent="0.35">
      <c r="A27">
        <v>26</v>
      </c>
      <c r="B27">
        <v>51.56</v>
      </c>
      <c r="C27">
        <v>-1.56</v>
      </c>
    </row>
    <row r="28" spans="1:3" x14ac:dyDescent="0.35">
      <c r="A28">
        <v>27</v>
      </c>
      <c r="B28">
        <v>55.04</v>
      </c>
      <c r="C28">
        <v>1.1599999999999999</v>
      </c>
    </row>
    <row r="29" spans="1:3" x14ac:dyDescent="0.35">
      <c r="A29">
        <v>28</v>
      </c>
      <c r="B29">
        <v>53.34</v>
      </c>
      <c r="C29">
        <v>1.1599999999999999</v>
      </c>
    </row>
    <row r="30" spans="1:3" x14ac:dyDescent="0.35">
      <c r="A30">
        <v>29</v>
      </c>
      <c r="B30">
        <v>50.84</v>
      </c>
      <c r="C30">
        <v>-0.84</v>
      </c>
    </row>
    <row r="31" spans="1:3" x14ac:dyDescent="0.35">
      <c r="A31">
        <v>30</v>
      </c>
      <c r="B31">
        <v>56.65</v>
      </c>
      <c r="C31">
        <v>6.75</v>
      </c>
    </row>
    <row r="32" spans="1:3" x14ac:dyDescent="0.35">
      <c r="A32">
        <v>31</v>
      </c>
      <c r="B32">
        <v>52.18</v>
      </c>
      <c r="C32">
        <v>-1.78</v>
      </c>
    </row>
    <row r="33" spans="1:3" x14ac:dyDescent="0.35">
      <c r="A33">
        <v>32</v>
      </c>
      <c r="B33">
        <v>51.68</v>
      </c>
      <c r="C33">
        <v>-0.08</v>
      </c>
    </row>
    <row r="34" spans="1:3" x14ac:dyDescent="0.35">
      <c r="A34">
        <v>33</v>
      </c>
      <c r="B34">
        <v>57.1</v>
      </c>
      <c r="C34">
        <v>0.2</v>
      </c>
    </row>
    <row r="35" spans="1:3" x14ac:dyDescent="0.35">
      <c r="A35">
        <v>34</v>
      </c>
      <c r="B35">
        <v>51.24</v>
      </c>
      <c r="C35">
        <v>-1.24</v>
      </c>
    </row>
    <row r="36" spans="1:3" x14ac:dyDescent="0.35">
      <c r="A36">
        <v>35</v>
      </c>
      <c r="B36">
        <v>53.37</v>
      </c>
      <c r="C36">
        <v>7.43</v>
      </c>
    </row>
    <row r="37" spans="1:3" x14ac:dyDescent="0.35">
      <c r="A37">
        <v>36</v>
      </c>
      <c r="B37">
        <v>58.82</v>
      </c>
      <c r="C37">
        <v>2.88</v>
      </c>
    </row>
    <row r="38" spans="1:3" x14ac:dyDescent="0.35">
      <c r="A38">
        <v>37</v>
      </c>
      <c r="B38">
        <v>44.82</v>
      </c>
      <c r="C38">
        <v>5.18</v>
      </c>
    </row>
    <row r="39" spans="1:3" x14ac:dyDescent="0.35">
      <c r="A39">
        <v>38</v>
      </c>
      <c r="B39">
        <v>53.19</v>
      </c>
      <c r="C39">
        <v>-3.19</v>
      </c>
    </row>
    <row r="40" spans="1:3" x14ac:dyDescent="0.35">
      <c r="A40">
        <v>39</v>
      </c>
      <c r="B40">
        <v>52.49</v>
      </c>
      <c r="C40">
        <v>-2.4900000000000002</v>
      </c>
    </row>
    <row r="41" spans="1:3" x14ac:dyDescent="0.35">
      <c r="A41">
        <v>40</v>
      </c>
      <c r="B41">
        <v>51.78</v>
      </c>
      <c r="C41">
        <v>-0.48</v>
      </c>
    </row>
    <row r="42" spans="1:3" x14ac:dyDescent="0.35">
      <c r="A42">
        <v>41</v>
      </c>
      <c r="B42">
        <v>59.56</v>
      </c>
      <c r="C42">
        <v>0.34</v>
      </c>
    </row>
    <row r="43" spans="1:3" x14ac:dyDescent="0.35">
      <c r="A43">
        <v>42</v>
      </c>
      <c r="B43">
        <v>62.05</v>
      </c>
      <c r="C43">
        <v>5.75</v>
      </c>
    </row>
    <row r="44" spans="1:3" x14ac:dyDescent="0.35">
      <c r="A44">
        <v>43</v>
      </c>
      <c r="B44">
        <v>46.46</v>
      </c>
      <c r="C44">
        <v>3.54</v>
      </c>
    </row>
    <row r="45" spans="1:3" x14ac:dyDescent="0.35">
      <c r="A45">
        <v>44</v>
      </c>
      <c r="B45">
        <v>56.16</v>
      </c>
      <c r="C45">
        <v>-2.66</v>
      </c>
    </row>
    <row r="46" spans="1:3" x14ac:dyDescent="0.35">
      <c r="A46">
        <v>45</v>
      </c>
      <c r="B46">
        <v>57.2</v>
      </c>
      <c r="C46">
        <v>0.8</v>
      </c>
    </row>
    <row r="47" spans="1:3" x14ac:dyDescent="0.35">
      <c r="A47">
        <v>46</v>
      </c>
      <c r="B47">
        <v>59.32</v>
      </c>
      <c r="C47">
        <v>2.68</v>
      </c>
    </row>
    <row r="48" spans="1:3" x14ac:dyDescent="0.35">
      <c r="A48">
        <v>47</v>
      </c>
      <c r="B48">
        <v>52.85</v>
      </c>
      <c r="C48">
        <v>-1.35</v>
      </c>
    </row>
    <row r="49" spans="1:3" x14ac:dyDescent="0.35">
      <c r="A49">
        <v>48</v>
      </c>
      <c r="B49">
        <v>56.87</v>
      </c>
      <c r="C49">
        <v>2.0299999999999998</v>
      </c>
    </row>
    <row r="50" spans="1:3" x14ac:dyDescent="0.35">
      <c r="A50">
        <v>49</v>
      </c>
      <c r="B50">
        <v>54.46</v>
      </c>
      <c r="C50">
        <v>1.04</v>
      </c>
    </row>
    <row r="51" spans="1:3" x14ac:dyDescent="0.35">
      <c r="A51">
        <v>50</v>
      </c>
      <c r="B51">
        <v>53.14</v>
      </c>
      <c r="C51">
        <v>-2.64</v>
      </c>
    </row>
    <row r="52" spans="1:3" x14ac:dyDescent="0.35">
      <c r="A52">
        <v>51</v>
      </c>
      <c r="B52">
        <v>55.83</v>
      </c>
      <c r="C52">
        <v>-1.73</v>
      </c>
    </row>
    <row r="53" spans="1:3" x14ac:dyDescent="0.35">
      <c r="A53">
        <v>52</v>
      </c>
      <c r="B53">
        <v>55.22</v>
      </c>
      <c r="C53">
        <v>1.58</v>
      </c>
    </row>
    <row r="54" spans="1:3" x14ac:dyDescent="0.35">
      <c r="A54">
        <v>53</v>
      </c>
      <c r="B54">
        <v>55.08</v>
      </c>
      <c r="C54">
        <v>-3.58</v>
      </c>
    </row>
    <row r="55" spans="1:3" x14ac:dyDescent="0.35">
      <c r="A55">
        <v>54</v>
      </c>
      <c r="B55">
        <v>57.11</v>
      </c>
      <c r="C55">
        <v>5.89</v>
      </c>
    </row>
    <row r="56" spans="1:3" x14ac:dyDescent="0.35">
      <c r="A56">
        <v>55</v>
      </c>
      <c r="B56">
        <v>54.82</v>
      </c>
      <c r="C56">
        <v>-1.82</v>
      </c>
    </row>
    <row r="57" spans="1:3" x14ac:dyDescent="0.35">
      <c r="A57">
        <v>56</v>
      </c>
      <c r="B57">
        <v>49.7</v>
      </c>
      <c r="C57">
        <v>0.3</v>
      </c>
    </row>
    <row r="58" spans="1:3" x14ac:dyDescent="0.35">
      <c r="A58">
        <v>57</v>
      </c>
      <c r="B58">
        <v>56.61</v>
      </c>
      <c r="C58">
        <v>0.79</v>
      </c>
    </row>
    <row r="59" spans="1:3" x14ac:dyDescent="0.35">
      <c r="A59">
        <v>58</v>
      </c>
      <c r="B59">
        <v>56.77</v>
      </c>
      <c r="C59">
        <v>-4.07</v>
      </c>
    </row>
    <row r="60" spans="1:3" x14ac:dyDescent="0.35">
      <c r="A60">
        <v>59</v>
      </c>
      <c r="B60">
        <v>52.87</v>
      </c>
      <c r="C60">
        <v>-2.87</v>
      </c>
    </row>
    <row r="61" spans="1:3" x14ac:dyDescent="0.35">
      <c r="A61">
        <v>60</v>
      </c>
      <c r="B61">
        <v>51.98</v>
      </c>
      <c r="C61">
        <v>-1.98</v>
      </c>
    </row>
    <row r="62" spans="1:3" x14ac:dyDescent="0.35">
      <c r="A62">
        <v>61</v>
      </c>
      <c r="B62">
        <v>54.04</v>
      </c>
      <c r="C62">
        <v>-3.64</v>
      </c>
    </row>
    <row r="63" spans="1:3" x14ac:dyDescent="0.35">
      <c r="A63">
        <v>62</v>
      </c>
      <c r="B63">
        <v>53.03</v>
      </c>
      <c r="C63">
        <v>-1.33</v>
      </c>
    </row>
    <row r="64" spans="1:3" x14ac:dyDescent="0.35">
      <c r="A64">
        <v>63</v>
      </c>
      <c r="B64">
        <v>55.89</v>
      </c>
      <c r="C64">
        <v>-1.29</v>
      </c>
    </row>
    <row r="65" spans="1:3" x14ac:dyDescent="0.35">
      <c r="A65">
        <v>64</v>
      </c>
      <c r="B65">
        <v>55.05</v>
      </c>
      <c r="C65">
        <v>-1.95</v>
      </c>
    </row>
    <row r="66" spans="1:3" x14ac:dyDescent="0.35">
      <c r="A66">
        <v>65</v>
      </c>
      <c r="B66">
        <v>53.18</v>
      </c>
      <c r="C66">
        <v>-3.18</v>
      </c>
    </row>
    <row r="67" spans="1:3" x14ac:dyDescent="0.35">
      <c r="A67">
        <v>66</v>
      </c>
      <c r="B67">
        <v>48.79</v>
      </c>
      <c r="C67">
        <v>1.21</v>
      </c>
    </row>
    <row r="68" spans="1:3" x14ac:dyDescent="0.35">
      <c r="A68">
        <v>67</v>
      </c>
      <c r="B68">
        <v>60.61</v>
      </c>
      <c r="C68">
        <v>0.89</v>
      </c>
    </row>
    <row r="69" spans="1:3" x14ac:dyDescent="0.35">
      <c r="A69">
        <v>68</v>
      </c>
      <c r="B69">
        <v>56.73</v>
      </c>
      <c r="C69">
        <v>-0.63</v>
      </c>
    </row>
    <row r="70" spans="1:3" x14ac:dyDescent="0.35">
      <c r="A70">
        <v>69</v>
      </c>
      <c r="B70">
        <v>58.58</v>
      </c>
      <c r="C70">
        <v>6.22</v>
      </c>
    </row>
    <row r="71" spans="1:3" x14ac:dyDescent="0.35">
      <c r="A71">
        <v>70</v>
      </c>
      <c r="B71">
        <v>53.26</v>
      </c>
      <c r="C71">
        <v>-3.26</v>
      </c>
    </row>
    <row r="72" spans="1:3" x14ac:dyDescent="0.35">
      <c r="A72">
        <v>71</v>
      </c>
      <c r="B72">
        <v>55.54</v>
      </c>
      <c r="C72">
        <v>2.86</v>
      </c>
    </row>
    <row r="73" spans="1:3" x14ac:dyDescent="0.35">
      <c r="A73">
        <v>72</v>
      </c>
      <c r="B73">
        <v>58.76</v>
      </c>
      <c r="C73">
        <v>-3.26</v>
      </c>
    </row>
    <row r="74" spans="1:3" x14ac:dyDescent="0.35">
      <c r="A74">
        <v>73</v>
      </c>
      <c r="B74">
        <v>52.32</v>
      </c>
      <c r="C74">
        <v>-2.3199999999999998</v>
      </c>
    </row>
    <row r="75" spans="1:3" x14ac:dyDescent="0.35">
      <c r="A75">
        <v>74</v>
      </c>
      <c r="B75">
        <v>58.63</v>
      </c>
      <c r="C75">
        <v>1.07</v>
      </c>
    </row>
    <row r="76" spans="1:3" x14ac:dyDescent="0.35">
      <c r="A76">
        <v>75</v>
      </c>
      <c r="B76">
        <v>55.74</v>
      </c>
      <c r="C76">
        <v>-3.44</v>
      </c>
    </row>
    <row r="77" spans="1:3" x14ac:dyDescent="0.35">
      <c r="A77">
        <v>76</v>
      </c>
      <c r="B77">
        <v>54.47</v>
      </c>
      <c r="C77">
        <v>-3.97</v>
      </c>
    </row>
    <row r="78" spans="1:3" x14ac:dyDescent="0.35">
      <c r="A78">
        <v>77</v>
      </c>
      <c r="B78">
        <v>44.44</v>
      </c>
      <c r="C78">
        <v>5.56</v>
      </c>
    </row>
    <row r="79" spans="1:3" x14ac:dyDescent="0.35">
      <c r="A79">
        <v>78</v>
      </c>
      <c r="B79">
        <v>51.26</v>
      </c>
      <c r="C79">
        <v>-1.26</v>
      </c>
    </row>
    <row r="80" spans="1:3" x14ac:dyDescent="0.35">
      <c r="A80">
        <v>79</v>
      </c>
      <c r="B80">
        <v>54.71</v>
      </c>
      <c r="C80">
        <v>4.6900000000000004</v>
      </c>
    </row>
    <row r="81" spans="1:3" x14ac:dyDescent="0.35">
      <c r="A81">
        <v>80</v>
      </c>
      <c r="B81">
        <v>44.99</v>
      </c>
      <c r="C81">
        <v>5.01</v>
      </c>
    </row>
    <row r="82" spans="1:3" x14ac:dyDescent="0.35">
      <c r="A82">
        <v>81</v>
      </c>
      <c r="B82">
        <v>52.43</v>
      </c>
      <c r="C82">
        <v>-2.4300000000000002</v>
      </c>
    </row>
    <row r="83" spans="1:3" x14ac:dyDescent="0.35">
      <c r="A83">
        <v>82</v>
      </c>
      <c r="B83">
        <v>58.21</v>
      </c>
      <c r="C83">
        <v>3.39</v>
      </c>
    </row>
    <row r="84" spans="1:3" x14ac:dyDescent="0.35">
      <c r="A84">
        <v>83</v>
      </c>
      <c r="B84">
        <v>60.92</v>
      </c>
      <c r="C84">
        <v>1.38</v>
      </c>
    </row>
    <row r="85" spans="1:3" x14ac:dyDescent="0.35">
      <c r="A85">
        <v>84</v>
      </c>
      <c r="B85">
        <v>61.55</v>
      </c>
      <c r="C85">
        <v>3.35</v>
      </c>
    </row>
    <row r="86" spans="1:3" x14ac:dyDescent="0.35">
      <c r="A86">
        <v>85</v>
      </c>
      <c r="B86">
        <v>51.09</v>
      </c>
      <c r="C86">
        <v>-1.0900000000000001</v>
      </c>
    </row>
    <row r="87" spans="1:3" x14ac:dyDescent="0.35">
      <c r="A87">
        <v>86</v>
      </c>
      <c r="B87">
        <v>54.09</v>
      </c>
      <c r="C87">
        <v>0.81</v>
      </c>
    </row>
    <row r="88" spans="1:3" x14ac:dyDescent="0.35">
      <c r="A88">
        <v>87</v>
      </c>
      <c r="B88">
        <v>58.54</v>
      </c>
      <c r="C88">
        <v>2.36</v>
      </c>
    </row>
    <row r="89" spans="1:3" x14ac:dyDescent="0.35">
      <c r="A89">
        <v>88</v>
      </c>
      <c r="B89">
        <v>54.6</v>
      </c>
      <c r="C89">
        <v>0.7</v>
      </c>
    </row>
    <row r="90" spans="1:3" x14ac:dyDescent="0.35">
      <c r="A90">
        <v>89</v>
      </c>
      <c r="B90">
        <v>53.46</v>
      </c>
      <c r="C90">
        <v>-3.46</v>
      </c>
    </row>
    <row r="91" spans="1:3" x14ac:dyDescent="0.35">
      <c r="A91">
        <v>90</v>
      </c>
      <c r="B91">
        <v>47.94</v>
      </c>
      <c r="C91">
        <v>2.06</v>
      </c>
    </row>
    <row r="92" spans="1:3" x14ac:dyDescent="0.35">
      <c r="A92">
        <v>91</v>
      </c>
      <c r="B92">
        <v>60.18</v>
      </c>
      <c r="C92">
        <v>-1.18</v>
      </c>
    </row>
    <row r="93" spans="1:3" x14ac:dyDescent="0.35">
      <c r="A93">
        <v>92</v>
      </c>
      <c r="B93">
        <v>53.53</v>
      </c>
      <c r="C93">
        <v>-3.23</v>
      </c>
    </row>
    <row r="94" spans="1:3" x14ac:dyDescent="0.35">
      <c r="A94">
        <v>93</v>
      </c>
      <c r="B94">
        <v>55.75</v>
      </c>
      <c r="C94">
        <v>-2.15</v>
      </c>
    </row>
    <row r="95" spans="1:3" x14ac:dyDescent="0.35">
      <c r="A95">
        <v>94</v>
      </c>
      <c r="B95">
        <v>53.36</v>
      </c>
      <c r="C95">
        <v>-3.36</v>
      </c>
    </row>
    <row r="96" spans="1:3" x14ac:dyDescent="0.35">
      <c r="A96">
        <v>95</v>
      </c>
      <c r="B96">
        <v>51.96</v>
      </c>
      <c r="C96">
        <v>-1.96</v>
      </c>
    </row>
    <row r="97" spans="1:3" x14ac:dyDescent="0.35">
      <c r="A97">
        <v>96</v>
      </c>
      <c r="B97">
        <v>54.62</v>
      </c>
      <c r="C97">
        <v>-4.62</v>
      </c>
    </row>
    <row r="98" spans="1:3" x14ac:dyDescent="0.35">
      <c r="A98">
        <v>97</v>
      </c>
      <c r="B98">
        <v>50.87</v>
      </c>
      <c r="C98">
        <v>-0.87</v>
      </c>
    </row>
    <row r="99" spans="1:3" x14ac:dyDescent="0.35">
      <c r="A99">
        <v>98</v>
      </c>
      <c r="B99">
        <v>61.12</v>
      </c>
      <c r="C99">
        <v>2.2799999999999998</v>
      </c>
    </row>
    <row r="100" spans="1:3" x14ac:dyDescent="0.35">
      <c r="A100">
        <v>99</v>
      </c>
      <c r="B100">
        <v>51.55</v>
      </c>
      <c r="C100">
        <v>-1.55</v>
      </c>
    </row>
    <row r="101" spans="1:3" x14ac:dyDescent="0.35">
      <c r="A101">
        <v>100</v>
      </c>
      <c r="B101">
        <v>53.38</v>
      </c>
      <c r="C101">
        <v>-0.88</v>
      </c>
    </row>
    <row r="102" spans="1:3" x14ac:dyDescent="0.35">
      <c r="A102">
        <v>101</v>
      </c>
      <c r="B102">
        <v>55.41</v>
      </c>
      <c r="C102">
        <v>2.19</v>
      </c>
    </row>
    <row r="103" spans="1:3" x14ac:dyDescent="0.35">
      <c r="A103">
        <v>102</v>
      </c>
      <c r="B103">
        <v>48.66</v>
      </c>
      <c r="C103">
        <v>1.34</v>
      </c>
    </row>
    <row r="104" spans="1:3" x14ac:dyDescent="0.35">
      <c r="A104">
        <v>103</v>
      </c>
      <c r="B104">
        <v>58.55</v>
      </c>
      <c r="C104">
        <v>1.65</v>
      </c>
    </row>
    <row r="105" spans="1:3" x14ac:dyDescent="0.35">
      <c r="A105">
        <v>104</v>
      </c>
      <c r="B105">
        <v>46.15</v>
      </c>
      <c r="C105">
        <v>3.85</v>
      </c>
    </row>
    <row r="106" spans="1:3" x14ac:dyDescent="0.35">
      <c r="A106">
        <v>105</v>
      </c>
      <c r="B106">
        <v>50.87</v>
      </c>
      <c r="C106">
        <v>-0.87</v>
      </c>
    </row>
    <row r="107" spans="1:3" x14ac:dyDescent="0.35">
      <c r="A107">
        <v>106</v>
      </c>
      <c r="B107">
        <v>58.67</v>
      </c>
      <c r="C107">
        <v>-2.0699999999999998</v>
      </c>
    </row>
    <row r="108" spans="1:3" x14ac:dyDescent="0.35">
      <c r="A108">
        <v>107</v>
      </c>
      <c r="B108">
        <v>50.5</v>
      </c>
      <c r="C108">
        <v>1.6</v>
      </c>
    </row>
    <row r="109" spans="1:3" x14ac:dyDescent="0.35">
      <c r="A109">
        <v>108</v>
      </c>
      <c r="B109">
        <v>56.71</v>
      </c>
      <c r="C109">
        <v>0.19</v>
      </c>
    </row>
    <row r="110" spans="1:3" x14ac:dyDescent="0.35">
      <c r="A110">
        <v>109</v>
      </c>
      <c r="B110">
        <v>60.38</v>
      </c>
      <c r="C110">
        <v>-2.48</v>
      </c>
    </row>
    <row r="111" spans="1:3" x14ac:dyDescent="0.35">
      <c r="A111">
        <v>110</v>
      </c>
      <c r="B111">
        <v>52.98</v>
      </c>
      <c r="C111">
        <v>-2.98</v>
      </c>
    </row>
    <row r="112" spans="1:3" x14ac:dyDescent="0.35">
      <c r="A112">
        <v>111</v>
      </c>
      <c r="B112">
        <v>55.23</v>
      </c>
      <c r="C112">
        <v>-0.63</v>
      </c>
    </row>
    <row r="113" spans="1:3" x14ac:dyDescent="0.35">
      <c r="A113">
        <v>112</v>
      </c>
      <c r="B113">
        <v>47.63</v>
      </c>
      <c r="C113">
        <v>2.37</v>
      </c>
    </row>
    <row r="114" spans="1:3" x14ac:dyDescent="0.35">
      <c r="A114">
        <v>113</v>
      </c>
      <c r="B114">
        <v>53.2</v>
      </c>
      <c r="C114">
        <v>3.8</v>
      </c>
    </row>
    <row r="115" spans="1:3" x14ac:dyDescent="0.35">
      <c r="A115">
        <v>114</v>
      </c>
      <c r="B115">
        <v>57.55</v>
      </c>
      <c r="C115">
        <v>2.95</v>
      </c>
    </row>
    <row r="116" spans="1:3" x14ac:dyDescent="0.35">
      <c r="A116">
        <v>115</v>
      </c>
      <c r="B116">
        <v>50.92</v>
      </c>
      <c r="C116">
        <v>-0.92</v>
      </c>
    </row>
    <row r="117" spans="1:3" x14ac:dyDescent="0.35">
      <c r="A117">
        <v>116</v>
      </c>
      <c r="B117">
        <v>51.13</v>
      </c>
      <c r="C117">
        <v>-1.1299999999999999</v>
      </c>
    </row>
    <row r="118" spans="1:3" x14ac:dyDescent="0.35">
      <c r="A118">
        <v>117</v>
      </c>
      <c r="B118">
        <v>57.08</v>
      </c>
      <c r="C118">
        <v>2.72</v>
      </c>
    </row>
    <row r="119" spans="1:3" x14ac:dyDescent="0.35">
      <c r="A119">
        <v>118</v>
      </c>
      <c r="B119">
        <v>54.5</v>
      </c>
      <c r="C119">
        <v>3.9</v>
      </c>
    </row>
    <row r="120" spans="1:3" x14ac:dyDescent="0.35">
      <c r="A120">
        <v>119</v>
      </c>
      <c r="B120">
        <v>59.09</v>
      </c>
      <c r="C120">
        <v>4.01</v>
      </c>
    </row>
    <row r="121" spans="1:3" x14ac:dyDescent="0.35">
      <c r="A121">
        <v>120</v>
      </c>
      <c r="B121">
        <v>56.42</v>
      </c>
      <c r="C121">
        <v>-0.52</v>
      </c>
    </row>
    <row r="122" spans="1:3" x14ac:dyDescent="0.35">
      <c r="A122">
        <v>121</v>
      </c>
      <c r="B122">
        <v>50.47</v>
      </c>
      <c r="C122">
        <v>-0.47</v>
      </c>
    </row>
    <row r="123" spans="1:3" x14ac:dyDescent="0.35">
      <c r="A123">
        <v>122</v>
      </c>
      <c r="B123">
        <v>51.19</v>
      </c>
      <c r="C123">
        <v>-1.19</v>
      </c>
    </row>
    <row r="124" spans="1:3" x14ac:dyDescent="0.35">
      <c r="A124">
        <v>123</v>
      </c>
      <c r="B124">
        <v>55.38</v>
      </c>
      <c r="C124">
        <v>0.22</v>
      </c>
    </row>
    <row r="125" spans="1:3" x14ac:dyDescent="0.35">
      <c r="A125">
        <v>124</v>
      </c>
      <c r="B125">
        <v>51.23</v>
      </c>
      <c r="C125">
        <v>-1.23</v>
      </c>
    </row>
    <row r="126" spans="1:3" x14ac:dyDescent="0.35">
      <c r="A126">
        <v>125</v>
      </c>
      <c r="B126">
        <v>55.17</v>
      </c>
      <c r="C126">
        <v>-5.17</v>
      </c>
    </row>
    <row r="127" spans="1:3" x14ac:dyDescent="0.35">
      <c r="A127">
        <v>126</v>
      </c>
      <c r="B127">
        <v>55.36</v>
      </c>
      <c r="C127">
        <v>6.24</v>
      </c>
    </row>
    <row r="128" spans="1:3" x14ac:dyDescent="0.35">
      <c r="A128">
        <v>127</v>
      </c>
      <c r="B128">
        <v>54.32</v>
      </c>
      <c r="C128">
        <v>-1.82</v>
      </c>
    </row>
    <row r="129" spans="1:3" x14ac:dyDescent="0.35">
      <c r="A129">
        <v>128</v>
      </c>
      <c r="B129">
        <v>55.63</v>
      </c>
      <c r="C129">
        <v>4.07</v>
      </c>
    </row>
    <row r="130" spans="1:3" x14ac:dyDescent="0.35">
      <c r="A130">
        <v>129</v>
      </c>
      <c r="B130">
        <v>56.57</v>
      </c>
      <c r="C130">
        <v>3.53</v>
      </c>
    </row>
    <row r="131" spans="1:3" x14ac:dyDescent="0.35">
      <c r="A131">
        <v>130</v>
      </c>
      <c r="B131">
        <v>51.71</v>
      </c>
      <c r="C131">
        <v>-1.71</v>
      </c>
    </row>
    <row r="132" spans="1:3" x14ac:dyDescent="0.35">
      <c r="A132">
        <v>131</v>
      </c>
      <c r="B132">
        <v>52.98</v>
      </c>
      <c r="C132">
        <v>-1.18</v>
      </c>
    </row>
    <row r="133" spans="1:3" x14ac:dyDescent="0.35">
      <c r="A133">
        <v>132</v>
      </c>
      <c r="B133">
        <v>50.69</v>
      </c>
      <c r="C133">
        <v>-0.69</v>
      </c>
    </row>
    <row r="134" spans="1:3" x14ac:dyDescent="0.35">
      <c r="A134">
        <v>133</v>
      </c>
      <c r="B134">
        <v>52.13</v>
      </c>
      <c r="C134">
        <v>-2.13</v>
      </c>
    </row>
    <row r="135" spans="1:3" x14ac:dyDescent="0.35">
      <c r="A135">
        <v>134</v>
      </c>
      <c r="B135">
        <v>54.99</v>
      </c>
      <c r="C135">
        <v>-3.39</v>
      </c>
    </row>
    <row r="136" spans="1:3" x14ac:dyDescent="0.35">
      <c r="A136">
        <v>135</v>
      </c>
      <c r="B136">
        <v>49.46</v>
      </c>
      <c r="C136">
        <v>0.54</v>
      </c>
    </row>
    <row r="137" spans="1:3" x14ac:dyDescent="0.35">
      <c r="A137">
        <v>136</v>
      </c>
      <c r="B137">
        <v>53.6</v>
      </c>
      <c r="C137">
        <v>-3.6</v>
      </c>
    </row>
    <row r="138" spans="1:3" x14ac:dyDescent="0.35">
      <c r="A138">
        <v>137</v>
      </c>
      <c r="B138">
        <v>57.34</v>
      </c>
      <c r="C138">
        <v>3.86</v>
      </c>
    </row>
    <row r="139" spans="1:3" x14ac:dyDescent="0.35">
      <c r="A139">
        <v>138</v>
      </c>
      <c r="B139">
        <v>48.75</v>
      </c>
      <c r="C139">
        <v>1.25</v>
      </c>
    </row>
    <row r="140" spans="1:3" x14ac:dyDescent="0.35">
      <c r="A140">
        <v>139</v>
      </c>
      <c r="B140">
        <v>52.86</v>
      </c>
      <c r="C140">
        <v>-2.86</v>
      </c>
    </row>
    <row r="141" spans="1:3" x14ac:dyDescent="0.35">
      <c r="A141">
        <v>140</v>
      </c>
      <c r="B141">
        <v>53.13</v>
      </c>
      <c r="C141">
        <v>-3.13</v>
      </c>
    </row>
    <row r="142" spans="1:3" x14ac:dyDescent="0.35">
      <c r="A142">
        <v>141</v>
      </c>
      <c r="B142">
        <v>51.33</v>
      </c>
      <c r="C142">
        <v>-1.33</v>
      </c>
    </row>
    <row r="143" spans="1:3" x14ac:dyDescent="0.35">
      <c r="A143">
        <v>142</v>
      </c>
      <c r="B143">
        <v>59.07</v>
      </c>
      <c r="C143">
        <v>2.5299999999999998</v>
      </c>
    </row>
    <row r="144" spans="1:3" x14ac:dyDescent="0.35">
      <c r="A144">
        <v>143</v>
      </c>
      <c r="B144">
        <v>60.51</v>
      </c>
      <c r="C144">
        <v>4.49</v>
      </c>
    </row>
    <row r="145" spans="1:3" x14ac:dyDescent="0.35">
      <c r="A145">
        <v>144</v>
      </c>
      <c r="B145">
        <v>47.95</v>
      </c>
      <c r="C145">
        <v>2.0499999999999998</v>
      </c>
    </row>
    <row r="146" spans="1:3" x14ac:dyDescent="0.35">
      <c r="A146">
        <v>145</v>
      </c>
      <c r="B146">
        <v>52.36</v>
      </c>
      <c r="C146">
        <v>1.24</v>
      </c>
    </row>
    <row r="147" spans="1:3" x14ac:dyDescent="0.35">
      <c r="A147">
        <v>146</v>
      </c>
      <c r="B147">
        <v>49.68</v>
      </c>
      <c r="C147">
        <v>0.62</v>
      </c>
    </row>
    <row r="148" spans="1:3" x14ac:dyDescent="0.35">
      <c r="A148">
        <v>147</v>
      </c>
      <c r="B148">
        <v>46.59</v>
      </c>
      <c r="C148">
        <v>3.41</v>
      </c>
    </row>
    <row r="149" spans="1:3" x14ac:dyDescent="0.35">
      <c r="A149">
        <v>148</v>
      </c>
      <c r="B149">
        <v>56.12</v>
      </c>
      <c r="C149">
        <v>-3.82</v>
      </c>
    </row>
    <row r="150" spans="1:3" x14ac:dyDescent="0.35">
      <c r="A150">
        <v>149</v>
      </c>
      <c r="B150">
        <v>53.73</v>
      </c>
      <c r="C150">
        <v>-0.43</v>
      </c>
    </row>
    <row r="151" spans="1:3" x14ac:dyDescent="0.35">
      <c r="A151">
        <v>150</v>
      </c>
      <c r="B151">
        <v>49.86</v>
      </c>
      <c r="C151">
        <v>0.14000000000000001</v>
      </c>
    </row>
    <row r="152" spans="1:3" x14ac:dyDescent="0.35">
      <c r="A152">
        <v>151</v>
      </c>
      <c r="B152">
        <v>54.21</v>
      </c>
      <c r="C152">
        <v>-3.61</v>
      </c>
    </row>
    <row r="153" spans="1:3" x14ac:dyDescent="0.35">
      <c r="A153">
        <v>152</v>
      </c>
      <c r="B153">
        <v>58.83</v>
      </c>
      <c r="C153">
        <v>-0.03</v>
      </c>
    </row>
    <row r="154" spans="1:3" x14ac:dyDescent="0.35">
      <c r="A154">
        <v>153</v>
      </c>
      <c r="B154">
        <v>54.37</v>
      </c>
      <c r="C154">
        <v>-1.37</v>
      </c>
    </row>
    <row r="155" spans="1:3" x14ac:dyDescent="0.35">
      <c r="A155">
        <v>154</v>
      </c>
      <c r="B155">
        <v>54.73</v>
      </c>
      <c r="C155">
        <v>-3.83</v>
      </c>
    </row>
    <row r="156" spans="1:3" x14ac:dyDescent="0.35">
      <c r="A156">
        <v>155</v>
      </c>
      <c r="B156">
        <v>47.27</v>
      </c>
      <c r="C156">
        <v>2.73</v>
      </c>
    </row>
    <row r="157" spans="1:3" x14ac:dyDescent="0.35">
      <c r="A157">
        <v>156</v>
      </c>
      <c r="B157">
        <v>51.14</v>
      </c>
      <c r="C157">
        <v>-1.1399999999999999</v>
      </c>
    </row>
    <row r="158" spans="1:3" x14ac:dyDescent="0.35">
      <c r="A158">
        <v>157</v>
      </c>
      <c r="B158">
        <v>58.27</v>
      </c>
      <c r="C158">
        <v>4.53</v>
      </c>
    </row>
    <row r="159" spans="1:3" x14ac:dyDescent="0.35">
      <c r="A159">
        <v>158</v>
      </c>
      <c r="B159">
        <v>60.89</v>
      </c>
      <c r="C159">
        <v>1.31</v>
      </c>
    </row>
    <row r="160" spans="1:3" x14ac:dyDescent="0.35">
      <c r="A160">
        <v>159</v>
      </c>
      <c r="B160">
        <v>57.71</v>
      </c>
      <c r="C160">
        <v>4.99</v>
      </c>
    </row>
    <row r="161" spans="1:3" x14ac:dyDescent="0.35">
      <c r="A161">
        <v>160</v>
      </c>
      <c r="B161">
        <v>54.2</v>
      </c>
      <c r="C161">
        <v>-1.6</v>
      </c>
    </row>
    <row r="162" spans="1:3" x14ac:dyDescent="0.35">
      <c r="A162">
        <v>161</v>
      </c>
      <c r="B162">
        <v>56.86</v>
      </c>
      <c r="C162">
        <v>3.84</v>
      </c>
    </row>
    <row r="163" spans="1:3" x14ac:dyDescent="0.35">
      <c r="A163">
        <v>162</v>
      </c>
      <c r="B163">
        <v>55.62</v>
      </c>
      <c r="C163">
        <v>-0.92</v>
      </c>
    </row>
    <row r="164" spans="1:3" x14ac:dyDescent="0.35">
      <c r="A164">
        <v>163</v>
      </c>
      <c r="B164">
        <v>52.08</v>
      </c>
      <c r="C164">
        <v>-2.08</v>
      </c>
    </row>
    <row r="165" spans="1:3" x14ac:dyDescent="0.35">
      <c r="A165">
        <v>164</v>
      </c>
      <c r="B165">
        <v>59.7</v>
      </c>
      <c r="C165">
        <v>1.5</v>
      </c>
    </row>
    <row r="166" spans="1:3" x14ac:dyDescent="0.35">
      <c r="A166">
        <v>165</v>
      </c>
      <c r="B166">
        <v>58.45</v>
      </c>
      <c r="C166">
        <v>-0.55000000000000004</v>
      </c>
    </row>
    <row r="167" spans="1:3" x14ac:dyDescent="0.35">
      <c r="A167">
        <v>166</v>
      </c>
      <c r="B167">
        <v>55.49</v>
      </c>
      <c r="C167">
        <v>-1.29</v>
      </c>
    </row>
    <row r="168" spans="1:3" x14ac:dyDescent="0.35">
      <c r="A168">
        <v>167</v>
      </c>
      <c r="B168">
        <v>48.73</v>
      </c>
      <c r="C168">
        <v>1.27</v>
      </c>
    </row>
    <row r="169" spans="1:3" x14ac:dyDescent="0.35">
      <c r="A169">
        <v>168</v>
      </c>
      <c r="B169">
        <v>52.52</v>
      </c>
      <c r="C169">
        <v>-2.52</v>
      </c>
    </row>
    <row r="170" spans="1:3" x14ac:dyDescent="0.35">
      <c r="A170">
        <v>169</v>
      </c>
      <c r="B170">
        <v>49.9</v>
      </c>
      <c r="C170">
        <v>0.1</v>
      </c>
    </row>
    <row r="171" spans="1:3" x14ac:dyDescent="0.35">
      <c r="A171">
        <v>170</v>
      </c>
      <c r="B171">
        <v>52.76</v>
      </c>
      <c r="C171">
        <v>-1.36</v>
      </c>
    </row>
    <row r="172" spans="1:3" x14ac:dyDescent="0.35">
      <c r="A172">
        <v>171</v>
      </c>
      <c r="B172">
        <v>49.8</v>
      </c>
      <c r="C172">
        <v>0.2</v>
      </c>
    </row>
    <row r="173" spans="1:3" x14ac:dyDescent="0.35">
      <c r="A173">
        <v>172</v>
      </c>
      <c r="B173">
        <v>54.9</v>
      </c>
      <c r="C173">
        <v>-4.9000000000000004</v>
      </c>
    </row>
    <row r="174" spans="1:3" x14ac:dyDescent="0.35">
      <c r="A174">
        <v>173</v>
      </c>
      <c r="B174">
        <v>58.62</v>
      </c>
      <c r="C174">
        <v>-3.82</v>
      </c>
    </row>
    <row r="175" spans="1:3" x14ac:dyDescent="0.35">
      <c r="A175">
        <v>174</v>
      </c>
      <c r="B175">
        <v>54.6</v>
      </c>
      <c r="C175">
        <v>-3</v>
      </c>
    </row>
    <row r="176" spans="1:3" x14ac:dyDescent="0.35">
      <c r="A176">
        <v>175</v>
      </c>
      <c r="B176">
        <v>49.52</v>
      </c>
      <c r="C176">
        <v>0.48</v>
      </c>
    </row>
    <row r="177" spans="1:3" x14ac:dyDescent="0.35">
      <c r="A177">
        <v>176</v>
      </c>
      <c r="B177">
        <v>57.09</v>
      </c>
      <c r="C177">
        <v>-2.39</v>
      </c>
    </row>
    <row r="178" spans="1:3" x14ac:dyDescent="0.35">
      <c r="A178">
        <v>177</v>
      </c>
      <c r="B178">
        <v>53.3</v>
      </c>
      <c r="C178">
        <v>-3.3</v>
      </c>
    </row>
    <row r="179" spans="1:3" x14ac:dyDescent="0.35">
      <c r="A179">
        <v>178</v>
      </c>
      <c r="B179">
        <v>55.55</v>
      </c>
      <c r="C179">
        <v>3.75</v>
      </c>
    </row>
    <row r="180" spans="1:3" x14ac:dyDescent="0.35">
      <c r="A180">
        <v>179</v>
      </c>
      <c r="B180">
        <v>53.96</v>
      </c>
      <c r="C180">
        <v>-3.96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2"/>
  <sheetViews>
    <sheetView zoomScaleNormal="100" workbookViewId="0"/>
  </sheetViews>
  <sheetFormatPr defaultColWidth="8.6328125" defaultRowHeight="15" customHeight="1" x14ac:dyDescent="0.35"/>
  <cols>
    <col min="1" max="7" width="18" customWidth="1"/>
  </cols>
  <sheetData>
    <row r="1" spans="1:1" ht="17.5" x14ac:dyDescent="0.35">
      <c r="A1" s="7" t="s">
        <v>41</v>
      </c>
    </row>
    <row r="3" spans="1:1" ht="14.5" x14ac:dyDescent="0.35">
      <c r="A3" s="4" t="s">
        <v>42</v>
      </c>
    </row>
    <row r="4" spans="1:1" ht="14.5" x14ac:dyDescent="0.35">
      <c r="A4" t="s">
        <v>43</v>
      </c>
    </row>
    <row r="5" spans="1:1" ht="14.5" x14ac:dyDescent="0.35">
      <c r="A5" s="8" t="e">
        <f>intercept + (gdp*coef1) + (schooling*coef2) + (bmi*coef3) + (adult_mortality*coef4)</f>
        <v>#NAME?</v>
      </c>
    </row>
    <row r="7" spans="1:1" ht="14.5" x14ac:dyDescent="0.35">
      <c r="A7" t="s">
        <v>44</v>
      </c>
    </row>
    <row r="8" spans="1:1" ht="14.5" x14ac:dyDescent="0.35">
      <c r="A8" s="8">
        <f>37.58 + (B2*0.00012) + (C2*1.05) + (D2*0.4) + (E2*-0.126)</f>
        <v>37.58</v>
      </c>
    </row>
    <row r="10" spans="1:1" ht="14.5" x14ac:dyDescent="0.35">
      <c r="A10" s="4" t="s">
        <v>45</v>
      </c>
    </row>
    <row r="11" spans="1:1" ht="14.5" x14ac:dyDescent="0.35">
      <c r="A11" s="8" t="e">
        <f>actual_life_expectancy - predicted_life_expectancy</f>
        <v>#NAME?</v>
      </c>
    </row>
    <row r="12" spans="1:1" ht="14.5" x14ac:dyDescent="0.35">
      <c r="A12" s="8" t="e">
        <f>A2 - F2  (where F2 contains predicted value)</f>
        <v>#NAME?</v>
      </c>
    </row>
    <row r="14" spans="1:1" ht="14.5" x14ac:dyDescent="0.35">
      <c r="A14" s="4" t="s">
        <v>46</v>
      </c>
    </row>
    <row r="15" spans="1:1" ht="14.5" x14ac:dyDescent="0.35">
      <c r="A15" t="s">
        <v>47</v>
      </c>
    </row>
    <row r="17" spans="1:1" ht="14.5" x14ac:dyDescent="0.35">
      <c r="A17" s="4" t="s">
        <v>48</v>
      </c>
    </row>
    <row r="18" spans="1:1" ht="14.5" x14ac:dyDescent="0.35">
      <c r="A18" t="s">
        <v>49</v>
      </c>
    </row>
    <row r="19" spans="1:1" ht="14.5" x14ac:dyDescent="0.35">
      <c r="A19" t="s">
        <v>50</v>
      </c>
    </row>
    <row r="20" spans="1:1" ht="14.5" x14ac:dyDescent="0.35">
      <c r="A20" t="s">
        <v>51</v>
      </c>
    </row>
    <row r="21" spans="1:1" ht="14.5" x14ac:dyDescent="0.35">
      <c r="A21" t="s">
        <v>52</v>
      </c>
    </row>
    <row r="22" spans="1:1" ht="14.5" x14ac:dyDescent="0.35">
      <c r="A22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C6D20-D001-4942-96B5-F29DB7CE46DE}">
  <dimension ref="A1:L358"/>
  <sheetViews>
    <sheetView workbookViewId="0"/>
  </sheetViews>
  <sheetFormatPr defaultRowHeight="14.5" x14ac:dyDescent="0.35"/>
  <sheetData>
    <row r="1" spans="1:12" x14ac:dyDescent="0.35">
      <c r="A1">
        <v>2423</v>
      </c>
      <c r="B1">
        <v>-2.2304106230606635</v>
      </c>
      <c r="C1">
        <v>9.9</v>
      </c>
      <c r="D1">
        <v>-2.2304106230606635</v>
      </c>
      <c r="E1">
        <v>29.6</v>
      </c>
      <c r="F1">
        <v>-2.2304106230606635</v>
      </c>
      <c r="G1">
        <v>131.30000000000001</v>
      </c>
      <c r="H1">
        <v>-2.2304106230606635</v>
      </c>
      <c r="I1">
        <v>0</v>
      </c>
      <c r="J1">
        <v>0</v>
      </c>
      <c r="K1">
        <v>0</v>
      </c>
      <c r="L1">
        <v>0</v>
      </c>
    </row>
    <row r="2" spans="1:12" x14ac:dyDescent="0.35">
      <c r="A2">
        <v>9425</v>
      </c>
      <c r="B2">
        <v>-2.8257902863386803</v>
      </c>
      <c r="C2">
        <v>6.6</v>
      </c>
      <c r="D2">
        <v>-2.8257902863386803</v>
      </c>
      <c r="E2">
        <v>26.6</v>
      </c>
      <c r="F2">
        <v>-2.8257902863386803</v>
      </c>
      <c r="G2">
        <v>112.9</v>
      </c>
      <c r="H2">
        <v>-2.8257902863386803</v>
      </c>
      <c r="I2">
        <v>0</v>
      </c>
      <c r="J2">
        <v>0</v>
      </c>
      <c r="K2">
        <v>0</v>
      </c>
      <c r="L2">
        <v>0</v>
      </c>
    </row>
    <row r="3" spans="1:12" x14ac:dyDescent="0.35">
      <c r="A3">
        <v>300</v>
      </c>
      <c r="B3">
        <v>-1.2752730122067248</v>
      </c>
      <c r="C3">
        <v>2.8</v>
      </c>
      <c r="D3">
        <v>-1.2752730122067248</v>
      </c>
      <c r="E3">
        <v>23.3</v>
      </c>
      <c r="F3">
        <v>-1.2752730122067248</v>
      </c>
      <c r="G3">
        <v>69</v>
      </c>
      <c r="H3">
        <v>-1.2752730122067248</v>
      </c>
      <c r="I3">
        <v>0</v>
      </c>
      <c r="J3">
        <v>0</v>
      </c>
      <c r="K3">
        <v>0</v>
      </c>
      <c r="L3">
        <v>0</v>
      </c>
    </row>
    <row r="4" spans="1:12" x14ac:dyDescent="0.35">
      <c r="A4">
        <v>358</v>
      </c>
      <c r="B4">
        <v>-5.8145306214827883</v>
      </c>
      <c r="C4">
        <v>12.4</v>
      </c>
      <c r="D4">
        <v>-5.8145306214827883</v>
      </c>
      <c r="E4">
        <v>24.3</v>
      </c>
      <c r="F4">
        <v>-5.8145306214827883</v>
      </c>
      <c r="G4">
        <v>155.4</v>
      </c>
      <c r="H4">
        <v>-5.8145306214827883</v>
      </c>
      <c r="I4">
        <v>0</v>
      </c>
      <c r="J4">
        <v>0</v>
      </c>
      <c r="K4">
        <v>0</v>
      </c>
      <c r="L4">
        <v>0</v>
      </c>
    </row>
    <row r="5" spans="1:12" x14ac:dyDescent="0.35">
      <c r="A5">
        <v>3521</v>
      </c>
      <c r="B5">
        <v>-3.3479272679776741</v>
      </c>
      <c r="C5">
        <v>4.5</v>
      </c>
      <c r="D5">
        <v>-3.3479272679776741</v>
      </c>
      <c r="E5">
        <v>26.1</v>
      </c>
      <c r="F5">
        <v>-3.3479272679776741</v>
      </c>
      <c r="G5">
        <v>101.9</v>
      </c>
      <c r="H5">
        <v>-3.3479272679776741</v>
      </c>
      <c r="I5">
        <v>0</v>
      </c>
      <c r="J5">
        <v>0</v>
      </c>
      <c r="K5">
        <v>0</v>
      </c>
      <c r="L5">
        <v>0</v>
      </c>
    </row>
    <row r="6" spans="1:12" x14ac:dyDescent="0.35">
      <c r="A6">
        <v>47974</v>
      </c>
      <c r="B6">
        <v>-4.0948131613823051</v>
      </c>
      <c r="C6">
        <v>8</v>
      </c>
      <c r="D6">
        <v>-4.0948131613823051</v>
      </c>
      <c r="E6">
        <v>21.8</v>
      </c>
      <c r="F6">
        <v>-4.0948131613823051</v>
      </c>
      <c r="G6">
        <v>215.8</v>
      </c>
      <c r="H6">
        <v>-4.0948131613823051</v>
      </c>
      <c r="I6">
        <v>0</v>
      </c>
      <c r="J6">
        <v>0</v>
      </c>
      <c r="K6">
        <v>0</v>
      </c>
      <c r="L6">
        <v>0</v>
      </c>
    </row>
    <row r="7" spans="1:12" x14ac:dyDescent="0.35">
      <c r="A7">
        <v>300</v>
      </c>
      <c r="B7">
        <v>1.9278313432467229</v>
      </c>
      <c r="C7">
        <v>4</v>
      </c>
      <c r="D7">
        <v>1.9278313432467229</v>
      </c>
      <c r="E7">
        <v>25.6</v>
      </c>
      <c r="F7">
        <v>1.9278313432467229</v>
      </c>
      <c r="G7">
        <v>209.1</v>
      </c>
      <c r="H7">
        <v>1.9278313432467229</v>
      </c>
      <c r="I7">
        <v>0</v>
      </c>
      <c r="J7">
        <v>0</v>
      </c>
      <c r="K7">
        <v>0</v>
      </c>
      <c r="L7">
        <v>0</v>
      </c>
    </row>
    <row r="8" spans="1:12" x14ac:dyDescent="0.35">
      <c r="A8">
        <v>1898</v>
      </c>
      <c r="B8">
        <v>-0.35475815941045141</v>
      </c>
      <c r="C8">
        <v>3.6</v>
      </c>
      <c r="D8">
        <v>-0.35475815941045141</v>
      </c>
      <c r="E8">
        <v>22.8</v>
      </c>
      <c r="F8">
        <v>-0.35475815941045141</v>
      </c>
      <c r="G8">
        <v>113.1</v>
      </c>
      <c r="H8">
        <v>-0.35475815941045141</v>
      </c>
      <c r="I8">
        <v>0</v>
      </c>
      <c r="J8">
        <v>0</v>
      </c>
      <c r="K8">
        <v>0</v>
      </c>
      <c r="L8">
        <v>0</v>
      </c>
    </row>
    <row r="9" spans="1:12" x14ac:dyDescent="0.35">
      <c r="A9">
        <v>300</v>
      </c>
      <c r="B9">
        <v>1.1061277743371534</v>
      </c>
      <c r="C9">
        <v>9</v>
      </c>
      <c r="D9">
        <v>1.1061277743371534</v>
      </c>
      <c r="E9">
        <v>23.8</v>
      </c>
      <c r="F9">
        <v>1.1061277743371534</v>
      </c>
      <c r="G9">
        <v>95.8</v>
      </c>
      <c r="H9">
        <v>1.1061277743371534</v>
      </c>
      <c r="I9">
        <v>0</v>
      </c>
      <c r="J9">
        <v>0</v>
      </c>
      <c r="K9">
        <v>0</v>
      </c>
      <c r="L9">
        <v>0</v>
      </c>
    </row>
    <row r="10" spans="1:12" x14ac:dyDescent="0.35">
      <c r="A10">
        <v>12051</v>
      </c>
      <c r="B10">
        <v>-1.1793339085805883</v>
      </c>
      <c r="C10">
        <v>5.5</v>
      </c>
      <c r="D10">
        <v>-1.1793339085805883</v>
      </c>
      <c r="E10">
        <v>24.1</v>
      </c>
      <c r="F10">
        <v>-1.1793339085805883</v>
      </c>
      <c r="G10">
        <v>176.5</v>
      </c>
      <c r="H10">
        <v>-1.1793339085805883</v>
      </c>
      <c r="I10">
        <v>0</v>
      </c>
      <c r="J10">
        <v>0</v>
      </c>
      <c r="K10">
        <v>0</v>
      </c>
      <c r="L10">
        <v>0</v>
      </c>
    </row>
    <row r="11" spans="1:12" x14ac:dyDescent="0.35">
      <c r="A11">
        <v>2256</v>
      </c>
      <c r="B11">
        <v>2.8340981127100662</v>
      </c>
      <c r="C11">
        <v>4.7</v>
      </c>
      <c r="D11">
        <v>2.8340981127100662</v>
      </c>
      <c r="E11">
        <v>21.4</v>
      </c>
      <c r="F11">
        <v>2.8340981127100662</v>
      </c>
      <c r="G11">
        <v>215</v>
      </c>
      <c r="H11">
        <v>2.8340981127100662</v>
      </c>
      <c r="I11">
        <v>0</v>
      </c>
      <c r="J11">
        <v>0</v>
      </c>
      <c r="K11">
        <v>0</v>
      </c>
      <c r="L11">
        <v>0</v>
      </c>
    </row>
    <row r="12" spans="1:12" x14ac:dyDescent="0.35">
      <c r="A12">
        <v>13431</v>
      </c>
      <c r="B12">
        <v>2.1557127469516573</v>
      </c>
      <c r="C12">
        <v>9.1</v>
      </c>
      <c r="D12">
        <v>2.1557127469516573</v>
      </c>
      <c r="E12">
        <v>23.1</v>
      </c>
      <c r="F12">
        <v>2.1557127469516573</v>
      </c>
      <c r="G12">
        <v>178.9</v>
      </c>
      <c r="H12">
        <v>2.1557127469516573</v>
      </c>
      <c r="I12">
        <v>0</v>
      </c>
      <c r="J12">
        <v>0</v>
      </c>
      <c r="K12">
        <v>0</v>
      </c>
      <c r="L12">
        <v>0</v>
      </c>
    </row>
    <row r="13" spans="1:12" x14ac:dyDescent="0.35">
      <c r="A13">
        <v>31162</v>
      </c>
      <c r="B13">
        <v>-1.4457929903600046</v>
      </c>
      <c r="C13">
        <v>1</v>
      </c>
      <c r="D13">
        <v>-1.4457929903600046</v>
      </c>
      <c r="E13">
        <v>27.5</v>
      </c>
      <c r="F13">
        <v>-1.4457929903600046</v>
      </c>
      <c r="G13">
        <v>157</v>
      </c>
      <c r="H13">
        <v>-1.4457929903600046</v>
      </c>
      <c r="I13">
        <v>0</v>
      </c>
      <c r="J13">
        <v>0</v>
      </c>
      <c r="K13">
        <v>0</v>
      </c>
      <c r="L13">
        <v>0</v>
      </c>
    </row>
    <row r="14" spans="1:12" x14ac:dyDescent="0.35">
      <c r="A14">
        <v>300</v>
      </c>
      <c r="B14">
        <v>1.6687607998071314</v>
      </c>
      <c r="C14">
        <v>7.3</v>
      </c>
      <c r="D14">
        <v>1.6687607998071314</v>
      </c>
      <c r="E14">
        <v>26.1</v>
      </c>
      <c r="F14">
        <v>1.6687607998071314</v>
      </c>
      <c r="G14">
        <v>268.2</v>
      </c>
      <c r="H14">
        <v>1.6687607998071314</v>
      </c>
      <c r="I14">
        <v>0</v>
      </c>
      <c r="J14">
        <v>0</v>
      </c>
      <c r="K14">
        <v>0</v>
      </c>
      <c r="L14">
        <v>0</v>
      </c>
    </row>
    <row r="15" spans="1:12" x14ac:dyDescent="0.35">
      <c r="A15">
        <v>1404</v>
      </c>
      <c r="B15">
        <v>1.2592930345062854</v>
      </c>
      <c r="C15">
        <v>10.7</v>
      </c>
      <c r="D15">
        <v>1.2592930345062854</v>
      </c>
      <c r="E15">
        <v>26</v>
      </c>
      <c r="F15">
        <v>1.2592930345062854</v>
      </c>
      <c r="G15">
        <v>107.6</v>
      </c>
      <c r="H15">
        <v>1.2592930345062854</v>
      </c>
      <c r="I15">
        <v>0</v>
      </c>
      <c r="J15">
        <v>0</v>
      </c>
      <c r="K15">
        <v>0</v>
      </c>
      <c r="L15">
        <v>0</v>
      </c>
    </row>
    <row r="16" spans="1:12" x14ac:dyDescent="0.35">
      <c r="A16">
        <v>12746</v>
      </c>
      <c r="B16">
        <v>-3.9084728572082028</v>
      </c>
      <c r="C16">
        <v>5.9</v>
      </c>
      <c r="D16">
        <v>-3.9084728572082028</v>
      </c>
      <c r="E16">
        <v>24</v>
      </c>
      <c r="F16">
        <v>-3.9084728572082028</v>
      </c>
      <c r="G16">
        <v>118.6</v>
      </c>
      <c r="H16">
        <v>-3.9084728572082028</v>
      </c>
      <c r="I16">
        <v>0</v>
      </c>
      <c r="J16">
        <v>0</v>
      </c>
      <c r="K16">
        <v>0</v>
      </c>
      <c r="L16">
        <v>0</v>
      </c>
    </row>
    <row r="17" spans="1:12" x14ac:dyDescent="0.35">
      <c r="A17">
        <v>4410</v>
      </c>
      <c r="B17">
        <v>-0.16744483213894767</v>
      </c>
      <c r="C17">
        <v>8</v>
      </c>
      <c r="D17">
        <v>-0.16744483213894767</v>
      </c>
      <c r="E17">
        <v>24.3</v>
      </c>
      <c r="F17">
        <v>-0.16744483213894767</v>
      </c>
      <c r="G17">
        <v>50</v>
      </c>
      <c r="H17">
        <v>-0.16744483213894767</v>
      </c>
      <c r="I17">
        <v>0</v>
      </c>
      <c r="J17">
        <v>0</v>
      </c>
      <c r="K17">
        <v>0</v>
      </c>
      <c r="L17">
        <v>0</v>
      </c>
    </row>
    <row r="18" spans="1:12" x14ac:dyDescent="0.35">
      <c r="A18">
        <v>895</v>
      </c>
      <c r="B18">
        <v>2.7759565272197477</v>
      </c>
      <c r="C18">
        <v>7.5</v>
      </c>
      <c r="D18">
        <v>2.7759565272197477</v>
      </c>
      <c r="E18">
        <v>26.2</v>
      </c>
      <c r="F18">
        <v>2.7759565272197477</v>
      </c>
      <c r="G18">
        <v>300.89999999999998</v>
      </c>
      <c r="H18">
        <v>2.7759565272197477</v>
      </c>
      <c r="I18">
        <v>0</v>
      </c>
      <c r="J18">
        <v>0</v>
      </c>
      <c r="K18">
        <v>0</v>
      </c>
      <c r="L18">
        <v>0</v>
      </c>
    </row>
    <row r="19" spans="1:12" x14ac:dyDescent="0.35">
      <c r="A19">
        <v>2666</v>
      </c>
      <c r="B19">
        <v>1.7769579171086605</v>
      </c>
      <c r="C19">
        <v>2.2000000000000002</v>
      </c>
      <c r="D19">
        <v>1.7769579171086605</v>
      </c>
      <c r="E19">
        <v>24.9</v>
      </c>
      <c r="F19">
        <v>1.7769579171086605</v>
      </c>
      <c r="G19">
        <v>154.80000000000001</v>
      </c>
      <c r="H19">
        <v>1.7769579171086605</v>
      </c>
      <c r="I19">
        <v>0</v>
      </c>
      <c r="J19">
        <v>0</v>
      </c>
      <c r="K19">
        <v>0</v>
      </c>
      <c r="L19">
        <v>0</v>
      </c>
    </row>
    <row r="20" spans="1:12" x14ac:dyDescent="0.35">
      <c r="A20">
        <v>4686</v>
      </c>
      <c r="B20">
        <v>1.2056244029206127</v>
      </c>
      <c r="C20">
        <v>7.9</v>
      </c>
      <c r="D20">
        <v>1.2056244029206127</v>
      </c>
      <c r="E20">
        <v>21.5</v>
      </c>
      <c r="F20">
        <v>1.2056244029206127</v>
      </c>
      <c r="G20">
        <v>241.4</v>
      </c>
      <c r="H20">
        <v>1.2056244029206127</v>
      </c>
      <c r="I20">
        <v>0</v>
      </c>
      <c r="J20">
        <v>0</v>
      </c>
      <c r="K20">
        <v>0</v>
      </c>
      <c r="L20">
        <v>0</v>
      </c>
    </row>
    <row r="21" spans="1:12" x14ac:dyDescent="0.35">
      <c r="A21">
        <v>762</v>
      </c>
      <c r="B21">
        <v>3.5671905475412728</v>
      </c>
      <c r="C21">
        <v>12.2</v>
      </c>
      <c r="D21">
        <v>3.5671905475412728</v>
      </c>
      <c r="E21">
        <v>20.8</v>
      </c>
      <c r="F21">
        <v>3.5671905475412728</v>
      </c>
      <c r="G21">
        <v>196.9</v>
      </c>
      <c r="H21">
        <v>3.5671905475412728</v>
      </c>
      <c r="I21">
        <v>0</v>
      </c>
      <c r="J21">
        <v>0</v>
      </c>
      <c r="K21">
        <v>0</v>
      </c>
      <c r="L21">
        <v>0</v>
      </c>
    </row>
    <row r="22" spans="1:12" x14ac:dyDescent="0.35">
      <c r="A22">
        <v>1275</v>
      </c>
      <c r="B22">
        <v>1.1604829154878118</v>
      </c>
      <c r="C22">
        <v>8.3000000000000007</v>
      </c>
      <c r="D22">
        <v>1.1604829154878118</v>
      </c>
      <c r="E22">
        <v>23.5</v>
      </c>
      <c r="F22">
        <v>1.1604829154878118</v>
      </c>
      <c r="G22">
        <v>50</v>
      </c>
      <c r="H22">
        <v>1.1604829154878118</v>
      </c>
      <c r="I22">
        <v>0</v>
      </c>
      <c r="J22">
        <v>0</v>
      </c>
      <c r="K22">
        <v>0</v>
      </c>
      <c r="L22">
        <v>0</v>
      </c>
    </row>
    <row r="23" spans="1:12" x14ac:dyDescent="0.35">
      <c r="A23">
        <v>6066</v>
      </c>
      <c r="B23">
        <v>-2.4804312749192263</v>
      </c>
      <c r="C23">
        <v>5.2</v>
      </c>
      <c r="D23">
        <v>-2.4804312749192263</v>
      </c>
      <c r="E23">
        <v>29.6</v>
      </c>
      <c r="F23">
        <v>-2.4804312749192263</v>
      </c>
      <c r="G23">
        <v>87.3</v>
      </c>
      <c r="H23">
        <v>-2.4804312749192263</v>
      </c>
      <c r="I23">
        <v>0</v>
      </c>
      <c r="J23">
        <v>0</v>
      </c>
      <c r="K23">
        <v>0</v>
      </c>
      <c r="L23">
        <v>0</v>
      </c>
    </row>
    <row r="24" spans="1:12" x14ac:dyDescent="0.35">
      <c r="A24">
        <v>470</v>
      </c>
      <c r="B24">
        <v>1.349618950200842</v>
      </c>
      <c r="C24">
        <v>8.6999999999999993</v>
      </c>
      <c r="D24">
        <v>1.349618950200842</v>
      </c>
      <c r="E24">
        <v>28.9</v>
      </c>
      <c r="F24">
        <v>1.349618950200842</v>
      </c>
      <c r="G24">
        <v>50</v>
      </c>
      <c r="H24">
        <v>1.349618950200842</v>
      </c>
      <c r="I24">
        <v>0</v>
      </c>
      <c r="J24">
        <v>0</v>
      </c>
      <c r="K24">
        <v>0</v>
      </c>
      <c r="L24">
        <v>0</v>
      </c>
    </row>
    <row r="25" spans="1:12" x14ac:dyDescent="0.35">
      <c r="A25">
        <v>9631</v>
      </c>
      <c r="B25">
        <v>1.6223703796786282</v>
      </c>
      <c r="C25">
        <v>4.3</v>
      </c>
      <c r="D25">
        <v>1.6223703796786282</v>
      </c>
      <c r="E25">
        <v>21</v>
      </c>
      <c r="F25">
        <v>1.6223703796786282</v>
      </c>
      <c r="G25">
        <v>191.8</v>
      </c>
      <c r="H25">
        <v>1.6223703796786282</v>
      </c>
      <c r="I25">
        <v>0</v>
      </c>
      <c r="J25">
        <v>0</v>
      </c>
      <c r="K25">
        <v>0</v>
      </c>
      <c r="L25">
        <v>0</v>
      </c>
    </row>
    <row r="26" spans="1:12" x14ac:dyDescent="0.35">
      <c r="A26">
        <v>5012</v>
      </c>
      <c r="B26">
        <v>-1.5568532911032378</v>
      </c>
      <c r="C26">
        <v>6</v>
      </c>
      <c r="D26">
        <v>-1.5568532911032378</v>
      </c>
      <c r="E26">
        <v>25.7</v>
      </c>
      <c r="F26">
        <v>-1.5568532911032378</v>
      </c>
      <c r="G26">
        <v>173.4</v>
      </c>
      <c r="H26">
        <v>-1.5568532911032378</v>
      </c>
      <c r="I26">
        <v>0</v>
      </c>
      <c r="J26">
        <v>0</v>
      </c>
      <c r="K26">
        <v>0</v>
      </c>
      <c r="L26">
        <v>0</v>
      </c>
    </row>
    <row r="27" spans="1:12" x14ac:dyDescent="0.35">
      <c r="A27">
        <v>6068</v>
      </c>
      <c r="B27">
        <v>1.1588568853669514</v>
      </c>
      <c r="C27">
        <v>4.4000000000000004</v>
      </c>
      <c r="D27">
        <v>1.1588568853669514</v>
      </c>
      <c r="E27">
        <v>27</v>
      </c>
      <c r="F27">
        <v>1.1588568853669514</v>
      </c>
      <c r="G27">
        <v>72</v>
      </c>
      <c r="H27">
        <v>1.1588568853669514</v>
      </c>
      <c r="I27">
        <v>0</v>
      </c>
      <c r="J27">
        <v>0</v>
      </c>
      <c r="K27">
        <v>0</v>
      </c>
      <c r="L27">
        <v>0</v>
      </c>
    </row>
    <row r="28" spans="1:12" x14ac:dyDescent="0.35">
      <c r="A28">
        <v>870</v>
      </c>
      <c r="B28">
        <v>1.1557194127745021</v>
      </c>
      <c r="C28">
        <v>10.9</v>
      </c>
      <c r="D28">
        <v>1.1557194127745021</v>
      </c>
      <c r="E28">
        <v>26.2</v>
      </c>
      <c r="F28">
        <v>1.1557194127745021</v>
      </c>
      <c r="G28">
        <v>215.8</v>
      </c>
      <c r="H28">
        <v>1.1557194127745021</v>
      </c>
      <c r="I28">
        <v>0</v>
      </c>
      <c r="J28">
        <v>0</v>
      </c>
      <c r="K28">
        <v>0</v>
      </c>
      <c r="L28">
        <v>0</v>
      </c>
    </row>
    <row r="29" spans="1:12" x14ac:dyDescent="0.35">
      <c r="A29">
        <v>962</v>
      </c>
      <c r="B29">
        <v>-0.83896538865793246</v>
      </c>
      <c r="C29">
        <v>5.3</v>
      </c>
      <c r="D29">
        <v>-0.83896538865793246</v>
      </c>
      <c r="E29">
        <v>22.6</v>
      </c>
      <c r="F29">
        <v>-0.83896538865793246</v>
      </c>
      <c r="G29">
        <v>143.80000000000001</v>
      </c>
      <c r="H29">
        <v>-0.83896538865793246</v>
      </c>
      <c r="I29">
        <v>0</v>
      </c>
      <c r="J29">
        <v>0</v>
      </c>
      <c r="K29">
        <v>0</v>
      </c>
      <c r="L29">
        <v>0</v>
      </c>
    </row>
    <row r="30" spans="1:12" x14ac:dyDescent="0.35">
      <c r="A30">
        <v>10309</v>
      </c>
      <c r="B30">
        <v>6.7498741055588098</v>
      </c>
      <c r="C30">
        <v>8</v>
      </c>
      <c r="D30">
        <v>6.7498741055588098</v>
      </c>
      <c r="E30">
        <v>29.4</v>
      </c>
      <c r="F30">
        <v>6.7498741055588098</v>
      </c>
      <c r="G30">
        <v>128.80000000000001</v>
      </c>
      <c r="H30">
        <v>6.7498741055588098</v>
      </c>
      <c r="I30">
        <v>0</v>
      </c>
      <c r="J30">
        <v>0</v>
      </c>
      <c r="K30">
        <v>0</v>
      </c>
      <c r="L30">
        <v>0</v>
      </c>
    </row>
    <row r="31" spans="1:12" x14ac:dyDescent="0.35">
      <c r="A31">
        <v>824</v>
      </c>
      <c r="B31">
        <v>-1.7772069313199239</v>
      </c>
      <c r="C31">
        <v>4.8</v>
      </c>
      <c r="D31">
        <v>-1.7772069313199239</v>
      </c>
      <c r="E31">
        <v>26.4</v>
      </c>
      <c r="F31">
        <v>-1.7772069313199239</v>
      </c>
      <c r="G31">
        <v>132.1</v>
      </c>
      <c r="H31">
        <v>-1.7772069313199239</v>
      </c>
      <c r="I31">
        <v>0</v>
      </c>
      <c r="J31">
        <v>0</v>
      </c>
      <c r="K31">
        <v>0</v>
      </c>
      <c r="L31">
        <v>0</v>
      </c>
    </row>
    <row r="32" spans="1:12" x14ac:dyDescent="0.35">
      <c r="A32">
        <v>2672</v>
      </c>
      <c r="B32">
        <v>-7.8760716623627047E-2</v>
      </c>
      <c r="C32">
        <v>5.5</v>
      </c>
      <c r="D32">
        <v>-7.8760716623627047E-2</v>
      </c>
      <c r="E32">
        <v>20.5</v>
      </c>
      <c r="F32">
        <v>-7.8760716623627047E-2</v>
      </c>
      <c r="G32">
        <v>114.3</v>
      </c>
      <c r="H32">
        <v>-7.8760716623627047E-2</v>
      </c>
      <c r="I32">
        <v>0</v>
      </c>
      <c r="J32">
        <v>0</v>
      </c>
      <c r="K32">
        <v>0</v>
      </c>
      <c r="L32">
        <v>0</v>
      </c>
    </row>
    <row r="33" spans="1:12" x14ac:dyDescent="0.35">
      <c r="A33">
        <v>460</v>
      </c>
      <c r="B33">
        <v>0.20310416990508173</v>
      </c>
      <c r="C33">
        <v>8.5</v>
      </c>
      <c r="D33">
        <v>0.20310416990508173</v>
      </c>
      <c r="E33">
        <v>26.2</v>
      </c>
      <c r="F33">
        <v>0.20310416990508173</v>
      </c>
      <c r="G33">
        <v>79.3</v>
      </c>
      <c r="H33">
        <v>0.20310416990508173</v>
      </c>
      <c r="I33">
        <v>0</v>
      </c>
      <c r="J33">
        <v>0</v>
      </c>
      <c r="K33">
        <v>0</v>
      </c>
      <c r="L33">
        <v>0</v>
      </c>
    </row>
    <row r="34" spans="1:12" x14ac:dyDescent="0.35">
      <c r="A34">
        <v>537</v>
      </c>
      <c r="B34">
        <v>-1.237358454787433</v>
      </c>
      <c r="C34">
        <v>9.1</v>
      </c>
      <c r="D34">
        <v>-1.237358454787433</v>
      </c>
      <c r="E34">
        <v>26.7</v>
      </c>
      <c r="F34">
        <v>-1.237358454787433</v>
      </c>
      <c r="G34">
        <v>236.6</v>
      </c>
      <c r="H34">
        <v>-1.237358454787433</v>
      </c>
      <c r="I34">
        <v>0</v>
      </c>
      <c r="J34">
        <v>0</v>
      </c>
      <c r="K34">
        <v>0</v>
      </c>
      <c r="L34">
        <v>0</v>
      </c>
    </row>
    <row r="35" spans="1:12" x14ac:dyDescent="0.35">
      <c r="A35">
        <v>730</v>
      </c>
      <c r="B35">
        <v>7.4295402559632961</v>
      </c>
      <c r="C35">
        <v>9.5</v>
      </c>
      <c r="D35">
        <v>7.4295402559632961</v>
      </c>
      <c r="E35">
        <v>26.5</v>
      </c>
      <c r="F35">
        <v>7.4295402559632961</v>
      </c>
      <c r="G35">
        <v>191.2</v>
      </c>
      <c r="H35">
        <v>7.4295402559632961</v>
      </c>
      <c r="I35">
        <v>0</v>
      </c>
      <c r="J35">
        <v>0</v>
      </c>
      <c r="K35">
        <v>0</v>
      </c>
      <c r="L35">
        <v>0</v>
      </c>
    </row>
    <row r="36" spans="1:12" x14ac:dyDescent="0.35">
      <c r="A36">
        <v>16372</v>
      </c>
      <c r="B36">
        <v>2.8794107833114921</v>
      </c>
      <c r="C36">
        <v>10.9</v>
      </c>
      <c r="D36">
        <v>2.8794107833114921</v>
      </c>
      <c r="E36">
        <v>27</v>
      </c>
      <c r="F36">
        <v>2.8794107833114921</v>
      </c>
      <c r="G36">
        <v>124.8</v>
      </c>
      <c r="H36">
        <v>2.8794107833114921</v>
      </c>
      <c r="I36">
        <v>0</v>
      </c>
      <c r="J36">
        <v>0</v>
      </c>
      <c r="K36">
        <v>0</v>
      </c>
      <c r="L36">
        <v>0</v>
      </c>
    </row>
    <row r="37" spans="1:12" x14ac:dyDescent="0.35">
      <c r="A37">
        <v>2090</v>
      </c>
      <c r="B37">
        <v>5.1765547382822632</v>
      </c>
      <c r="C37">
        <v>6.5</v>
      </c>
      <c r="D37">
        <v>5.1765547382822632</v>
      </c>
      <c r="E37">
        <v>25.2</v>
      </c>
      <c r="F37">
        <v>5.1765547382822632</v>
      </c>
      <c r="G37">
        <v>335.2</v>
      </c>
      <c r="H37">
        <v>5.1765547382822632</v>
      </c>
      <c r="I37">
        <v>0</v>
      </c>
      <c r="J37">
        <v>0</v>
      </c>
      <c r="K37">
        <v>0</v>
      </c>
      <c r="L37">
        <v>0</v>
      </c>
    </row>
    <row r="38" spans="1:12" x14ac:dyDescent="0.35">
      <c r="A38">
        <v>300</v>
      </c>
      <c r="B38">
        <v>-3.1867048910823641</v>
      </c>
      <c r="C38">
        <v>6.6</v>
      </c>
      <c r="D38">
        <v>-3.1867048910823641</v>
      </c>
      <c r="E38">
        <v>28.3</v>
      </c>
      <c r="F38">
        <v>-3.1867048910823641</v>
      </c>
      <c r="G38">
        <v>155.1</v>
      </c>
      <c r="H38">
        <v>-3.1867048910823641</v>
      </c>
      <c r="I38">
        <v>0</v>
      </c>
      <c r="J38">
        <v>0</v>
      </c>
      <c r="K38">
        <v>0</v>
      </c>
      <c r="L38">
        <v>0</v>
      </c>
    </row>
    <row r="39" spans="1:12" x14ac:dyDescent="0.35">
      <c r="A39">
        <v>8262</v>
      </c>
      <c r="B39">
        <v>-2.4929880547536314</v>
      </c>
      <c r="C39">
        <v>5.8</v>
      </c>
      <c r="D39">
        <v>-2.4929880547536314</v>
      </c>
      <c r="E39">
        <v>25.6</v>
      </c>
      <c r="F39">
        <v>-2.4929880547536314</v>
      </c>
      <c r="G39">
        <v>153.6</v>
      </c>
      <c r="H39">
        <v>-2.4929880547536314</v>
      </c>
      <c r="I39">
        <v>0</v>
      </c>
      <c r="J39">
        <v>0</v>
      </c>
      <c r="K39">
        <v>0</v>
      </c>
      <c r="L39">
        <v>0</v>
      </c>
    </row>
    <row r="40" spans="1:12" x14ac:dyDescent="0.35">
      <c r="A40">
        <v>7715</v>
      </c>
      <c r="B40">
        <v>-0.47932348073575071</v>
      </c>
      <c r="C40">
        <v>1.9</v>
      </c>
      <c r="D40">
        <v>-0.47932348073575071</v>
      </c>
      <c r="E40">
        <v>25.6</v>
      </c>
      <c r="F40">
        <v>-0.47932348073575071</v>
      </c>
      <c r="G40">
        <v>97.1</v>
      </c>
      <c r="H40">
        <v>-0.47932348073575071</v>
      </c>
      <c r="I40">
        <v>0</v>
      </c>
      <c r="J40">
        <v>0</v>
      </c>
      <c r="K40">
        <v>0</v>
      </c>
      <c r="L40">
        <v>0</v>
      </c>
    </row>
    <row r="41" spans="1:12" x14ac:dyDescent="0.35">
      <c r="A41">
        <v>2510</v>
      </c>
      <c r="B41">
        <v>0.33718295112096541</v>
      </c>
      <c r="C41">
        <v>9.5</v>
      </c>
      <c r="D41">
        <v>0.33718295112096541</v>
      </c>
      <c r="E41">
        <v>27.6</v>
      </c>
      <c r="F41">
        <v>0.33718295112096541</v>
      </c>
      <c r="G41">
        <v>54</v>
      </c>
      <c r="H41">
        <v>0.33718295112096541</v>
      </c>
      <c r="I41">
        <v>0</v>
      </c>
      <c r="J41">
        <v>0</v>
      </c>
      <c r="K41">
        <v>0</v>
      </c>
      <c r="L41">
        <v>0</v>
      </c>
    </row>
    <row r="42" spans="1:12" x14ac:dyDescent="0.35">
      <c r="A42">
        <v>1119</v>
      </c>
      <c r="B42">
        <v>5.74676798659452</v>
      </c>
      <c r="C42">
        <v>13.3</v>
      </c>
      <c r="D42">
        <v>5.74676798659452</v>
      </c>
      <c r="E42">
        <v>26.2</v>
      </c>
      <c r="F42">
        <v>5.74676798659452</v>
      </c>
      <c r="G42">
        <v>50</v>
      </c>
      <c r="H42">
        <v>5.74676798659452</v>
      </c>
      <c r="I42">
        <v>0</v>
      </c>
      <c r="J42">
        <v>0</v>
      </c>
      <c r="K42">
        <v>0</v>
      </c>
      <c r="L42">
        <v>0</v>
      </c>
    </row>
    <row r="43" spans="1:12" x14ac:dyDescent="0.35">
      <c r="A43">
        <v>14026</v>
      </c>
      <c r="B43">
        <v>3.5363224170258079</v>
      </c>
      <c r="C43">
        <v>3.4</v>
      </c>
      <c r="D43">
        <v>3.5363224170258079</v>
      </c>
      <c r="E43">
        <v>23.5</v>
      </c>
      <c r="F43">
        <v>3.5363224170258079</v>
      </c>
      <c r="G43">
        <v>251.4</v>
      </c>
      <c r="H43">
        <v>3.5363224170258079</v>
      </c>
      <c r="I43">
        <v>0</v>
      </c>
      <c r="J43">
        <v>0</v>
      </c>
      <c r="K43">
        <v>0</v>
      </c>
      <c r="L43">
        <v>0</v>
      </c>
    </row>
    <row r="44" spans="1:12" x14ac:dyDescent="0.35">
      <c r="A44">
        <v>9528</v>
      </c>
      <c r="B44">
        <v>-2.6635473942143548</v>
      </c>
      <c r="C44">
        <v>5.2</v>
      </c>
      <c r="D44">
        <v>-2.6635473942143548</v>
      </c>
      <c r="E44">
        <v>24.8</v>
      </c>
      <c r="F44">
        <v>-2.6635473942143548</v>
      </c>
      <c r="G44">
        <v>50</v>
      </c>
      <c r="H44">
        <v>-2.6635473942143548</v>
      </c>
      <c r="I44">
        <v>0</v>
      </c>
      <c r="J44">
        <v>0</v>
      </c>
      <c r="K44">
        <v>0</v>
      </c>
      <c r="L44">
        <v>0</v>
      </c>
    </row>
    <row r="45" spans="1:12" x14ac:dyDescent="0.35">
      <c r="A45">
        <v>459</v>
      </c>
      <c r="B45">
        <v>0.80272821660913962</v>
      </c>
      <c r="C45">
        <v>12.9</v>
      </c>
      <c r="D45">
        <v>0.80272821660913962</v>
      </c>
      <c r="E45">
        <v>20.7</v>
      </c>
      <c r="F45">
        <v>0.80272821660913962</v>
      </c>
      <c r="G45">
        <v>114.8</v>
      </c>
      <c r="H45">
        <v>0.80272821660913962</v>
      </c>
      <c r="I45">
        <v>0</v>
      </c>
      <c r="J45">
        <v>0</v>
      </c>
      <c r="K45">
        <v>0</v>
      </c>
      <c r="L45">
        <v>0</v>
      </c>
    </row>
    <row r="46" spans="1:12" x14ac:dyDescent="0.35">
      <c r="A46">
        <v>346</v>
      </c>
      <c r="B46">
        <v>2.6841217810012665</v>
      </c>
      <c r="C46">
        <v>11.5</v>
      </c>
      <c r="D46">
        <v>2.6841217810012665</v>
      </c>
      <c r="E46">
        <v>25</v>
      </c>
      <c r="F46">
        <v>2.6841217810012665</v>
      </c>
      <c r="G46">
        <v>71.5</v>
      </c>
      <c r="H46">
        <v>2.6841217810012665</v>
      </c>
      <c r="I46">
        <v>0</v>
      </c>
      <c r="J46">
        <v>0</v>
      </c>
      <c r="K46">
        <v>0</v>
      </c>
      <c r="L46">
        <v>0</v>
      </c>
    </row>
    <row r="47" spans="1:12" x14ac:dyDescent="0.35">
      <c r="A47">
        <v>1212</v>
      </c>
      <c r="B47">
        <v>-1.3528427510772474</v>
      </c>
      <c r="C47">
        <v>8.1999999999999993</v>
      </c>
      <c r="D47">
        <v>-1.3528427510772474</v>
      </c>
      <c r="E47">
        <v>23.8</v>
      </c>
      <c r="F47">
        <v>-1.3528427510772474</v>
      </c>
      <c r="G47">
        <v>159.1</v>
      </c>
      <c r="H47">
        <v>-1.3528427510772474</v>
      </c>
      <c r="I47">
        <v>0</v>
      </c>
      <c r="J47">
        <v>0</v>
      </c>
      <c r="K47">
        <v>0</v>
      </c>
      <c r="L47">
        <v>0</v>
      </c>
    </row>
    <row r="48" spans="1:12" x14ac:dyDescent="0.35">
      <c r="A48">
        <v>466</v>
      </c>
      <c r="B48">
        <v>2.0311048162536949</v>
      </c>
      <c r="C48">
        <v>14.4</v>
      </c>
      <c r="D48">
        <v>2.0311048162536949</v>
      </c>
      <c r="E48">
        <v>19.100000000000001</v>
      </c>
      <c r="F48">
        <v>2.0311048162536949</v>
      </c>
      <c r="G48">
        <v>137.9</v>
      </c>
      <c r="H48">
        <v>2.0311048162536949</v>
      </c>
      <c r="I48">
        <v>0</v>
      </c>
      <c r="J48">
        <v>0</v>
      </c>
      <c r="K48">
        <v>0</v>
      </c>
      <c r="L48">
        <v>0</v>
      </c>
    </row>
    <row r="49" spans="1:12" x14ac:dyDescent="0.35">
      <c r="A49">
        <v>1171</v>
      </c>
      <c r="B49">
        <v>1.0445351682941322</v>
      </c>
      <c r="C49">
        <v>7.4</v>
      </c>
      <c r="D49">
        <v>1.0445351682941322</v>
      </c>
      <c r="E49">
        <v>23.5</v>
      </c>
      <c r="F49">
        <v>1.0445351682941322</v>
      </c>
      <c r="G49">
        <v>102.9</v>
      </c>
      <c r="H49">
        <v>1.0445351682941322</v>
      </c>
      <c r="I49">
        <v>0</v>
      </c>
      <c r="J49">
        <v>0</v>
      </c>
      <c r="K49">
        <v>0</v>
      </c>
      <c r="L49">
        <v>0</v>
      </c>
    </row>
    <row r="50" spans="1:12" x14ac:dyDescent="0.35">
      <c r="A50">
        <v>1054</v>
      </c>
      <c r="B50">
        <v>-2.6421875728401432</v>
      </c>
      <c r="C50">
        <v>10.7</v>
      </c>
      <c r="D50">
        <v>-2.6421875728401432</v>
      </c>
      <c r="E50">
        <v>25.9</v>
      </c>
      <c r="F50">
        <v>-2.6421875728401432</v>
      </c>
      <c r="G50">
        <v>215</v>
      </c>
      <c r="H50">
        <v>-2.6421875728401432</v>
      </c>
      <c r="I50">
        <v>0</v>
      </c>
      <c r="J50">
        <v>0</v>
      </c>
      <c r="K50">
        <v>0</v>
      </c>
      <c r="L50">
        <v>0</v>
      </c>
    </row>
    <row r="51" spans="1:12" x14ac:dyDescent="0.35">
      <c r="A51">
        <v>1287</v>
      </c>
      <c r="B51">
        <v>-1.729669920171709</v>
      </c>
      <c r="C51">
        <v>10.199999999999999</v>
      </c>
      <c r="D51">
        <v>-1.729669920171709</v>
      </c>
      <c r="E51">
        <v>26.8</v>
      </c>
      <c r="F51">
        <v>-1.729669920171709</v>
      </c>
      <c r="G51">
        <v>148.30000000000001</v>
      </c>
      <c r="H51">
        <v>-1.729669920171709</v>
      </c>
      <c r="I51">
        <v>0</v>
      </c>
      <c r="J51">
        <v>0</v>
      </c>
      <c r="K51">
        <v>0</v>
      </c>
      <c r="L51">
        <v>0</v>
      </c>
    </row>
    <row r="52" spans="1:12" x14ac:dyDescent="0.35">
      <c r="A52">
        <v>1227</v>
      </c>
      <c r="B52">
        <v>1.5794848366467704</v>
      </c>
      <c r="C52">
        <v>9.6</v>
      </c>
      <c r="D52">
        <v>1.5794848366467704</v>
      </c>
      <c r="E52">
        <v>24.4</v>
      </c>
      <c r="F52">
        <v>1.5794848366467704</v>
      </c>
      <c r="G52">
        <v>132.6</v>
      </c>
      <c r="H52">
        <v>1.5794848366467704</v>
      </c>
      <c r="I52">
        <v>0</v>
      </c>
      <c r="J52">
        <v>0</v>
      </c>
      <c r="K52">
        <v>0</v>
      </c>
      <c r="L52">
        <v>0</v>
      </c>
    </row>
    <row r="53" spans="1:12" x14ac:dyDescent="0.35">
      <c r="A53">
        <v>10100</v>
      </c>
      <c r="B53">
        <v>-3.5792308776958137</v>
      </c>
      <c r="C53">
        <v>11.9</v>
      </c>
      <c r="D53">
        <v>-3.5792308776958137</v>
      </c>
      <c r="E53">
        <v>25.1</v>
      </c>
      <c r="F53">
        <v>-3.5792308776958137</v>
      </c>
      <c r="G53">
        <v>204.6</v>
      </c>
      <c r="H53">
        <v>-3.5792308776958137</v>
      </c>
      <c r="I53">
        <v>0</v>
      </c>
      <c r="J53">
        <v>0</v>
      </c>
      <c r="K53">
        <v>0</v>
      </c>
      <c r="L53">
        <v>0</v>
      </c>
    </row>
    <row r="54" spans="1:12" x14ac:dyDescent="0.35">
      <c r="A54">
        <v>2452</v>
      </c>
      <c r="B54">
        <v>5.8863449090686402</v>
      </c>
      <c r="C54">
        <v>8.3000000000000007</v>
      </c>
      <c r="D54">
        <v>5.8863449090686402</v>
      </c>
      <c r="E54">
        <v>26.8</v>
      </c>
      <c r="F54">
        <v>5.8863449090686402</v>
      </c>
      <c r="G54">
        <v>84.5</v>
      </c>
      <c r="H54">
        <v>5.8863449090686402</v>
      </c>
      <c r="I54">
        <v>0</v>
      </c>
      <c r="J54">
        <v>0</v>
      </c>
      <c r="K54">
        <v>0</v>
      </c>
      <c r="L54">
        <v>0</v>
      </c>
    </row>
    <row r="55" spans="1:12" x14ac:dyDescent="0.35">
      <c r="A55">
        <v>482</v>
      </c>
      <c r="B55">
        <v>-1.8201174047345177</v>
      </c>
      <c r="C55">
        <v>11.5</v>
      </c>
      <c r="D55">
        <v>-1.8201174047345177</v>
      </c>
      <c r="E55">
        <v>27.4</v>
      </c>
      <c r="F55">
        <v>-1.8201174047345177</v>
      </c>
      <c r="G55">
        <v>199.9</v>
      </c>
      <c r="H55">
        <v>-1.8201174047345177</v>
      </c>
      <c r="I55">
        <v>0</v>
      </c>
      <c r="J55">
        <v>0</v>
      </c>
      <c r="K55">
        <v>0</v>
      </c>
      <c r="L55">
        <v>0</v>
      </c>
    </row>
    <row r="56" spans="1:12" x14ac:dyDescent="0.35">
      <c r="A56">
        <v>776</v>
      </c>
      <c r="B56">
        <v>0.29543130520192307</v>
      </c>
      <c r="C56">
        <v>8.1999999999999993</v>
      </c>
      <c r="D56">
        <v>0.29543130520192307</v>
      </c>
      <c r="E56">
        <v>23</v>
      </c>
      <c r="F56">
        <v>0.29543130520192307</v>
      </c>
      <c r="G56">
        <v>228</v>
      </c>
      <c r="H56">
        <v>0.29543130520192307</v>
      </c>
      <c r="I56">
        <v>0</v>
      </c>
      <c r="J56">
        <v>0</v>
      </c>
      <c r="K56">
        <v>0</v>
      </c>
      <c r="L56">
        <v>0</v>
      </c>
    </row>
    <row r="57" spans="1:12" x14ac:dyDescent="0.35">
      <c r="A57">
        <v>1841</v>
      </c>
      <c r="B57">
        <v>0.79375703090589411</v>
      </c>
      <c r="C57">
        <v>9.1999999999999993</v>
      </c>
      <c r="D57">
        <v>0.79375703090589411</v>
      </c>
      <c r="E57">
        <v>23.3</v>
      </c>
      <c r="F57">
        <v>0.79375703090589411</v>
      </c>
      <c r="G57">
        <v>84.2</v>
      </c>
      <c r="H57">
        <v>0.79375703090589411</v>
      </c>
      <c r="I57">
        <v>0</v>
      </c>
      <c r="J57">
        <v>0</v>
      </c>
      <c r="K57">
        <v>0</v>
      </c>
      <c r="L57">
        <v>0</v>
      </c>
    </row>
    <row r="58" spans="1:12" x14ac:dyDescent="0.35">
      <c r="A58">
        <v>1394</v>
      </c>
      <c r="B58">
        <v>-4.0705062780562855</v>
      </c>
      <c r="C58">
        <v>6.6</v>
      </c>
      <c r="D58">
        <v>-4.0705062780562855</v>
      </c>
      <c r="E58">
        <v>25.7</v>
      </c>
      <c r="F58">
        <v>-4.0705062780562855</v>
      </c>
      <c r="G58">
        <v>50</v>
      </c>
      <c r="H58">
        <v>-4.0705062780562855</v>
      </c>
      <c r="I58">
        <v>0</v>
      </c>
      <c r="J58">
        <v>0</v>
      </c>
      <c r="K58">
        <v>0</v>
      </c>
      <c r="L58">
        <v>0</v>
      </c>
    </row>
    <row r="59" spans="1:12" x14ac:dyDescent="0.35">
      <c r="A59">
        <v>2164</v>
      </c>
      <c r="B59">
        <v>-2.8693371174584144</v>
      </c>
      <c r="C59">
        <v>8.9</v>
      </c>
      <c r="D59">
        <v>-2.8693371174584144</v>
      </c>
      <c r="E59">
        <v>29.4</v>
      </c>
      <c r="F59">
        <v>-2.8693371174584144</v>
      </c>
      <c r="G59">
        <v>218.6</v>
      </c>
      <c r="H59">
        <v>-2.8693371174584144</v>
      </c>
      <c r="I59">
        <v>0</v>
      </c>
      <c r="J59">
        <v>0</v>
      </c>
      <c r="K59">
        <v>0</v>
      </c>
      <c r="L59">
        <v>0</v>
      </c>
    </row>
    <row r="60" spans="1:12" x14ac:dyDescent="0.35">
      <c r="A60">
        <v>663</v>
      </c>
      <c r="B60">
        <v>-1.9805326979542954</v>
      </c>
      <c r="C60">
        <v>7.9</v>
      </c>
      <c r="D60">
        <v>-1.9805326979542954</v>
      </c>
      <c r="E60">
        <v>24.1</v>
      </c>
      <c r="F60">
        <v>-1.9805326979542954</v>
      </c>
      <c r="G60">
        <v>175.8</v>
      </c>
      <c r="H60">
        <v>-1.9805326979542954</v>
      </c>
      <c r="I60">
        <v>0</v>
      </c>
      <c r="J60">
        <v>0</v>
      </c>
      <c r="K60">
        <v>0</v>
      </c>
      <c r="L60">
        <v>0</v>
      </c>
    </row>
    <row r="61" spans="1:12" x14ac:dyDescent="0.35">
      <c r="A61">
        <v>29706</v>
      </c>
      <c r="B61">
        <v>-3.6350481489262734</v>
      </c>
      <c r="C61">
        <v>7.7</v>
      </c>
      <c r="D61">
        <v>-3.6350481489262734</v>
      </c>
      <c r="E61">
        <v>26.2</v>
      </c>
      <c r="F61">
        <v>-3.6350481489262734</v>
      </c>
      <c r="G61">
        <v>205.2</v>
      </c>
      <c r="H61">
        <v>-3.6350481489262734</v>
      </c>
      <c r="I61">
        <v>0</v>
      </c>
      <c r="J61">
        <v>0</v>
      </c>
      <c r="K61">
        <v>0</v>
      </c>
      <c r="L61">
        <v>0</v>
      </c>
    </row>
    <row r="62" spans="1:12" x14ac:dyDescent="0.35">
      <c r="A62">
        <v>3038</v>
      </c>
      <c r="B62">
        <v>-1.3317842080124009</v>
      </c>
      <c r="C62">
        <v>8.3000000000000007</v>
      </c>
      <c r="D62">
        <v>-1.3317842080124009</v>
      </c>
      <c r="E62">
        <v>22.7</v>
      </c>
      <c r="F62">
        <v>-1.3317842080124009</v>
      </c>
      <c r="G62">
        <v>152</v>
      </c>
      <c r="H62">
        <v>-1.3317842080124009</v>
      </c>
      <c r="I62">
        <v>0</v>
      </c>
      <c r="J62">
        <v>0</v>
      </c>
      <c r="K62">
        <v>0</v>
      </c>
      <c r="L62">
        <v>0</v>
      </c>
    </row>
    <row r="63" spans="1:12" x14ac:dyDescent="0.35">
      <c r="A63">
        <v>12568</v>
      </c>
      <c r="B63">
        <v>-1.2890810448816765</v>
      </c>
      <c r="C63">
        <v>14.5</v>
      </c>
      <c r="D63">
        <v>-1.2890810448816765</v>
      </c>
      <c r="E63">
        <v>22.7</v>
      </c>
      <c r="F63">
        <v>-1.2890810448816765</v>
      </c>
      <c r="G63">
        <v>219.8</v>
      </c>
      <c r="H63">
        <v>-1.2890810448816765</v>
      </c>
      <c r="I63">
        <v>0</v>
      </c>
      <c r="J63">
        <v>0</v>
      </c>
      <c r="K63">
        <v>0</v>
      </c>
      <c r="L63">
        <v>0</v>
      </c>
    </row>
    <row r="64" spans="1:12" x14ac:dyDescent="0.35">
      <c r="A64">
        <v>887</v>
      </c>
      <c r="B64">
        <v>-1.9545442440556826</v>
      </c>
      <c r="C64">
        <v>5.5</v>
      </c>
      <c r="D64">
        <v>-1.9545442440556826</v>
      </c>
      <c r="E64">
        <v>23.2</v>
      </c>
      <c r="F64">
        <v>-1.9545442440556826</v>
      </c>
      <c r="G64">
        <v>50</v>
      </c>
      <c r="H64">
        <v>-1.9545442440556826</v>
      </c>
      <c r="I64">
        <v>0</v>
      </c>
      <c r="J64">
        <v>0</v>
      </c>
      <c r="K64">
        <v>0</v>
      </c>
      <c r="L64">
        <v>0</v>
      </c>
    </row>
    <row r="65" spans="1:12" x14ac:dyDescent="0.35">
      <c r="A65">
        <v>3735</v>
      </c>
      <c r="B65">
        <v>-3.1837646317462855</v>
      </c>
      <c r="C65">
        <v>9</v>
      </c>
      <c r="D65">
        <v>-3.1837646317462855</v>
      </c>
      <c r="E65">
        <v>30.6</v>
      </c>
      <c r="F65">
        <v>-3.1837646317462855</v>
      </c>
      <c r="G65">
        <v>226</v>
      </c>
      <c r="H65">
        <v>-3.1837646317462855</v>
      </c>
      <c r="I65">
        <v>0</v>
      </c>
      <c r="J65">
        <v>0</v>
      </c>
      <c r="K65">
        <v>0</v>
      </c>
      <c r="L65">
        <v>0</v>
      </c>
    </row>
    <row r="66" spans="1:12" x14ac:dyDescent="0.35">
      <c r="A66">
        <v>6235</v>
      </c>
      <c r="B66">
        <v>1.2123148789367519</v>
      </c>
      <c r="C66">
        <v>4</v>
      </c>
      <c r="D66">
        <v>1.2123148789367519</v>
      </c>
      <c r="E66">
        <v>30.5</v>
      </c>
      <c r="F66">
        <v>1.2123148789367519</v>
      </c>
      <c r="G66">
        <v>244.4</v>
      </c>
      <c r="H66">
        <v>1.2123148789367519</v>
      </c>
      <c r="I66">
        <v>0</v>
      </c>
      <c r="J66">
        <v>0</v>
      </c>
      <c r="K66">
        <v>0</v>
      </c>
      <c r="L66">
        <v>0</v>
      </c>
    </row>
    <row r="67" spans="1:12" x14ac:dyDescent="0.35">
      <c r="A67">
        <v>22716</v>
      </c>
      <c r="B67">
        <v>0.89256516840969624</v>
      </c>
      <c r="C67">
        <v>7.7</v>
      </c>
      <c r="D67">
        <v>0.89256516840969624</v>
      </c>
      <c r="E67">
        <v>28.7</v>
      </c>
      <c r="F67">
        <v>0.89256516840969624</v>
      </c>
      <c r="G67">
        <v>50</v>
      </c>
      <c r="H67">
        <v>0.89256516840969624</v>
      </c>
      <c r="I67">
        <v>0</v>
      </c>
      <c r="J67">
        <v>0</v>
      </c>
      <c r="K67">
        <v>0</v>
      </c>
      <c r="L67">
        <v>0</v>
      </c>
    </row>
    <row r="68" spans="1:12" x14ac:dyDescent="0.35">
      <c r="A68">
        <v>3199</v>
      </c>
      <c r="B68">
        <v>-0.63298947796594973</v>
      </c>
      <c r="C68">
        <v>6.6</v>
      </c>
      <c r="D68">
        <v>-0.63298947796594973</v>
      </c>
      <c r="E68">
        <v>26.9</v>
      </c>
      <c r="F68">
        <v>-0.63298947796594973</v>
      </c>
      <c r="G68">
        <v>64.599999999999994</v>
      </c>
      <c r="H68">
        <v>-0.63298947796594973</v>
      </c>
      <c r="I68">
        <v>0</v>
      </c>
      <c r="J68">
        <v>0</v>
      </c>
      <c r="K68">
        <v>0</v>
      </c>
      <c r="L68">
        <v>0</v>
      </c>
    </row>
    <row r="69" spans="1:12" x14ac:dyDescent="0.35">
      <c r="A69">
        <v>6449</v>
      </c>
      <c r="B69">
        <v>6.21840289191924</v>
      </c>
      <c r="C69">
        <v>10.1</v>
      </c>
      <c r="D69">
        <v>6.21840289191924</v>
      </c>
      <c r="E69">
        <v>21.6</v>
      </c>
      <c r="F69">
        <v>6.21840289191924</v>
      </c>
      <c r="G69">
        <v>50</v>
      </c>
      <c r="H69">
        <v>6.21840289191924</v>
      </c>
      <c r="I69">
        <v>0</v>
      </c>
      <c r="J69">
        <v>0</v>
      </c>
      <c r="K69">
        <v>0</v>
      </c>
      <c r="L69">
        <v>0</v>
      </c>
    </row>
    <row r="70" spans="1:12" x14ac:dyDescent="0.35">
      <c r="A70">
        <v>970</v>
      </c>
      <c r="B70">
        <v>-3.2627583373640547</v>
      </c>
      <c r="C70">
        <v>12.7</v>
      </c>
      <c r="D70">
        <v>-3.2627583373640547</v>
      </c>
      <c r="E70">
        <v>25.3</v>
      </c>
      <c r="F70">
        <v>-3.2627583373640547</v>
      </c>
      <c r="G70">
        <v>244.3</v>
      </c>
      <c r="H70">
        <v>-3.2627583373640547</v>
      </c>
      <c r="I70">
        <v>0</v>
      </c>
      <c r="J70">
        <v>0</v>
      </c>
      <c r="K70">
        <v>0</v>
      </c>
      <c r="L70">
        <v>0</v>
      </c>
    </row>
    <row r="71" spans="1:12" x14ac:dyDescent="0.35">
      <c r="A71">
        <v>41482</v>
      </c>
      <c r="B71">
        <v>2.8565594092610453</v>
      </c>
      <c r="C71">
        <v>7.3</v>
      </c>
      <c r="D71">
        <v>2.8565594092610453</v>
      </c>
      <c r="E71">
        <v>27.9</v>
      </c>
      <c r="F71">
        <v>2.8565594092610453</v>
      </c>
      <c r="G71">
        <v>201.6</v>
      </c>
      <c r="H71">
        <v>2.8565594092610453</v>
      </c>
      <c r="I71">
        <v>0</v>
      </c>
      <c r="J71">
        <v>0</v>
      </c>
      <c r="K71">
        <v>0</v>
      </c>
      <c r="L71">
        <v>0</v>
      </c>
    </row>
    <row r="72" spans="1:12" x14ac:dyDescent="0.35">
      <c r="A72">
        <v>8342</v>
      </c>
      <c r="B72">
        <v>-3.2591695097031916</v>
      </c>
      <c r="C72">
        <v>11.2</v>
      </c>
      <c r="D72">
        <v>-3.2591695097031916</v>
      </c>
      <c r="E72">
        <v>19.7</v>
      </c>
      <c r="F72">
        <v>-3.2591695097031916</v>
      </c>
      <c r="G72">
        <v>55.3</v>
      </c>
      <c r="H72">
        <v>-3.2591695097031916</v>
      </c>
      <c r="I72">
        <v>0</v>
      </c>
      <c r="J72">
        <v>0</v>
      </c>
      <c r="K72">
        <v>0</v>
      </c>
      <c r="L72">
        <v>0</v>
      </c>
    </row>
    <row r="73" spans="1:12" x14ac:dyDescent="0.35">
      <c r="A73">
        <v>8746</v>
      </c>
      <c r="B73">
        <v>-2.3212396846851604</v>
      </c>
      <c r="C73">
        <v>12.5</v>
      </c>
      <c r="D73">
        <v>-2.3212396846851604</v>
      </c>
      <c r="E73">
        <v>25.2</v>
      </c>
      <c r="F73">
        <v>-2.3212396846851604</v>
      </c>
      <c r="G73">
        <v>280.3</v>
      </c>
      <c r="H73">
        <v>-2.3212396846851604</v>
      </c>
      <c r="I73">
        <v>0</v>
      </c>
      <c r="J73">
        <v>0</v>
      </c>
      <c r="K73">
        <v>0</v>
      </c>
      <c r="L73">
        <v>0</v>
      </c>
    </row>
    <row r="74" spans="1:12" x14ac:dyDescent="0.35">
      <c r="A74">
        <v>2743</v>
      </c>
      <c r="B74">
        <v>1.0702276256090855</v>
      </c>
      <c r="C74">
        <v>9.1999999999999993</v>
      </c>
      <c r="D74">
        <v>1.0702276256090855</v>
      </c>
      <c r="E74">
        <v>24.9</v>
      </c>
      <c r="F74">
        <v>1.0702276256090855</v>
      </c>
      <c r="G74">
        <v>50</v>
      </c>
      <c r="H74">
        <v>1.0702276256090855</v>
      </c>
      <c r="I74">
        <v>0</v>
      </c>
      <c r="J74">
        <v>0</v>
      </c>
      <c r="K74">
        <v>0</v>
      </c>
      <c r="L74">
        <v>0</v>
      </c>
    </row>
    <row r="75" spans="1:12" x14ac:dyDescent="0.35">
      <c r="A75">
        <v>8140</v>
      </c>
      <c r="B75">
        <v>-3.4395451603671319</v>
      </c>
      <c r="C75">
        <v>9.1</v>
      </c>
      <c r="D75">
        <v>-3.4395451603671319</v>
      </c>
      <c r="E75">
        <v>22.2</v>
      </c>
      <c r="F75">
        <v>-3.4395451603671319</v>
      </c>
      <c r="G75">
        <v>108.9</v>
      </c>
      <c r="H75">
        <v>-3.4395451603671319</v>
      </c>
      <c r="I75">
        <v>0</v>
      </c>
      <c r="J75">
        <v>0</v>
      </c>
      <c r="K75">
        <v>0</v>
      </c>
      <c r="L75">
        <v>0</v>
      </c>
    </row>
    <row r="76" spans="1:12" x14ac:dyDescent="0.35">
      <c r="A76">
        <v>12490</v>
      </c>
      <c r="B76">
        <v>-3.971260686424074</v>
      </c>
      <c r="C76">
        <v>5</v>
      </c>
      <c r="D76">
        <v>-3.971260686424074</v>
      </c>
      <c r="E76">
        <v>26.5</v>
      </c>
      <c r="F76">
        <v>-3.971260686424074</v>
      </c>
      <c r="G76">
        <v>107.6</v>
      </c>
      <c r="H76">
        <v>-3.971260686424074</v>
      </c>
      <c r="I76">
        <v>0</v>
      </c>
      <c r="J76">
        <v>0</v>
      </c>
      <c r="K76">
        <v>0</v>
      </c>
      <c r="L76">
        <v>0</v>
      </c>
    </row>
    <row r="77" spans="1:12" x14ac:dyDescent="0.35">
      <c r="A77">
        <v>631</v>
      </c>
      <c r="B77">
        <v>5.5637750807179174</v>
      </c>
      <c r="C77">
        <v>6.3</v>
      </c>
      <c r="D77">
        <v>5.5637750807179174</v>
      </c>
      <c r="E77">
        <v>21.4</v>
      </c>
      <c r="F77">
        <v>5.5637750807179174</v>
      </c>
      <c r="G77">
        <v>307.2</v>
      </c>
      <c r="H77">
        <v>5.5637750807179174</v>
      </c>
      <c r="I77">
        <v>0</v>
      </c>
      <c r="J77">
        <v>0</v>
      </c>
      <c r="K77">
        <v>0</v>
      </c>
      <c r="L77">
        <v>0</v>
      </c>
    </row>
    <row r="78" spans="1:12" x14ac:dyDescent="0.35">
      <c r="A78">
        <v>4109</v>
      </c>
      <c r="B78">
        <v>-1.2550968914064171</v>
      </c>
      <c r="C78">
        <v>7.7</v>
      </c>
      <c r="D78">
        <v>-1.2550968914064171</v>
      </c>
      <c r="E78">
        <v>24.3</v>
      </c>
      <c r="F78">
        <v>-1.2550968914064171</v>
      </c>
      <c r="G78">
        <v>199.1</v>
      </c>
      <c r="H78">
        <v>-1.2550968914064171</v>
      </c>
      <c r="I78">
        <v>0</v>
      </c>
      <c r="J78">
        <v>0</v>
      </c>
      <c r="K78">
        <v>0</v>
      </c>
      <c r="L78">
        <v>0</v>
      </c>
    </row>
    <row r="79" spans="1:12" x14ac:dyDescent="0.35">
      <c r="A79">
        <v>1257</v>
      </c>
      <c r="B79">
        <v>4.6861057229408303</v>
      </c>
      <c r="C79">
        <v>7.2</v>
      </c>
      <c r="D79">
        <v>4.6861057229408303</v>
      </c>
      <c r="E79">
        <v>18.100000000000001</v>
      </c>
      <c r="F79">
        <v>4.6861057229408303</v>
      </c>
      <c r="G79">
        <v>50</v>
      </c>
      <c r="H79">
        <v>4.6861057229408303</v>
      </c>
      <c r="I79">
        <v>0</v>
      </c>
      <c r="J79">
        <v>0</v>
      </c>
      <c r="K79">
        <v>0</v>
      </c>
      <c r="L79">
        <v>0</v>
      </c>
    </row>
    <row r="80" spans="1:12" x14ac:dyDescent="0.35">
      <c r="A80">
        <v>2052</v>
      </c>
      <c r="B80">
        <v>5.0144692199144032</v>
      </c>
      <c r="C80">
        <v>9.6999999999999993</v>
      </c>
      <c r="D80">
        <v>5.0144692199144032</v>
      </c>
      <c r="E80">
        <v>25.9</v>
      </c>
      <c r="F80">
        <v>5.0144692199144032</v>
      </c>
      <c r="G80">
        <v>396.3</v>
      </c>
      <c r="H80">
        <v>5.0144692199144032</v>
      </c>
      <c r="I80">
        <v>0</v>
      </c>
      <c r="J80">
        <v>0</v>
      </c>
      <c r="K80">
        <v>0</v>
      </c>
      <c r="L80">
        <v>0</v>
      </c>
    </row>
    <row r="81" spans="1:12" x14ac:dyDescent="0.35">
      <c r="A81">
        <v>711</v>
      </c>
      <c r="B81">
        <v>-2.4328077580580043</v>
      </c>
      <c r="C81">
        <v>3.2</v>
      </c>
      <c r="D81">
        <v>-2.4328077580580043</v>
      </c>
      <c r="E81">
        <v>25.6</v>
      </c>
      <c r="F81">
        <v>-2.4328077580580043</v>
      </c>
      <c r="G81">
        <v>89.5</v>
      </c>
      <c r="H81">
        <v>-2.4328077580580043</v>
      </c>
      <c r="I81">
        <v>0</v>
      </c>
      <c r="J81">
        <v>0</v>
      </c>
      <c r="K81">
        <v>0</v>
      </c>
      <c r="L81">
        <v>0</v>
      </c>
    </row>
    <row r="82" spans="1:12" x14ac:dyDescent="0.35">
      <c r="A82">
        <v>589</v>
      </c>
      <c r="B82">
        <v>3.3912850690378278</v>
      </c>
      <c r="C82">
        <v>13.1</v>
      </c>
      <c r="D82">
        <v>3.3912850690378278</v>
      </c>
      <c r="E82">
        <v>27.6</v>
      </c>
      <c r="F82">
        <v>3.3912850690378278</v>
      </c>
      <c r="G82">
        <v>149.4</v>
      </c>
      <c r="H82">
        <v>3.3912850690378278</v>
      </c>
      <c r="I82">
        <v>0</v>
      </c>
      <c r="J82">
        <v>0</v>
      </c>
      <c r="K82">
        <v>0</v>
      </c>
      <c r="L82">
        <v>0</v>
      </c>
    </row>
    <row r="83" spans="1:12" x14ac:dyDescent="0.35">
      <c r="A83">
        <v>819</v>
      </c>
      <c r="B83">
        <v>1.3821993988176615</v>
      </c>
      <c r="C83">
        <v>12.6</v>
      </c>
      <c r="D83">
        <v>1.3821993988176615</v>
      </c>
      <c r="E83">
        <v>26.6</v>
      </c>
      <c r="F83">
        <v>1.3821993988176615</v>
      </c>
      <c r="G83">
        <v>67</v>
      </c>
      <c r="H83">
        <v>1.3821993988176615</v>
      </c>
      <c r="I83">
        <v>0</v>
      </c>
      <c r="J83">
        <v>0</v>
      </c>
      <c r="K83">
        <v>0</v>
      </c>
      <c r="L83">
        <v>0</v>
      </c>
    </row>
    <row r="84" spans="1:12" x14ac:dyDescent="0.35">
      <c r="A84">
        <v>375</v>
      </c>
      <c r="B84">
        <v>3.3531667804153926</v>
      </c>
      <c r="C84">
        <v>10.8</v>
      </c>
      <c r="D84">
        <v>3.3531667804153926</v>
      </c>
      <c r="E84">
        <v>30.7</v>
      </c>
      <c r="F84">
        <v>3.3531667804153926</v>
      </c>
      <c r="G84">
        <v>50</v>
      </c>
      <c r="H84">
        <v>3.3531667804153926</v>
      </c>
      <c r="I84">
        <v>0</v>
      </c>
      <c r="J84">
        <v>0</v>
      </c>
      <c r="K84">
        <v>0</v>
      </c>
      <c r="L84">
        <v>0</v>
      </c>
    </row>
    <row r="85" spans="1:12" x14ac:dyDescent="0.35">
      <c r="A85">
        <v>1436</v>
      </c>
      <c r="B85">
        <v>-1.0917139707264312</v>
      </c>
      <c r="C85">
        <v>6.2</v>
      </c>
      <c r="D85">
        <v>-1.0917139707264312</v>
      </c>
      <c r="E85">
        <v>22.4</v>
      </c>
      <c r="F85">
        <v>-1.0917139707264312</v>
      </c>
      <c r="G85">
        <v>153.9</v>
      </c>
      <c r="H85">
        <v>-1.0917139707264312</v>
      </c>
      <c r="I85">
        <v>0</v>
      </c>
      <c r="J85">
        <v>0</v>
      </c>
      <c r="K85">
        <v>0</v>
      </c>
      <c r="L85">
        <v>0</v>
      </c>
    </row>
    <row r="86" spans="1:12" x14ac:dyDescent="0.35">
      <c r="A86">
        <v>2765</v>
      </c>
      <c r="B86">
        <v>0.80820385358546787</v>
      </c>
      <c r="C86">
        <v>7.3</v>
      </c>
      <c r="D86">
        <v>0.80820385358546787</v>
      </c>
      <c r="E86">
        <v>22.3</v>
      </c>
      <c r="F86">
        <v>0.80820385358546787</v>
      </c>
      <c r="G86">
        <v>103.9</v>
      </c>
      <c r="H86">
        <v>0.80820385358546787</v>
      </c>
      <c r="I86">
        <v>0</v>
      </c>
      <c r="J86">
        <v>0</v>
      </c>
      <c r="K86">
        <v>0</v>
      </c>
      <c r="L86">
        <v>0</v>
      </c>
    </row>
    <row r="87" spans="1:12" x14ac:dyDescent="0.35">
      <c r="A87">
        <v>688</v>
      </c>
      <c r="B87">
        <v>2.3634613619772438</v>
      </c>
      <c r="C87">
        <v>8.3000000000000007</v>
      </c>
      <c r="D87">
        <v>2.3634613619772438</v>
      </c>
      <c r="E87">
        <v>27.3</v>
      </c>
      <c r="F87">
        <v>2.3634613619772438</v>
      </c>
      <c r="G87">
        <v>50</v>
      </c>
      <c r="H87">
        <v>2.3634613619772438</v>
      </c>
      <c r="I87">
        <v>0</v>
      </c>
      <c r="J87">
        <v>0</v>
      </c>
      <c r="K87">
        <v>0</v>
      </c>
      <c r="L87">
        <v>0</v>
      </c>
    </row>
    <row r="88" spans="1:12" x14ac:dyDescent="0.35">
      <c r="A88">
        <v>7016</v>
      </c>
      <c r="B88">
        <v>0.70218599180596186</v>
      </c>
      <c r="C88">
        <v>5.7</v>
      </c>
      <c r="D88">
        <v>0.70218599180596186</v>
      </c>
      <c r="E88">
        <v>19.600000000000001</v>
      </c>
      <c r="F88">
        <v>0.70218599180596186</v>
      </c>
      <c r="G88">
        <v>50</v>
      </c>
      <c r="H88">
        <v>0.70218599180596186</v>
      </c>
      <c r="I88">
        <v>0</v>
      </c>
      <c r="J88">
        <v>0</v>
      </c>
      <c r="K88">
        <v>0</v>
      </c>
      <c r="L88">
        <v>0</v>
      </c>
    </row>
    <row r="89" spans="1:12" x14ac:dyDescent="0.35">
      <c r="A89">
        <v>768</v>
      </c>
      <c r="B89">
        <v>-3.4583977650453974</v>
      </c>
      <c r="C89">
        <v>9.9</v>
      </c>
      <c r="D89">
        <v>-3.4583977650453974</v>
      </c>
      <c r="E89">
        <v>20</v>
      </c>
      <c r="F89">
        <v>-3.4583977650453974</v>
      </c>
      <c r="G89">
        <v>144.69999999999999</v>
      </c>
      <c r="H89">
        <v>-3.4583977650453974</v>
      </c>
      <c r="I89">
        <v>0</v>
      </c>
      <c r="J89">
        <v>0</v>
      </c>
      <c r="K89">
        <v>0</v>
      </c>
      <c r="L89">
        <v>0</v>
      </c>
    </row>
    <row r="90" spans="1:12" x14ac:dyDescent="0.35">
      <c r="A90">
        <v>3201</v>
      </c>
      <c r="B90">
        <v>2.0567427994603023</v>
      </c>
      <c r="C90">
        <v>5.4</v>
      </c>
      <c r="D90">
        <v>2.0567427994603023</v>
      </c>
      <c r="E90">
        <v>23.8</v>
      </c>
      <c r="F90">
        <v>2.0567427994603023</v>
      </c>
      <c r="G90">
        <v>230.5</v>
      </c>
      <c r="H90">
        <v>2.0567427994603023</v>
      </c>
      <c r="I90">
        <v>0</v>
      </c>
      <c r="J90">
        <v>0</v>
      </c>
      <c r="K90">
        <v>0</v>
      </c>
      <c r="L90">
        <v>0</v>
      </c>
    </row>
    <row r="91" spans="1:12" x14ac:dyDescent="0.35">
      <c r="A91">
        <v>548</v>
      </c>
      <c r="B91">
        <v>-1.1804801980768929</v>
      </c>
      <c r="C91">
        <v>9.6</v>
      </c>
      <c r="D91">
        <v>-1.1804801980768929</v>
      </c>
      <c r="E91">
        <v>29.3</v>
      </c>
      <c r="F91">
        <v>-1.1804801980768929</v>
      </c>
      <c r="G91">
        <v>50</v>
      </c>
      <c r="H91">
        <v>-1.1804801980768929</v>
      </c>
      <c r="I91">
        <v>0</v>
      </c>
      <c r="J91">
        <v>0</v>
      </c>
      <c r="K91">
        <v>0</v>
      </c>
      <c r="L91">
        <v>0</v>
      </c>
    </row>
    <row r="92" spans="1:12" x14ac:dyDescent="0.35">
      <c r="A92">
        <v>2198</v>
      </c>
      <c r="B92">
        <v>-3.2295526881088037</v>
      </c>
      <c r="C92">
        <v>9.1</v>
      </c>
      <c r="D92">
        <v>-3.2295526881088037</v>
      </c>
      <c r="E92">
        <v>23.2</v>
      </c>
      <c r="F92">
        <v>-3.2295526881088037</v>
      </c>
      <c r="G92">
        <v>156.9</v>
      </c>
      <c r="H92">
        <v>-3.2295526881088037</v>
      </c>
      <c r="I92">
        <v>0</v>
      </c>
      <c r="J92">
        <v>0</v>
      </c>
      <c r="K92">
        <v>0</v>
      </c>
      <c r="L92">
        <v>0</v>
      </c>
    </row>
    <row r="93" spans="1:12" x14ac:dyDescent="0.35">
      <c r="A93">
        <v>4366</v>
      </c>
      <c r="B93">
        <v>-2.1486540529183387</v>
      </c>
      <c r="C93">
        <v>9</v>
      </c>
      <c r="D93">
        <v>-2.1486540529183387</v>
      </c>
      <c r="E93">
        <v>23.8</v>
      </c>
      <c r="F93">
        <v>-2.1486540529183387</v>
      </c>
      <c r="G93">
        <v>111</v>
      </c>
      <c r="H93">
        <v>-2.1486540529183387</v>
      </c>
      <c r="I93">
        <v>0</v>
      </c>
      <c r="J93">
        <v>0</v>
      </c>
      <c r="K93">
        <v>0</v>
      </c>
      <c r="L93">
        <v>0</v>
      </c>
    </row>
    <row r="94" spans="1:12" x14ac:dyDescent="0.35">
      <c r="A94">
        <v>1585</v>
      </c>
      <c r="B94">
        <v>-3.3626643054256391</v>
      </c>
      <c r="C94">
        <v>8.9</v>
      </c>
      <c r="D94">
        <v>-3.3626643054256391</v>
      </c>
      <c r="E94">
        <v>31.2</v>
      </c>
      <c r="F94">
        <v>-3.3626643054256391</v>
      </c>
      <c r="G94">
        <v>219.7</v>
      </c>
      <c r="H94">
        <v>-3.3626643054256391</v>
      </c>
      <c r="I94">
        <v>0</v>
      </c>
      <c r="J94">
        <v>0</v>
      </c>
      <c r="K94">
        <v>0</v>
      </c>
      <c r="L94">
        <v>0</v>
      </c>
    </row>
    <row r="95" spans="1:12" x14ac:dyDescent="0.35">
      <c r="A95">
        <v>1616</v>
      </c>
      <c r="B95">
        <v>-1.9637906690978397</v>
      </c>
      <c r="C95">
        <v>1.9</v>
      </c>
      <c r="D95">
        <v>-1.9637906690978397</v>
      </c>
      <c r="E95">
        <v>22</v>
      </c>
      <c r="F95">
        <v>-1.9637906690978397</v>
      </c>
      <c r="G95">
        <v>50</v>
      </c>
      <c r="H95">
        <v>-1.9637906690978397</v>
      </c>
      <c r="I95">
        <v>0</v>
      </c>
      <c r="J95">
        <v>0</v>
      </c>
      <c r="K95">
        <v>0</v>
      </c>
      <c r="L95">
        <v>0</v>
      </c>
    </row>
    <row r="96" spans="1:12" x14ac:dyDescent="0.35">
      <c r="A96">
        <v>36852</v>
      </c>
      <c r="B96">
        <v>-4.6163386982678247</v>
      </c>
      <c r="C96">
        <v>9</v>
      </c>
      <c r="D96">
        <v>-4.6163386982678247</v>
      </c>
      <c r="E96">
        <v>24.3</v>
      </c>
      <c r="F96">
        <v>-4.6163386982678247</v>
      </c>
      <c r="G96">
        <v>216.4</v>
      </c>
      <c r="H96">
        <v>-4.6163386982678247</v>
      </c>
      <c r="I96">
        <v>0</v>
      </c>
      <c r="J96">
        <v>0</v>
      </c>
      <c r="K96">
        <v>0</v>
      </c>
      <c r="L96">
        <v>0</v>
      </c>
    </row>
    <row r="97" spans="1:12" x14ac:dyDescent="0.35">
      <c r="A97">
        <v>9474</v>
      </c>
      <c r="B97">
        <v>-0.87064019964294204</v>
      </c>
      <c r="C97">
        <v>3.6</v>
      </c>
      <c r="D97">
        <v>-0.87064019964294204</v>
      </c>
      <c r="E97">
        <v>28.4</v>
      </c>
      <c r="F97">
        <v>-0.87064019964294204</v>
      </c>
      <c r="G97">
        <v>177.1</v>
      </c>
      <c r="H97">
        <v>-0.87064019964294204</v>
      </c>
      <c r="I97">
        <v>0</v>
      </c>
      <c r="J97">
        <v>0</v>
      </c>
      <c r="K97">
        <v>0</v>
      </c>
      <c r="L97">
        <v>0</v>
      </c>
    </row>
    <row r="98" spans="1:12" x14ac:dyDescent="0.35">
      <c r="A98">
        <v>60000</v>
      </c>
      <c r="B98">
        <v>2.2755317997147699</v>
      </c>
      <c r="C98">
        <v>8.5</v>
      </c>
      <c r="D98">
        <v>2.2755317997147699</v>
      </c>
      <c r="E98">
        <v>25.7</v>
      </c>
      <c r="F98">
        <v>2.2755317997147699</v>
      </c>
      <c r="G98">
        <v>113.3</v>
      </c>
      <c r="H98">
        <v>2.2755317997147699</v>
      </c>
      <c r="I98">
        <v>0</v>
      </c>
      <c r="J98">
        <v>0</v>
      </c>
      <c r="K98">
        <v>0</v>
      </c>
      <c r="L98">
        <v>0</v>
      </c>
    </row>
    <row r="99" spans="1:12" x14ac:dyDescent="0.35">
      <c r="A99">
        <v>825</v>
      </c>
      <c r="B99">
        <v>-1.5454086362198396</v>
      </c>
      <c r="C99">
        <v>8.1999999999999993</v>
      </c>
      <c r="D99">
        <v>-1.5454086362198396</v>
      </c>
      <c r="E99">
        <v>23.6</v>
      </c>
      <c r="F99">
        <v>-1.5454086362198396</v>
      </c>
      <c r="G99">
        <v>188.3</v>
      </c>
      <c r="H99">
        <v>-1.5454086362198396</v>
      </c>
      <c r="I99">
        <v>0</v>
      </c>
      <c r="J99">
        <v>0</v>
      </c>
      <c r="K99">
        <v>0</v>
      </c>
      <c r="L99">
        <v>0</v>
      </c>
    </row>
    <row r="100" spans="1:12" x14ac:dyDescent="0.35">
      <c r="A100">
        <v>1387</v>
      </c>
      <c r="B100">
        <v>-0.88212383064063005</v>
      </c>
      <c r="C100">
        <v>7.2</v>
      </c>
      <c r="D100">
        <v>-0.88212383064063005</v>
      </c>
      <c r="E100">
        <v>22.1</v>
      </c>
      <c r="F100">
        <v>-0.88212383064063005</v>
      </c>
      <c r="G100">
        <v>114.5</v>
      </c>
      <c r="H100">
        <v>-0.88212383064063005</v>
      </c>
      <c r="I100">
        <v>0</v>
      </c>
      <c r="J100">
        <v>0</v>
      </c>
      <c r="K100">
        <v>0</v>
      </c>
      <c r="L100">
        <v>0</v>
      </c>
    </row>
    <row r="101" spans="1:12" x14ac:dyDescent="0.35">
      <c r="A101">
        <v>748</v>
      </c>
      <c r="B101">
        <v>2.1922745794727803</v>
      </c>
      <c r="C101">
        <v>10.6</v>
      </c>
      <c r="D101">
        <v>2.1922745794727803</v>
      </c>
      <c r="E101">
        <v>29.1</v>
      </c>
      <c r="F101">
        <v>2.1922745794727803</v>
      </c>
      <c r="G101">
        <v>183.1</v>
      </c>
      <c r="H101">
        <v>2.1922745794727803</v>
      </c>
      <c r="I101">
        <v>0</v>
      </c>
      <c r="J101">
        <v>0</v>
      </c>
      <c r="K101">
        <v>0</v>
      </c>
      <c r="L101">
        <v>0</v>
      </c>
    </row>
    <row r="102" spans="1:12" x14ac:dyDescent="0.35">
      <c r="A102">
        <v>461</v>
      </c>
      <c r="B102">
        <v>1.3449590109611833</v>
      </c>
      <c r="C102">
        <v>2.7</v>
      </c>
      <c r="D102">
        <v>1.3449590109611833</v>
      </c>
      <c r="E102">
        <v>29.5</v>
      </c>
      <c r="F102">
        <v>1.3449590109611833</v>
      </c>
      <c r="G102">
        <v>202.3</v>
      </c>
      <c r="H102">
        <v>1.3449590109611833</v>
      </c>
      <c r="I102">
        <v>0</v>
      </c>
      <c r="J102">
        <v>0</v>
      </c>
      <c r="K102">
        <v>0</v>
      </c>
      <c r="L102">
        <v>0</v>
      </c>
    </row>
    <row r="103" spans="1:12" x14ac:dyDescent="0.35">
      <c r="A103">
        <v>551</v>
      </c>
      <c r="B103">
        <v>1.6490774542693316</v>
      </c>
      <c r="C103">
        <v>15</v>
      </c>
      <c r="D103">
        <v>1.6490774542693316</v>
      </c>
      <c r="E103">
        <v>25.4</v>
      </c>
      <c r="F103">
        <v>1.6490774542693316</v>
      </c>
      <c r="G103">
        <v>158.80000000000001</v>
      </c>
      <c r="H103">
        <v>1.6490774542693316</v>
      </c>
      <c r="I103">
        <v>0</v>
      </c>
      <c r="J103">
        <v>0</v>
      </c>
      <c r="K103">
        <v>0</v>
      </c>
      <c r="L103">
        <v>0</v>
      </c>
    </row>
    <row r="104" spans="1:12" x14ac:dyDescent="0.35">
      <c r="A104">
        <v>4171</v>
      </c>
      <c r="B104">
        <v>3.8484819159833634</v>
      </c>
      <c r="C104">
        <v>5.6</v>
      </c>
      <c r="D104">
        <v>3.8484819159833634</v>
      </c>
      <c r="E104">
        <v>26.4</v>
      </c>
      <c r="F104">
        <v>3.8484819159833634</v>
      </c>
      <c r="G104">
        <v>300.60000000000002</v>
      </c>
      <c r="H104">
        <v>3.8484819159833634</v>
      </c>
      <c r="I104">
        <v>0</v>
      </c>
      <c r="J104">
        <v>0</v>
      </c>
      <c r="K104">
        <v>0</v>
      </c>
      <c r="L104">
        <v>0</v>
      </c>
    </row>
    <row r="105" spans="1:12" x14ac:dyDescent="0.35">
      <c r="A105">
        <v>1385</v>
      </c>
      <c r="B105">
        <v>-0.86582925878177264</v>
      </c>
      <c r="C105">
        <v>5</v>
      </c>
      <c r="D105">
        <v>-0.86582925878177264</v>
      </c>
      <c r="E105">
        <v>24.6</v>
      </c>
      <c r="F105">
        <v>-0.86582925878177264</v>
      </c>
      <c r="G105">
        <v>154.5</v>
      </c>
      <c r="H105">
        <v>-0.86582925878177264</v>
      </c>
      <c r="I105">
        <v>0</v>
      </c>
      <c r="J105">
        <v>0</v>
      </c>
      <c r="K105">
        <v>0</v>
      </c>
      <c r="L105">
        <v>0</v>
      </c>
    </row>
    <row r="106" spans="1:12" x14ac:dyDescent="0.35">
      <c r="A106">
        <v>29564</v>
      </c>
      <c r="B106">
        <v>-2.0656722660924203</v>
      </c>
      <c r="C106">
        <v>7.5</v>
      </c>
      <c r="D106">
        <v>-2.0656722660924203</v>
      </c>
      <c r="E106">
        <v>23.7</v>
      </c>
      <c r="F106">
        <v>-2.0656722660924203</v>
      </c>
      <c r="G106">
        <v>69</v>
      </c>
      <c r="H106">
        <v>-2.0656722660924203</v>
      </c>
      <c r="I106">
        <v>0</v>
      </c>
      <c r="J106">
        <v>0</v>
      </c>
      <c r="K106">
        <v>0</v>
      </c>
      <c r="L106">
        <v>0</v>
      </c>
    </row>
    <row r="107" spans="1:12" x14ac:dyDescent="0.35">
      <c r="A107">
        <v>3328</v>
      </c>
      <c r="B107">
        <v>1.59989845627981</v>
      </c>
      <c r="C107">
        <v>4.0999999999999996</v>
      </c>
      <c r="D107">
        <v>1.59989845627981</v>
      </c>
      <c r="E107">
        <v>21.1</v>
      </c>
      <c r="F107">
        <v>1.59989845627981</v>
      </c>
      <c r="G107">
        <v>123.1</v>
      </c>
      <c r="H107">
        <v>1.59989845627981</v>
      </c>
      <c r="I107">
        <v>0</v>
      </c>
      <c r="J107">
        <v>0</v>
      </c>
      <c r="K107">
        <v>0</v>
      </c>
      <c r="L107">
        <v>0</v>
      </c>
    </row>
    <row r="108" spans="1:12" x14ac:dyDescent="0.35">
      <c r="A108">
        <v>313</v>
      </c>
      <c r="B108">
        <v>0.18795861458369956</v>
      </c>
      <c r="C108">
        <v>7.3</v>
      </c>
      <c r="D108">
        <v>0.18795861458369956</v>
      </c>
      <c r="E108">
        <v>24.2</v>
      </c>
      <c r="F108">
        <v>0.18795861458369956</v>
      </c>
      <c r="G108">
        <v>50</v>
      </c>
      <c r="H108">
        <v>0.18795861458369956</v>
      </c>
      <c r="I108">
        <v>0</v>
      </c>
      <c r="J108">
        <v>0</v>
      </c>
      <c r="K108">
        <v>0</v>
      </c>
      <c r="L108">
        <v>0</v>
      </c>
    </row>
    <row r="109" spans="1:12" x14ac:dyDescent="0.35">
      <c r="A109">
        <v>8470</v>
      </c>
      <c r="B109">
        <v>-2.4826838631063737</v>
      </c>
      <c r="C109">
        <v>13.5</v>
      </c>
      <c r="D109">
        <v>-2.4826838631063737</v>
      </c>
      <c r="E109">
        <v>28.4</v>
      </c>
      <c r="F109">
        <v>-2.4826838631063737</v>
      </c>
      <c r="G109">
        <v>128.5</v>
      </c>
      <c r="H109">
        <v>-2.4826838631063737</v>
      </c>
      <c r="I109">
        <v>0</v>
      </c>
      <c r="J109">
        <v>0</v>
      </c>
      <c r="K109">
        <v>0</v>
      </c>
      <c r="L109">
        <v>0</v>
      </c>
    </row>
    <row r="110" spans="1:12" x14ac:dyDescent="0.35">
      <c r="A110">
        <v>3258</v>
      </c>
      <c r="B110">
        <v>-2.9775297039474964</v>
      </c>
      <c r="C110">
        <v>8</v>
      </c>
      <c r="D110">
        <v>-2.9775297039474964</v>
      </c>
      <c r="E110">
        <v>24.9</v>
      </c>
      <c r="F110">
        <v>-2.9775297039474964</v>
      </c>
      <c r="G110">
        <v>165.8</v>
      </c>
      <c r="H110">
        <v>-2.9775297039474964</v>
      </c>
      <c r="I110">
        <v>0</v>
      </c>
      <c r="J110">
        <v>0</v>
      </c>
      <c r="K110">
        <v>0</v>
      </c>
      <c r="L110">
        <v>0</v>
      </c>
    </row>
    <row r="111" spans="1:12" x14ac:dyDescent="0.35">
      <c r="A111">
        <v>1313</v>
      </c>
      <c r="B111">
        <v>-0.62832250720686744</v>
      </c>
      <c r="C111">
        <v>7.9</v>
      </c>
      <c r="D111">
        <v>-0.62832250720686744</v>
      </c>
      <c r="E111">
        <v>23.4</v>
      </c>
      <c r="F111">
        <v>-0.62832250720686744</v>
      </c>
      <c r="G111">
        <v>93</v>
      </c>
      <c r="H111">
        <v>-0.62832250720686744</v>
      </c>
      <c r="I111">
        <v>0</v>
      </c>
      <c r="J111">
        <v>0</v>
      </c>
      <c r="K111">
        <v>0</v>
      </c>
      <c r="L111">
        <v>0</v>
      </c>
    </row>
    <row r="112" spans="1:12" x14ac:dyDescent="0.35">
      <c r="A112">
        <v>28452</v>
      </c>
      <c r="B112">
        <v>2.3712428411510231</v>
      </c>
      <c r="C112">
        <v>1</v>
      </c>
      <c r="D112">
        <v>2.3712428411510231</v>
      </c>
      <c r="E112">
        <v>28.3</v>
      </c>
      <c r="F112">
        <v>2.3712428411510231</v>
      </c>
      <c r="G112">
        <v>249.7</v>
      </c>
      <c r="H112">
        <v>2.3712428411510231</v>
      </c>
      <c r="I112">
        <v>0</v>
      </c>
      <c r="J112">
        <v>0</v>
      </c>
      <c r="K112">
        <v>0</v>
      </c>
      <c r="L112">
        <v>0</v>
      </c>
    </row>
    <row r="113" spans="1:12" x14ac:dyDescent="0.35">
      <c r="A113">
        <v>1708</v>
      </c>
      <c r="B113">
        <v>3.8004576126818677</v>
      </c>
      <c r="C113">
        <v>3.8</v>
      </c>
      <c r="D113">
        <v>3.8004576126818677</v>
      </c>
      <c r="E113">
        <v>22.7</v>
      </c>
      <c r="F113">
        <v>3.8004576126818677</v>
      </c>
      <c r="G113">
        <v>61.2</v>
      </c>
      <c r="H113">
        <v>3.8004576126818677</v>
      </c>
      <c r="I113">
        <v>0</v>
      </c>
      <c r="J113">
        <v>0</v>
      </c>
      <c r="K113">
        <v>0</v>
      </c>
      <c r="L113">
        <v>0</v>
      </c>
    </row>
    <row r="114" spans="1:12" x14ac:dyDescent="0.35">
      <c r="A114">
        <v>20077</v>
      </c>
      <c r="B114">
        <v>2.9546718262207889</v>
      </c>
      <c r="C114">
        <v>10.199999999999999</v>
      </c>
      <c r="D114">
        <v>2.9546718262207889</v>
      </c>
      <c r="E114">
        <v>21.6</v>
      </c>
      <c r="F114">
        <v>2.9546718262207889</v>
      </c>
      <c r="G114">
        <v>108</v>
      </c>
      <c r="H114">
        <v>2.9546718262207889</v>
      </c>
      <c r="I114">
        <v>0</v>
      </c>
      <c r="J114">
        <v>0</v>
      </c>
      <c r="K114">
        <v>0</v>
      </c>
      <c r="L114">
        <v>0</v>
      </c>
    </row>
    <row r="115" spans="1:12" x14ac:dyDescent="0.35">
      <c r="A115">
        <v>8686</v>
      </c>
      <c r="B115">
        <v>-0.9244174442216746</v>
      </c>
      <c r="C115">
        <v>7.3</v>
      </c>
      <c r="D115">
        <v>-0.9244174442216746</v>
      </c>
      <c r="E115">
        <v>23.9</v>
      </c>
      <c r="F115">
        <v>-0.9244174442216746</v>
      </c>
      <c r="G115">
        <v>206.9</v>
      </c>
      <c r="H115">
        <v>-0.9244174442216746</v>
      </c>
      <c r="I115">
        <v>0</v>
      </c>
      <c r="J115">
        <v>0</v>
      </c>
      <c r="K115">
        <v>0</v>
      </c>
      <c r="L115">
        <v>0</v>
      </c>
    </row>
    <row r="116" spans="1:12" x14ac:dyDescent="0.35">
      <c r="A116">
        <v>16966</v>
      </c>
      <c r="B116">
        <v>-1.1309513319879372</v>
      </c>
      <c r="C116">
        <v>4.8</v>
      </c>
      <c r="D116">
        <v>-1.1309513319879372</v>
      </c>
      <c r="E116">
        <v>26.8</v>
      </c>
      <c r="F116">
        <v>-1.1309513319879372</v>
      </c>
      <c r="G116">
        <v>197.4</v>
      </c>
      <c r="H116">
        <v>-1.1309513319879372</v>
      </c>
      <c r="I116">
        <v>0</v>
      </c>
      <c r="J116">
        <v>0</v>
      </c>
      <c r="K116">
        <v>0</v>
      </c>
      <c r="L116">
        <v>0</v>
      </c>
    </row>
    <row r="117" spans="1:12" x14ac:dyDescent="0.35">
      <c r="A117">
        <v>456</v>
      </c>
      <c r="B117">
        <v>2.7236139688160961</v>
      </c>
      <c r="C117">
        <v>10.8</v>
      </c>
      <c r="D117">
        <v>2.7236139688160961</v>
      </c>
      <c r="E117">
        <v>24.4</v>
      </c>
      <c r="F117">
        <v>2.7236139688160961</v>
      </c>
      <c r="G117">
        <v>108.2</v>
      </c>
      <c r="H117">
        <v>2.7236139688160961</v>
      </c>
      <c r="I117">
        <v>0</v>
      </c>
      <c r="J117">
        <v>0</v>
      </c>
      <c r="K117">
        <v>0</v>
      </c>
      <c r="L117">
        <v>0</v>
      </c>
    </row>
    <row r="118" spans="1:12" x14ac:dyDescent="0.35">
      <c r="A118">
        <v>360</v>
      </c>
      <c r="B118">
        <v>3.8977118491998297</v>
      </c>
      <c r="C118">
        <v>3.3</v>
      </c>
      <c r="D118">
        <v>3.8977118491998297</v>
      </c>
      <c r="E118">
        <v>26.8</v>
      </c>
      <c r="F118">
        <v>3.8977118491998297</v>
      </c>
      <c r="G118">
        <v>50</v>
      </c>
      <c r="H118">
        <v>3.8977118491998297</v>
      </c>
      <c r="I118">
        <v>0</v>
      </c>
      <c r="J118">
        <v>0</v>
      </c>
      <c r="K118">
        <v>0</v>
      </c>
      <c r="L118">
        <v>0</v>
      </c>
    </row>
    <row r="119" spans="1:12" x14ac:dyDescent="0.35">
      <c r="A119">
        <v>37975</v>
      </c>
      <c r="B119">
        <v>4.0134223778137823</v>
      </c>
      <c r="C119">
        <v>8.6</v>
      </c>
      <c r="D119">
        <v>4.0134223778137823</v>
      </c>
      <c r="E119">
        <v>24.7</v>
      </c>
      <c r="F119">
        <v>4.0134223778137823</v>
      </c>
      <c r="G119">
        <v>106.4</v>
      </c>
      <c r="H119">
        <v>4.0134223778137823</v>
      </c>
      <c r="I119">
        <v>0</v>
      </c>
      <c r="J119">
        <v>0</v>
      </c>
      <c r="K119">
        <v>0</v>
      </c>
      <c r="L119">
        <v>0</v>
      </c>
    </row>
    <row r="120" spans="1:12" x14ac:dyDescent="0.35">
      <c r="A120">
        <v>15599</v>
      </c>
      <c r="B120">
        <v>-0.518515587238916</v>
      </c>
      <c r="C120">
        <v>8.3000000000000007</v>
      </c>
      <c r="D120">
        <v>-0.518515587238916</v>
      </c>
      <c r="E120">
        <v>25.5</v>
      </c>
      <c r="F120">
        <v>-0.518515587238916</v>
      </c>
      <c r="G120">
        <v>120.9</v>
      </c>
      <c r="H120">
        <v>-0.518515587238916</v>
      </c>
      <c r="I120">
        <v>0</v>
      </c>
      <c r="J120">
        <v>0</v>
      </c>
      <c r="K120">
        <v>0</v>
      </c>
      <c r="L120">
        <v>0</v>
      </c>
    </row>
    <row r="121" spans="1:12" x14ac:dyDescent="0.35">
      <c r="A121">
        <v>300</v>
      </c>
      <c r="B121">
        <v>-0.47318038579174981</v>
      </c>
      <c r="C121">
        <v>4</v>
      </c>
      <c r="D121">
        <v>-0.47318038579174981</v>
      </c>
      <c r="E121">
        <v>27.2</v>
      </c>
      <c r="F121">
        <v>-0.47318038579174981</v>
      </c>
      <c r="G121">
        <v>163.69999999999999</v>
      </c>
      <c r="H121">
        <v>-0.47318038579174981</v>
      </c>
      <c r="I121">
        <v>0</v>
      </c>
      <c r="J121">
        <v>0</v>
      </c>
      <c r="K121">
        <v>0</v>
      </c>
      <c r="L121">
        <v>0</v>
      </c>
    </row>
    <row r="122" spans="1:12" x14ac:dyDescent="0.35">
      <c r="A122">
        <v>5021</v>
      </c>
      <c r="B122">
        <v>-1.1940213810124476</v>
      </c>
      <c r="C122">
        <v>6.4</v>
      </c>
      <c r="D122">
        <v>-1.1940213810124476</v>
      </c>
      <c r="E122">
        <v>22.7</v>
      </c>
      <c r="F122">
        <v>-1.1940213810124476</v>
      </c>
      <c r="G122">
        <v>165.7</v>
      </c>
      <c r="H122">
        <v>-1.1940213810124476</v>
      </c>
      <c r="I122">
        <v>0</v>
      </c>
      <c r="J122">
        <v>0</v>
      </c>
      <c r="K122">
        <v>0</v>
      </c>
      <c r="L122">
        <v>0</v>
      </c>
    </row>
    <row r="123" spans="1:12" x14ac:dyDescent="0.35">
      <c r="A123">
        <v>300</v>
      </c>
      <c r="B123">
        <v>0.22018978593980165</v>
      </c>
      <c r="C123">
        <v>11.1</v>
      </c>
      <c r="D123">
        <v>0.22018978593980165</v>
      </c>
      <c r="E123">
        <v>26.4</v>
      </c>
      <c r="F123">
        <v>0.22018978593980165</v>
      </c>
      <c r="G123">
        <v>170.5</v>
      </c>
      <c r="H123">
        <v>0.22018978593980165</v>
      </c>
      <c r="I123">
        <v>0</v>
      </c>
      <c r="J123">
        <v>0</v>
      </c>
      <c r="K123">
        <v>0</v>
      </c>
      <c r="L123">
        <v>0</v>
      </c>
    </row>
    <row r="124" spans="1:12" x14ac:dyDescent="0.35">
      <c r="A124">
        <v>13651</v>
      </c>
      <c r="B124">
        <v>-1.2282390596629043</v>
      </c>
      <c r="C124">
        <v>2.5</v>
      </c>
      <c r="D124">
        <v>-1.2282390596629043</v>
      </c>
      <c r="E124">
        <v>21.2</v>
      </c>
      <c r="F124">
        <v>-1.2282390596629043</v>
      </c>
      <c r="G124">
        <v>100</v>
      </c>
      <c r="H124">
        <v>-1.2282390596629043</v>
      </c>
      <c r="I124">
        <v>0</v>
      </c>
      <c r="J124">
        <v>0</v>
      </c>
      <c r="K124">
        <v>0</v>
      </c>
      <c r="L124">
        <v>0</v>
      </c>
    </row>
    <row r="125" spans="1:12" x14ac:dyDescent="0.35">
      <c r="A125">
        <v>1004</v>
      </c>
      <c r="B125">
        <v>-5.1717213375708724</v>
      </c>
      <c r="C125">
        <v>8.6</v>
      </c>
      <c r="D125">
        <v>-5.1717213375708724</v>
      </c>
      <c r="E125">
        <v>22.7</v>
      </c>
      <c r="F125">
        <v>-5.1717213375708724</v>
      </c>
      <c r="G125">
        <v>101.1</v>
      </c>
      <c r="H125">
        <v>-5.1717213375708724</v>
      </c>
      <c r="I125">
        <v>0</v>
      </c>
      <c r="J125">
        <v>0</v>
      </c>
      <c r="K125">
        <v>0</v>
      </c>
      <c r="L125">
        <v>0</v>
      </c>
    </row>
    <row r="126" spans="1:12" x14ac:dyDescent="0.35">
      <c r="A126">
        <v>392</v>
      </c>
      <c r="B126">
        <v>6.2419948744559477</v>
      </c>
      <c r="C126">
        <v>5.0999999999999996</v>
      </c>
      <c r="D126">
        <v>6.2419948744559477</v>
      </c>
      <c r="E126">
        <v>28.2</v>
      </c>
      <c r="F126">
        <v>6.2419948744559477</v>
      </c>
      <c r="G126">
        <v>74</v>
      </c>
      <c r="H126">
        <v>6.2419948744559477</v>
      </c>
      <c r="I126">
        <v>0</v>
      </c>
      <c r="J126">
        <v>0</v>
      </c>
      <c r="K126">
        <v>0</v>
      </c>
      <c r="L126">
        <v>0</v>
      </c>
    </row>
    <row r="127" spans="1:12" x14ac:dyDescent="0.35">
      <c r="A127">
        <v>3933</v>
      </c>
      <c r="B127">
        <v>-1.8245846940971902</v>
      </c>
      <c r="C127">
        <v>5.4</v>
      </c>
      <c r="D127">
        <v>-1.8245846940971902</v>
      </c>
      <c r="E127">
        <v>27.1</v>
      </c>
      <c r="F127">
        <v>-1.8245846940971902</v>
      </c>
      <c r="G127">
        <v>103.9</v>
      </c>
      <c r="H127">
        <v>-1.8245846940971902</v>
      </c>
      <c r="I127">
        <v>0</v>
      </c>
      <c r="J127">
        <v>0</v>
      </c>
      <c r="K127">
        <v>0</v>
      </c>
      <c r="L127">
        <v>0</v>
      </c>
    </row>
    <row r="128" spans="1:12" x14ac:dyDescent="0.35">
      <c r="A128">
        <v>2581</v>
      </c>
      <c r="B128">
        <v>4.0671806998654176</v>
      </c>
      <c r="C128">
        <v>11.4</v>
      </c>
      <c r="D128">
        <v>4.0671806998654176</v>
      </c>
      <c r="E128">
        <v>22.9</v>
      </c>
      <c r="F128">
        <v>4.0671806998654176</v>
      </c>
      <c r="G128">
        <v>147.19999999999999</v>
      </c>
      <c r="H128">
        <v>4.0671806998654176</v>
      </c>
      <c r="I128">
        <v>0</v>
      </c>
      <c r="J128">
        <v>0</v>
      </c>
      <c r="K128">
        <v>0</v>
      </c>
      <c r="L128">
        <v>0</v>
      </c>
    </row>
    <row r="129" spans="1:12" x14ac:dyDescent="0.35">
      <c r="A129">
        <v>45192</v>
      </c>
      <c r="B129">
        <v>3.5327742901622372</v>
      </c>
      <c r="C129">
        <v>10.1</v>
      </c>
      <c r="D129">
        <v>3.5327742901622372</v>
      </c>
      <c r="E129">
        <v>23.3</v>
      </c>
      <c r="F129">
        <v>3.5327742901622372</v>
      </c>
      <c r="G129">
        <v>200.6</v>
      </c>
      <c r="H129">
        <v>3.5327742901622372</v>
      </c>
      <c r="I129">
        <v>0</v>
      </c>
      <c r="J129">
        <v>0</v>
      </c>
      <c r="K129">
        <v>0</v>
      </c>
      <c r="L129">
        <v>0</v>
      </c>
    </row>
    <row r="130" spans="1:12" x14ac:dyDescent="0.35">
      <c r="A130">
        <v>300</v>
      </c>
      <c r="B130">
        <v>-1.7125515119743824</v>
      </c>
      <c r="C130">
        <v>5.8</v>
      </c>
      <c r="D130">
        <v>-1.7125515119743824</v>
      </c>
      <c r="E130">
        <v>24.3</v>
      </c>
      <c r="F130">
        <v>-1.7125515119743824</v>
      </c>
      <c r="G130">
        <v>144</v>
      </c>
      <c r="H130">
        <v>-1.7125515119743824</v>
      </c>
      <c r="I130">
        <v>0</v>
      </c>
      <c r="J130">
        <v>0</v>
      </c>
      <c r="K130">
        <v>0</v>
      </c>
      <c r="L130">
        <v>0</v>
      </c>
    </row>
    <row r="131" spans="1:12" x14ac:dyDescent="0.35">
      <c r="A131">
        <v>402</v>
      </c>
      <c r="B131">
        <v>-1.1828167753346293</v>
      </c>
      <c r="C131">
        <v>9.1</v>
      </c>
      <c r="D131">
        <v>-1.1828167753346293</v>
      </c>
      <c r="E131">
        <v>26.8</v>
      </c>
      <c r="F131">
        <v>-1.1828167753346293</v>
      </c>
      <c r="G131">
        <v>194.8</v>
      </c>
      <c r="H131">
        <v>-1.1828167753346293</v>
      </c>
      <c r="I131">
        <v>0</v>
      </c>
      <c r="J131">
        <v>0</v>
      </c>
      <c r="K131">
        <v>0</v>
      </c>
      <c r="L131">
        <v>0</v>
      </c>
    </row>
    <row r="132" spans="1:12" x14ac:dyDescent="0.35">
      <c r="A132">
        <v>5936</v>
      </c>
      <c r="B132">
        <v>-0.69332963669434378</v>
      </c>
      <c r="C132">
        <v>7.8</v>
      </c>
      <c r="D132">
        <v>-0.69332963669434378</v>
      </c>
      <c r="E132">
        <v>20</v>
      </c>
      <c r="F132">
        <v>-0.69332963669434378</v>
      </c>
      <c r="G132">
        <v>184.4</v>
      </c>
      <c r="H132">
        <v>-0.69332963669434378</v>
      </c>
      <c r="I132">
        <v>0</v>
      </c>
      <c r="J132">
        <v>0</v>
      </c>
      <c r="K132">
        <v>0</v>
      </c>
      <c r="L132">
        <v>0</v>
      </c>
    </row>
    <row r="133" spans="1:12" x14ac:dyDescent="0.35">
      <c r="A133">
        <v>439</v>
      </c>
      <c r="B133">
        <v>-2.1274594087691412</v>
      </c>
      <c r="C133">
        <v>4.8</v>
      </c>
      <c r="D133">
        <v>-2.1274594087691412</v>
      </c>
      <c r="E133">
        <v>28.2</v>
      </c>
      <c r="F133">
        <v>-2.1274594087691412</v>
      </c>
      <c r="G133">
        <v>146.80000000000001</v>
      </c>
      <c r="H133">
        <v>-2.1274594087691412</v>
      </c>
      <c r="I133">
        <v>0</v>
      </c>
      <c r="J133">
        <v>0</v>
      </c>
      <c r="K133">
        <v>0</v>
      </c>
      <c r="L133">
        <v>0</v>
      </c>
    </row>
    <row r="134" spans="1:12" x14ac:dyDescent="0.35">
      <c r="A134">
        <v>3117</v>
      </c>
      <c r="B134">
        <v>-3.3869052195260494</v>
      </c>
      <c r="C134">
        <v>10.8</v>
      </c>
      <c r="D134">
        <v>-3.3869052195260494</v>
      </c>
      <c r="E134">
        <v>23.5</v>
      </c>
      <c r="F134">
        <v>-3.3869052195260494</v>
      </c>
      <c r="G134">
        <v>157.69999999999999</v>
      </c>
      <c r="H134">
        <v>-3.3869052195260494</v>
      </c>
      <c r="I134">
        <v>0</v>
      </c>
      <c r="J134">
        <v>0</v>
      </c>
      <c r="K134">
        <v>0</v>
      </c>
      <c r="L134">
        <v>0</v>
      </c>
    </row>
    <row r="135" spans="1:12" x14ac:dyDescent="0.35">
      <c r="A135">
        <v>1875</v>
      </c>
      <c r="B135">
        <v>0.53919924700066701</v>
      </c>
      <c r="C135">
        <v>8.6999999999999993</v>
      </c>
      <c r="D135">
        <v>0.53919924700066701</v>
      </c>
      <c r="E135">
        <v>23.6</v>
      </c>
      <c r="F135">
        <v>0.53919924700066701</v>
      </c>
      <c r="G135">
        <v>250.5</v>
      </c>
      <c r="H135">
        <v>0.53919924700066701</v>
      </c>
      <c r="I135">
        <v>0</v>
      </c>
      <c r="J135">
        <v>0</v>
      </c>
      <c r="K135">
        <v>0</v>
      </c>
      <c r="L135">
        <v>0</v>
      </c>
    </row>
    <row r="136" spans="1:12" x14ac:dyDescent="0.35">
      <c r="A136">
        <v>1541</v>
      </c>
      <c r="B136">
        <v>-3.5952014322934431</v>
      </c>
      <c r="C136">
        <v>12.3</v>
      </c>
      <c r="D136">
        <v>-3.5952014322934431</v>
      </c>
      <c r="E136">
        <v>25.6</v>
      </c>
      <c r="F136">
        <v>-3.5952014322934431</v>
      </c>
      <c r="G136">
        <v>232.5</v>
      </c>
      <c r="H136">
        <v>-3.5952014322934431</v>
      </c>
      <c r="I136">
        <v>0</v>
      </c>
      <c r="J136">
        <v>0</v>
      </c>
      <c r="K136">
        <v>0</v>
      </c>
      <c r="L136">
        <v>0</v>
      </c>
    </row>
    <row r="137" spans="1:12" x14ac:dyDescent="0.35">
      <c r="A137">
        <v>11321</v>
      </c>
      <c r="B137">
        <v>3.8629412105149896</v>
      </c>
      <c r="C137">
        <v>8.1999999999999993</v>
      </c>
      <c r="D137">
        <v>3.8629412105149896</v>
      </c>
      <c r="E137">
        <v>28.2</v>
      </c>
      <c r="F137">
        <v>3.8629412105149896</v>
      </c>
      <c r="G137">
        <v>108.6</v>
      </c>
      <c r="H137">
        <v>3.8629412105149896</v>
      </c>
      <c r="I137">
        <v>0</v>
      </c>
      <c r="J137">
        <v>0</v>
      </c>
      <c r="K137">
        <v>0</v>
      </c>
      <c r="L137">
        <v>0</v>
      </c>
    </row>
    <row r="138" spans="1:12" x14ac:dyDescent="0.35">
      <c r="A138">
        <v>1730</v>
      </c>
      <c r="B138">
        <v>1.246016751524067</v>
      </c>
      <c r="C138">
        <v>6.7</v>
      </c>
      <c r="D138">
        <v>1.246016751524067</v>
      </c>
      <c r="E138">
        <v>29.4</v>
      </c>
      <c r="F138">
        <v>1.246016751524067</v>
      </c>
      <c r="G138">
        <v>276.39999999999998</v>
      </c>
      <c r="H138">
        <v>1.246016751524067</v>
      </c>
      <c r="I138">
        <v>0</v>
      </c>
      <c r="J138">
        <v>0</v>
      </c>
      <c r="K138">
        <v>0</v>
      </c>
      <c r="L138">
        <v>0</v>
      </c>
    </row>
    <row r="139" spans="1:12" x14ac:dyDescent="0.35">
      <c r="A139">
        <v>1953</v>
      </c>
      <c r="B139">
        <v>-2.8605357198874231</v>
      </c>
      <c r="C139">
        <v>4</v>
      </c>
      <c r="D139">
        <v>-2.8605357198874231</v>
      </c>
      <c r="E139">
        <v>22.2</v>
      </c>
      <c r="F139">
        <v>-2.8605357198874231</v>
      </c>
      <c r="G139">
        <v>69.7</v>
      </c>
      <c r="H139">
        <v>-2.8605357198874231</v>
      </c>
      <c r="I139">
        <v>0</v>
      </c>
      <c r="J139">
        <v>0</v>
      </c>
      <c r="K139">
        <v>0</v>
      </c>
      <c r="L139">
        <v>0</v>
      </c>
    </row>
    <row r="140" spans="1:12" x14ac:dyDescent="0.35">
      <c r="A140">
        <v>4236</v>
      </c>
      <c r="B140">
        <v>-3.1261243170708255</v>
      </c>
      <c r="C140">
        <v>12.7</v>
      </c>
      <c r="D140">
        <v>-3.1261243170708255</v>
      </c>
      <c r="E140">
        <v>22</v>
      </c>
      <c r="F140">
        <v>-3.1261243170708255</v>
      </c>
      <c r="G140">
        <v>228.7</v>
      </c>
      <c r="H140">
        <v>-3.1261243170708255</v>
      </c>
      <c r="I140">
        <v>0</v>
      </c>
      <c r="J140">
        <v>0</v>
      </c>
      <c r="K140">
        <v>0</v>
      </c>
      <c r="L140">
        <v>0</v>
      </c>
    </row>
    <row r="141" spans="1:12" x14ac:dyDescent="0.35">
      <c r="A141">
        <v>8203</v>
      </c>
      <c r="B141">
        <v>-1.3305816961993102</v>
      </c>
      <c r="C141">
        <v>4.5999999999999996</v>
      </c>
      <c r="D141">
        <v>-1.3305816961993102</v>
      </c>
      <c r="E141">
        <v>26.1</v>
      </c>
      <c r="F141">
        <v>-1.3305816961993102</v>
      </c>
      <c r="G141">
        <v>163.30000000000001</v>
      </c>
      <c r="H141">
        <v>-1.3305816961993102</v>
      </c>
      <c r="I141">
        <v>0</v>
      </c>
      <c r="J141">
        <v>0</v>
      </c>
      <c r="K141">
        <v>0</v>
      </c>
      <c r="L141">
        <v>0</v>
      </c>
    </row>
    <row r="142" spans="1:12" x14ac:dyDescent="0.35">
      <c r="A142">
        <v>60000</v>
      </c>
      <c r="B142">
        <v>2.5311956056189473</v>
      </c>
      <c r="C142">
        <v>6.1</v>
      </c>
      <c r="D142">
        <v>2.5311956056189473</v>
      </c>
      <c r="E142">
        <v>23.4</v>
      </c>
      <c r="F142">
        <v>2.5311956056189473</v>
      </c>
      <c r="G142">
        <v>100.1</v>
      </c>
      <c r="H142">
        <v>2.5311956056189473</v>
      </c>
      <c r="I142">
        <v>0</v>
      </c>
      <c r="J142">
        <v>0</v>
      </c>
      <c r="K142">
        <v>0</v>
      </c>
      <c r="L142">
        <v>0</v>
      </c>
    </row>
    <row r="143" spans="1:12" x14ac:dyDescent="0.35">
      <c r="A143">
        <v>17739</v>
      </c>
      <c r="B143">
        <v>4.486665133602628</v>
      </c>
      <c r="C143">
        <v>12.3</v>
      </c>
      <c r="D143">
        <v>4.486665133602628</v>
      </c>
      <c r="E143">
        <v>23.3</v>
      </c>
      <c r="F143">
        <v>4.486665133602628</v>
      </c>
      <c r="G143">
        <v>83.4</v>
      </c>
      <c r="H143">
        <v>4.486665133602628</v>
      </c>
      <c r="I143">
        <v>0</v>
      </c>
      <c r="J143">
        <v>0</v>
      </c>
      <c r="K143">
        <v>0</v>
      </c>
      <c r="L143">
        <v>0</v>
      </c>
    </row>
    <row r="144" spans="1:12" x14ac:dyDescent="0.35">
      <c r="A144">
        <v>7703</v>
      </c>
      <c r="B144">
        <v>2.0514266776508521</v>
      </c>
      <c r="C144">
        <v>8.6</v>
      </c>
      <c r="D144">
        <v>2.0514266776508521</v>
      </c>
      <c r="E144">
        <v>20.5</v>
      </c>
      <c r="F144">
        <v>2.0514266776508521</v>
      </c>
      <c r="G144">
        <v>273.8</v>
      </c>
      <c r="H144">
        <v>2.0514266776508521</v>
      </c>
      <c r="I144">
        <v>0</v>
      </c>
      <c r="J144">
        <v>0</v>
      </c>
      <c r="K144">
        <v>0</v>
      </c>
      <c r="L144">
        <v>0</v>
      </c>
    </row>
    <row r="145" spans="1:12" x14ac:dyDescent="0.35">
      <c r="A145">
        <v>1666</v>
      </c>
      <c r="B145">
        <v>1.2416102009724099</v>
      </c>
      <c r="C145">
        <v>8.9</v>
      </c>
      <c r="D145">
        <v>1.2416102009724099</v>
      </c>
      <c r="E145">
        <v>26</v>
      </c>
      <c r="F145">
        <v>1.2416102009724099</v>
      </c>
      <c r="G145">
        <v>202.7</v>
      </c>
      <c r="H145">
        <v>1.2416102009724099</v>
      </c>
      <c r="I145">
        <v>0</v>
      </c>
      <c r="J145">
        <v>0</v>
      </c>
      <c r="K145">
        <v>0</v>
      </c>
      <c r="L145">
        <v>0</v>
      </c>
    </row>
    <row r="146" spans="1:12" x14ac:dyDescent="0.35">
      <c r="A146">
        <v>900</v>
      </c>
      <c r="B146">
        <v>0.62023647381354863</v>
      </c>
      <c r="C146">
        <v>3.9</v>
      </c>
      <c r="D146">
        <v>0.62023647381354863</v>
      </c>
      <c r="E146">
        <v>22.8</v>
      </c>
      <c r="F146">
        <v>0.62023647381354863</v>
      </c>
      <c r="G146">
        <v>147.30000000000001</v>
      </c>
      <c r="H146">
        <v>0.62023647381354863</v>
      </c>
      <c r="I146">
        <v>0</v>
      </c>
      <c r="J146">
        <v>0</v>
      </c>
      <c r="K146">
        <v>0</v>
      </c>
      <c r="L146">
        <v>0</v>
      </c>
    </row>
    <row r="147" spans="1:12" x14ac:dyDescent="0.35">
      <c r="A147">
        <v>4170</v>
      </c>
      <c r="B147">
        <v>3.4107310501770058</v>
      </c>
      <c r="C147">
        <v>8</v>
      </c>
      <c r="D147">
        <v>3.4107310501770058</v>
      </c>
      <c r="E147">
        <v>28.6</v>
      </c>
      <c r="F147">
        <v>3.4107310501770058</v>
      </c>
      <c r="G147">
        <v>352.2</v>
      </c>
      <c r="H147">
        <v>3.4107310501770058</v>
      </c>
      <c r="I147">
        <v>0</v>
      </c>
      <c r="J147">
        <v>0</v>
      </c>
      <c r="K147">
        <v>0</v>
      </c>
      <c r="L147">
        <v>0</v>
      </c>
    </row>
    <row r="148" spans="1:12" x14ac:dyDescent="0.35">
      <c r="A148">
        <v>14275</v>
      </c>
      <c r="B148">
        <v>-3.8183861152202923</v>
      </c>
      <c r="C148">
        <v>10</v>
      </c>
      <c r="D148">
        <v>-3.8183861152202923</v>
      </c>
      <c r="E148">
        <v>30.5</v>
      </c>
      <c r="F148">
        <v>-3.8183861152202923</v>
      </c>
      <c r="G148">
        <v>196.7</v>
      </c>
      <c r="H148">
        <v>-3.8183861152202923</v>
      </c>
      <c r="I148">
        <v>0</v>
      </c>
      <c r="J148">
        <v>0</v>
      </c>
      <c r="K148">
        <v>0</v>
      </c>
      <c r="L148">
        <v>0</v>
      </c>
    </row>
    <row r="149" spans="1:12" x14ac:dyDescent="0.35">
      <c r="A149">
        <v>15726</v>
      </c>
      <c r="B149">
        <v>-0.42740428248913531</v>
      </c>
      <c r="C149">
        <v>10.5</v>
      </c>
      <c r="D149">
        <v>-0.42740428248913531</v>
      </c>
      <c r="E149">
        <v>26.5</v>
      </c>
      <c r="F149">
        <v>-0.42740428248913531</v>
      </c>
      <c r="G149">
        <v>235.3</v>
      </c>
      <c r="H149">
        <v>-0.42740428248913531</v>
      </c>
      <c r="I149">
        <v>0</v>
      </c>
      <c r="J149">
        <v>0</v>
      </c>
      <c r="K149">
        <v>0</v>
      </c>
      <c r="L149">
        <v>0</v>
      </c>
    </row>
    <row r="150" spans="1:12" x14ac:dyDescent="0.35">
      <c r="A150">
        <v>7888</v>
      </c>
      <c r="B150">
        <v>0.1371414297805984</v>
      </c>
      <c r="C150">
        <v>7.5</v>
      </c>
      <c r="D150">
        <v>0.1371414297805984</v>
      </c>
      <c r="E150">
        <v>25.4</v>
      </c>
      <c r="F150">
        <v>0.1371414297805984</v>
      </c>
      <c r="G150">
        <v>246.5</v>
      </c>
      <c r="H150">
        <v>0.1371414297805984</v>
      </c>
      <c r="I150">
        <v>0</v>
      </c>
      <c r="J150">
        <v>0</v>
      </c>
      <c r="K150">
        <v>0</v>
      </c>
      <c r="L150">
        <v>0</v>
      </c>
    </row>
    <row r="151" spans="1:12" x14ac:dyDescent="0.35">
      <c r="A151">
        <v>1652</v>
      </c>
      <c r="B151">
        <v>-3.6091469570886048</v>
      </c>
      <c r="C151">
        <v>8.1</v>
      </c>
      <c r="D151">
        <v>-3.6091469570886048</v>
      </c>
      <c r="E151">
        <v>28.8</v>
      </c>
      <c r="F151">
        <v>-3.6091469570886048</v>
      </c>
      <c r="G151">
        <v>165.3</v>
      </c>
      <c r="H151">
        <v>-3.6091469570886048</v>
      </c>
      <c r="I151">
        <v>0</v>
      </c>
      <c r="J151">
        <v>0</v>
      </c>
      <c r="K151">
        <v>0</v>
      </c>
      <c r="L151">
        <v>0</v>
      </c>
    </row>
    <row r="152" spans="1:12" x14ac:dyDescent="0.35">
      <c r="A152">
        <v>9131</v>
      </c>
      <c r="B152">
        <v>-3.0434300713189089E-2</v>
      </c>
      <c r="C152">
        <v>9.9</v>
      </c>
      <c r="D152">
        <v>-3.0434300713189089E-2</v>
      </c>
      <c r="E152">
        <v>31.5</v>
      </c>
      <c r="F152">
        <v>-3.0434300713189089E-2</v>
      </c>
      <c r="G152">
        <v>125.4</v>
      </c>
      <c r="H152">
        <v>-3.0434300713189089E-2</v>
      </c>
      <c r="I152">
        <v>0</v>
      </c>
      <c r="J152">
        <v>0</v>
      </c>
      <c r="K152">
        <v>0</v>
      </c>
      <c r="L152">
        <v>0</v>
      </c>
    </row>
    <row r="153" spans="1:12" x14ac:dyDescent="0.35">
      <c r="A153">
        <v>31767</v>
      </c>
      <c r="B153">
        <v>-1.3693317171857586</v>
      </c>
      <c r="C153">
        <v>7.7</v>
      </c>
      <c r="D153">
        <v>-1.3693317171857586</v>
      </c>
      <c r="E153">
        <v>25.8</v>
      </c>
      <c r="F153">
        <v>-1.3693317171857586</v>
      </c>
      <c r="G153">
        <v>198.6</v>
      </c>
      <c r="H153">
        <v>-1.3693317171857586</v>
      </c>
      <c r="I153">
        <v>0</v>
      </c>
      <c r="J153">
        <v>0</v>
      </c>
      <c r="K153">
        <v>0</v>
      </c>
      <c r="L153">
        <v>0</v>
      </c>
    </row>
    <row r="154" spans="1:12" x14ac:dyDescent="0.35">
      <c r="A154">
        <v>3988</v>
      </c>
      <c r="B154">
        <v>-3.8289277743363641</v>
      </c>
      <c r="C154">
        <v>11.2</v>
      </c>
      <c r="D154">
        <v>-3.8289277743363641</v>
      </c>
      <c r="E154">
        <v>21.9</v>
      </c>
      <c r="F154">
        <v>-3.8289277743363641</v>
      </c>
      <c r="G154">
        <v>160.6</v>
      </c>
      <c r="H154">
        <v>-3.8289277743363641</v>
      </c>
      <c r="I154">
        <v>0</v>
      </c>
      <c r="J154">
        <v>0</v>
      </c>
      <c r="K154">
        <v>0</v>
      </c>
      <c r="L154">
        <v>0</v>
      </c>
    </row>
    <row r="155" spans="1:12" x14ac:dyDescent="0.35">
      <c r="A155">
        <v>303</v>
      </c>
      <c r="B155">
        <v>2.7251194943646766</v>
      </c>
      <c r="C155">
        <v>6.3</v>
      </c>
      <c r="D155">
        <v>2.7251194943646766</v>
      </c>
      <c r="E155">
        <v>26.1</v>
      </c>
      <c r="F155">
        <v>2.7251194943646766</v>
      </c>
      <c r="G155">
        <v>275.2</v>
      </c>
      <c r="H155">
        <v>2.7251194943646766</v>
      </c>
      <c r="I155">
        <v>0</v>
      </c>
      <c r="J155">
        <v>0</v>
      </c>
      <c r="K155">
        <v>0</v>
      </c>
      <c r="L155">
        <v>0</v>
      </c>
    </row>
    <row r="156" spans="1:12" x14ac:dyDescent="0.35">
      <c r="A156">
        <v>50098</v>
      </c>
      <c r="B156">
        <v>-1.1357391615899388</v>
      </c>
      <c r="C156">
        <v>3.7</v>
      </c>
      <c r="D156">
        <v>-1.1357391615899388</v>
      </c>
      <c r="E156">
        <v>18.399999999999999</v>
      </c>
      <c r="F156">
        <v>-1.1357391615899388</v>
      </c>
      <c r="G156">
        <v>185.2</v>
      </c>
      <c r="H156">
        <v>-1.1357391615899388</v>
      </c>
      <c r="I156">
        <v>0</v>
      </c>
      <c r="J156">
        <v>0</v>
      </c>
      <c r="K156">
        <v>0</v>
      </c>
      <c r="L156">
        <v>0</v>
      </c>
    </row>
    <row r="157" spans="1:12" x14ac:dyDescent="0.35">
      <c r="A157">
        <v>8626</v>
      </c>
      <c r="B157">
        <v>4.5284435482955345</v>
      </c>
      <c r="C157">
        <v>8.6999999999999993</v>
      </c>
      <c r="D157">
        <v>4.5284435482955345</v>
      </c>
      <c r="E157">
        <v>23.3</v>
      </c>
      <c r="F157">
        <v>4.5284435482955345</v>
      </c>
      <c r="G157">
        <v>50</v>
      </c>
      <c r="H157">
        <v>4.5284435482955345</v>
      </c>
      <c r="I157">
        <v>0</v>
      </c>
      <c r="J157">
        <v>0</v>
      </c>
      <c r="K157">
        <v>0</v>
      </c>
      <c r="L157">
        <v>0</v>
      </c>
    </row>
    <row r="158" spans="1:12" x14ac:dyDescent="0.35">
      <c r="A158">
        <v>2569</v>
      </c>
      <c r="B158">
        <v>1.3068517190684901</v>
      </c>
      <c r="C158">
        <v>13.5</v>
      </c>
      <c r="D158">
        <v>1.3068517190684901</v>
      </c>
      <c r="E158">
        <v>21.8</v>
      </c>
      <c r="F158">
        <v>1.3068517190684901</v>
      </c>
      <c r="G158">
        <v>50</v>
      </c>
      <c r="H158">
        <v>1.3068517190684901</v>
      </c>
      <c r="I158">
        <v>0</v>
      </c>
      <c r="J158">
        <v>0</v>
      </c>
      <c r="K158">
        <v>0</v>
      </c>
      <c r="L158">
        <v>0</v>
      </c>
    </row>
    <row r="159" spans="1:12" x14ac:dyDescent="0.35">
      <c r="A159">
        <v>4294</v>
      </c>
      <c r="B159">
        <v>4.9877280230118828</v>
      </c>
      <c r="C159">
        <v>7.3</v>
      </c>
      <c r="D159">
        <v>4.9877280230118828</v>
      </c>
      <c r="E159">
        <v>26.1</v>
      </c>
      <c r="F159">
        <v>4.9877280230118828</v>
      </c>
      <c r="G159">
        <v>50</v>
      </c>
      <c r="H159">
        <v>4.9877280230118828</v>
      </c>
      <c r="I159">
        <v>0</v>
      </c>
      <c r="J159">
        <v>0</v>
      </c>
      <c r="K159">
        <v>0</v>
      </c>
      <c r="L159">
        <v>0</v>
      </c>
    </row>
    <row r="160" spans="1:12" x14ac:dyDescent="0.35">
      <c r="A160">
        <v>15930</v>
      </c>
      <c r="B160">
        <v>-1.6005459907167037</v>
      </c>
      <c r="C160">
        <v>9</v>
      </c>
      <c r="D160">
        <v>-1.6005459907167037</v>
      </c>
      <c r="E160">
        <v>26.4</v>
      </c>
      <c r="F160">
        <v>-1.6005459907167037</v>
      </c>
      <c r="G160">
        <v>195.6</v>
      </c>
      <c r="H160">
        <v>-1.6005459907167037</v>
      </c>
      <c r="I160">
        <v>0</v>
      </c>
      <c r="J160">
        <v>0</v>
      </c>
      <c r="K160">
        <v>0</v>
      </c>
      <c r="L160">
        <v>0</v>
      </c>
    </row>
    <row r="161" spans="1:12" x14ac:dyDescent="0.35">
      <c r="A161">
        <v>21889</v>
      </c>
      <c r="B161">
        <v>3.8366591731711139</v>
      </c>
      <c r="C161">
        <v>8.6</v>
      </c>
      <c r="D161">
        <v>3.8366591731711139</v>
      </c>
      <c r="E161">
        <v>27.1</v>
      </c>
      <c r="F161">
        <v>3.8366591731711139</v>
      </c>
      <c r="G161">
        <v>142.80000000000001</v>
      </c>
      <c r="H161">
        <v>3.8366591731711139</v>
      </c>
      <c r="I161">
        <v>0</v>
      </c>
      <c r="J161">
        <v>0</v>
      </c>
      <c r="K161">
        <v>0</v>
      </c>
      <c r="L161">
        <v>0</v>
      </c>
    </row>
    <row r="162" spans="1:12" x14ac:dyDescent="0.35">
      <c r="A162">
        <v>44418</v>
      </c>
      <c r="B162">
        <v>-0.91612441017690571</v>
      </c>
      <c r="C162">
        <v>7.9</v>
      </c>
      <c r="D162">
        <v>-0.91612441017690571</v>
      </c>
      <c r="E162">
        <v>20.7</v>
      </c>
      <c r="F162">
        <v>-0.91612441017690571</v>
      </c>
      <c r="G162">
        <v>160.19999999999999</v>
      </c>
      <c r="H162">
        <v>-0.91612441017690571</v>
      </c>
      <c r="I162">
        <v>0</v>
      </c>
      <c r="J162">
        <v>0</v>
      </c>
      <c r="K162">
        <v>0</v>
      </c>
      <c r="L162">
        <v>0</v>
      </c>
    </row>
    <row r="163" spans="1:12" x14ac:dyDescent="0.35">
      <c r="A163">
        <v>1120</v>
      </c>
      <c r="B163">
        <v>-2.0793905594634765</v>
      </c>
      <c r="C163">
        <v>6.7</v>
      </c>
      <c r="D163">
        <v>-2.0793905594634765</v>
      </c>
      <c r="E163">
        <v>19.3</v>
      </c>
      <c r="F163">
        <v>-2.0793905594634765</v>
      </c>
      <c r="G163">
        <v>113.8</v>
      </c>
      <c r="H163">
        <v>-2.0793905594634765</v>
      </c>
      <c r="I163">
        <v>0</v>
      </c>
      <c r="J163">
        <v>0</v>
      </c>
      <c r="K163">
        <v>0</v>
      </c>
      <c r="L163">
        <v>0</v>
      </c>
    </row>
    <row r="164" spans="1:12" x14ac:dyDescent="0.35">
      <c r="A164">
        <v>9327</v>
      </c>
      <c r="B164">
        <v>1.5016081546717928</v>
      </c>
      <c r="C164">
        <v>10.4</v>
      </c>
      <c r="D164">
        <v>1.5016081546717928</v>
      </c>
      <c r="E164">
        <v>26.3</v>
      </c>
      <c r="F164">
        <v>1.5016081546717928</v>
      </c>
      <c r="G164">
        <v>72.599999999999994</v>
      </c>
      <c r="H164">
        <v>1.5016081546717928</v>
      </c>
      <c r="I164">
        <v>0</v>
      </c>
      <c r="J164">
        <v>0</v>
      </c>
      <c r="K164">
        <v>0</v>
      </c>
      <c r="L164">
        <v>0</v>
      </c>
    </row>
    <row r="165" spans="1:12" x14ac:dyDescent="0.35">
      <c r="A165">
        <v>525</v>
      </c>
      <c r="B165">
        <v>-0.54782150931595908</v>
      </c>
      <c r="C165">
        <v>12.5</v>
      </c>
      <c r="D165">
        <v>-0.54782150931595908</v>
      </c>
      <c r="E165">
        <v>27.6</v>
      </c>
      <c r="F165">
        <v>-0.54782150931595908</v>
      </c>
      <c r="G165">
        <v>132.30000000000001</v>
      </c>
      <c r="H165">
        <v>-0.54782150931595908</v>
      </c>
      <c r="I165">
        <v>0</v>
      </c>
      <c r="J165">
        <v>0</v>
      </c>
      <c r="K165">
        <v>0</v>
      </c>
      <c r="L165">
        <v>0</v>
      </c>
    </row>
    <row r="166" spans="1:12" x14ac:dyDescent="0.35">
      <c r="A166">
        <v>300</v>
      </c>
      <c r="B166">
        <v>-1.2940676895683794</v>
      </c>
      <c r="C166">
        <v>7.3</v>
      </c>
      <c r="D166">
        <v>-1.2940676895683794</v>
      </c>
      <c r="E166">
        <v>23</v>
      </c>
      <c r="F166">
        <v>-1.2940676895683794</v>
      </c>
      <c r="G166">
        <v>69.900000000000006</v>
      </c>
      <c r="H166">
        <v>-1.2940676895683794</v>
      </c>
      <c r="I166">
        <v>0</v>
      </c>
      <c r="J166">
        <v>0</v>
      </c>
      <c r="K166">
        <v>0</v>
      </c>
      <c r="L166">
        <v>0</v>
      </c>
    </row>
    <row r="167" spans="1:12" x14ac:dyDescent="0.35">
      <c r="A167">
        <v>7795</v>
      </c>
      <c r="B167">
        <v>1.2743782149055534</v>
      </c>
      <c r="C167">
        <v>6.3</v>
      </c>
      <c r="D167">
        <v>1.2743782149055534</v>
      </c>
      <c r="E167">
        <v>26.7</v>
      </c>
      <c r="F167">
        <v>1.2743782149055534</v>
      </c>
      <c r="G167">
        <v>261.89999999999998</v>
      </c>
      <c r="H167">
        <v>1.2743782149055534</v>
      </c>
      <c r="I167">
        <v>0</v>
      </c>
      <c r="J167">
        <v>0</v>
      </c>
      <c r="K167">
        <v>0</v>
      </c>
      <c r="L167">
        <v>0</v>
      </c>
    </row>
    <row r="168" spans="1:12" x14ac:dyDescent="0.35">
      <c r="A168">
        <v>1130</v>
      </c>
      <c r="B168">
        <v>-2.5151485047259357</v>
      </c>
      <c r="C168">
        <v>10.1</v>
      </c>
      <c r="D168">
        <v>-2.5151485047259357</v>
      </c>
      <c r="E168">
        <v>26.2</v>
      </c>
      <c r="F168">
        <v>-2.5151485047259357</v>
      </c>
      <c r="G168">
        <v>221.6</v>
      </c>
      <c r="H168">
        <v>-2.5151485047259357</v>
      </c>
      <c r="I168">
        <v>0</v>
      </c>
      <c r="J168">
        <v>0</v>
      </c>
      <c r="K168">
        <v>0</v>
      </c>
      <c r="L168">
        <v>0</v>
      </c>
    </row>
    <row r="169" spans="1:12" x14ac:dyDescent="0.35">
      <c r="A169">
        <v>1336</v>
      </c>
      <c r="B169">
        <v>0.10064386608207343</v>
      </c>
      <c r="C169">
        <v>12</v>
      </c>
      <c r="D169">
        <v>0.10064386608207343</v>
      </c>
      <c r="E169">
        <v>25.6</v>
      </c>
      <c r="F169">
        <v>0.10064386608207343</v>
      </c>
      <c r="G169">
        <v>316</v>
      </c>
      <c r="H169">
        <v>0.10064386608207343</v>
      </c>
      <c r="I169">
        <v>0</v>
      </c>
      <c r="J169">
        <v>0</v>
      </c>
      <c r="K169">
        <v>0</v>
      </c>
      <c r="L169">
        <v>0</v>
      </c>
    </row>
    <row r="170" spans="1:12" x14ac:dyDescent="0.35">
      <c r="A170">
        <v>4011</v>
      </c>
      <c r="B170">
        <v>-1.3601836179118578</v>
      </c>
      <c r="C170">
        <v>6</v>
      </c>
      <c r="D170">
        <v>-1.3601836179118578</v>
      </c>
      <c r="E170">
        <v>23.5</v>
      </c>
      <c r="F170">
        <v>-1.3601836179118578</v>
      </c>
      <c r="G170">
        <v>124.4</v>
      </c>
      <c r="H170">
        <v>-1.3601836179118578</v>
      </c>
      <c r="I170">
        <v>0</v>
      </c>
      <c r="J170">
        <v>0</v>
      </c>
      <c r="K170">
        <v>0</v>
      </c>
      <c r="L170">
        <v>0</v>
      </c>
    </row>
    <row r="171" spans="1:12" x14ac:dyDescent="0.35">
      <c r="A171">
        <v>1261</v>
      </c>
      <c r="B171">
        <v>0.19678436571016533</v>
      </c>
      <c r="C171">
        <v>7.9</v>
      </c>
      <c r="D171">
        <v>0.19678436571016533</v>
      </c>
      <c r="E171">
        <v>31.4</v>
      </c>
      <c r="F171">
        <v>0.19678436571016533</v>
      </c>
      <c r="G171">
        <v>288.2</v>
      </c>
      <c r="H171">
        <v>0.19678436571016533</v>
      </c>
      <c r="I171">
        <v>0</v>
      </c>
      <c r="J171">
        <v>0</v>
      </c>
      <c r="K171">
        <v>0</v>
      </c>
      <c r="L171">
        <v>0</v>
      </c>
    </row>
    <row r="172" spans="1:12" x14ac:dyDescent="0.35">
      <c r="A172">
        <v>3569</v>
      </c>
      <c r="B172">
        <v>-4.9024283568868015</v>
      </c>
      <c r="C172">
        <v>9.8000000000000007</v>
      </c>
      <c r="D172">
        <v>-4.9024283568868015</v>
      </c>
      <c r="E172">
        <v>21.9</v>
      </c>
      <c r="F172">
        <v>-4.9024283568868015</v>
      </c>
      <c r="G172">
        <v>129.4</v>
      </c>
      <c r="H172">
        <v>-4.9024283568868015</v>
      </c>
      <c r="I172">
        <v>0</v>
      </c>
      <c r="J172">
        <v>0</v>
      </c>
      <c r="K172">
        <v>0</v>
      </c>
      <c r="L172">
        <v>0</v>
      </c>
    </row>
    <row r="173" spans="1:12" x14ac:dyDescent="0.35">
      <c r="A173">
        <v>7870</v>
      </c>
      <c r="B173">
        <v>-3.8187991377266144</v>
      </c>
      <c r="C173">
        <v>6.6</v>
      </c>
      <c r="D173">
        <v>-3.8187991377266144</v>
      </c>
      <c r="E173">
        <v>29.7</v>
      </c>
      <c r="F173">
        <v>-3.8187991377266144</v>
      </c>
      <c r="G173">
        <v>51.9</v>
      </c>
      <c r="H173">
        <v>-3.8187991377266144</v>
      </c>
      <c r="I173">
        <v>0</v>
      </c>
      <c r="J173">
        <v>0</v>
      </c>
      <c r="K173">
        <v>0</v>
      </c>
      <c r="L173">
        <v>0</v>
      </c>
    </row>
    <row r="174" spans="1:12" x14ac:dyDescent="0.35">
      <c r="A174">
        <v>14338</v>
      </c>
      <c r="B174">
        <v>-2.9961743708372808</v>
      </c>
      <c r="C174">
        <v>13.1</v>
      </c>
      <c r="D174">
        <v>-2.9961743708372808</v>
      </c>
      <c r="E174">
        <v>23.6</v>
      </c>
      <c r="F174">
        <v>-2.9961743708372808</v>
      </c>
      <c r="G174">
        <v>236.3</v>
      </c>
      <c r="H174">
        <v>-2.9961743708372808</v>
      </c>
      <c r="I174">
        <v>0</v>
      </c>
      <c r="J174">
        <v>0</v>
      </c>
      <c r="K174">
        <v>0</v>
      </c>
      <c r="L174">
        <v>0</v>
      </c>
    </row>
    <row r="175" spans="1:12" x14ac:dyDescent="0.35">
      <c r="A175">
        <v>11220</v>
      </c>
      <c r="B175">
        <v>0.47672240096849805</v>
      </c>
      <c r="C175">
        <v>10</v>
      </c>
      <c r="D175">
        <v>0.47672240096849805</v>
      </c>
      <c r="E175">
        <v>20.3</v>
      </c>
      <c r="F175">
        <v>0.47672240096849805</v>
      </c>
      <c r="G175">
        <v>268.10000000000002</v>
      </c>
      <c r="H175">
        <v>0.47672240096849805</v>
      </c>
      <c r="I175">
        <v>0</v>
      </c>
      <c r="J175">
        <v>0</v>
      </c>
      <c r="K175">
        <v>0</v>
      </c>
      <c r="L175">
        <v>0</v>
      </c>
    </row>
    <row r="176" spans="1:12" x14ac:dyDescent="0.35">
      <c r="A176">
        <v>5398</v>
      </c>
      <c r="B176">
        <v>-2.3949175248223682</v>
      </c>
      <c r="C176">
        <v>9.5</v>
      </c>
      <c r="D176">
        <v>-2.3949175248223682</v>
      </c>
      <c r="E176">
        <v>25.8</v>
      </c>
      <c r="F176">
        <v>-2.3949175248223682</v>
      </c>
      <c r="G176">
        <v>106</v>
      </c>
      <c r="H176">
        <v>-2.3949175248223682</v>
      </c>
      <c r="I176">
        <v>0</v>
      </c>
      <c r="J176">
        <v>0</v>
      </c>
      <c r="K176">
        <v>0</v>
      </c>
      <c r="L176">
        <v>0</v>
      </c>
    </row>
    <row r="177" spans="1:12" x14ac:dyDescent="0.35">
      <c r="A177">
        <v>17311</v>
      </c>
      <c r="B177">
        <v>-3.3026763709727689</v>
      </c>
      <c r="C177">
        <v>9.6</v>
      </c>
      <c r="D177">
        <v>-3.3026763709727689</v>
      </c>
      <c r="E177">
        <v>23.9</v>
      </c>
      <c r="F177">
        <v>-3.3026763709727689</v>
      </c>
      <c r="G177">
        <v>211.7</v>
      </c>
      <c r="H177">
        <v>-3.3026763709727689</v>
      </c>
      <c r="I177">
        <v>0</v>
      </c>
      <c r="J177">
        <v>0</v>
      </c>
      <c r="K177">
        <v>0</v>
      </c>
      <c r="L177">
        <v>0</v>
      </c>
    </row>
    <row r="178" spans="1:12" x14ac:dyDescent="0.35">
      <c r="A178">
        <v>300</v>
      </c>
      <c r="B178">
        <v>3.7530337230266326</v>
      </c>
      <c r="C178">
        <v>6.9</v>
      </c>
      <c r="D178">
        <v>3.7530337230266326</v>
      </c>
      <c r="E178">
        <v>21.6</v>
      </c>
      <c r="F178">
        <v>3.7530337230266326</v>
      </c>
      <c r="G178">
        <v>50</v>
      </c>
      <c r="H178">
        <v>3.7530337230266326</v>
      </c>
      <c r="I178">
        <v>0</v>
      </c>
      <c r="J178">
        <v>0</v>
      </c>
      <c r="K178">
        <v>0</v>
      </c>
      <c r="L178">
        <v>0</v>
      </c>
    </row>
    <row r="179" spans="1:12" x14ac:dyDescent="0.35">
      <c r="A179">
        <v>5013</v>
      </c>
      <c r="B179">
        <v>-3.9603209898891265</v>
      </c>
      <c r="C179">
        <v>7.9</v>
      </c>
      <c r="D179">
        <v>-3.9603209898891265</v>
      </c>
      <c r="E179">
        <v>26.4</v>
      </c>
      <c r="F179">
        <v>-3.9603209898891265</v>
      </c>
      <c r="G179">
        <v>156.1</v>
      </c>
      <c r="H179">
        <v>-3.9603209898891265</v>
      </c>
      <c r="I179">
        <v>0</v>
      </c>
      <c r="J179">
        <v>0</v>
      </c>
      <c r="K179">
        <v>0</v>
      </c>
      <c r="L179">
        <v>0</v>
      </c>
    </row>
    <row r="180" spans="1:12" x14ac:dyDescent="0.35">
      <c r="A180">
        <v>2423</v>
      </c>
      <c r="B180">
        <v>57.330410623060665</v>
      </c>
      <c r="C180">
        <v>50</v>
      </c>
      <c r="D180">
        <v>9.9</v>
      </c>
      <c r="E180">
        <v>57.330410623060665</v>
      </c>
      <c r="F180">
        <v>50</v>
      </c>
      <c r="G180">
        <v>29.6</v>
      </c>
      <c r="H180">
        <v>57.330410623060665</v>
      </c>
      <c r="I180">
        <v>50</v>
      </c>
      <c r="J180">
        <v>131.30000000000001</v>
      </c>
      <c r="K180">
        <v>57.330410623060665</v>
      </c>
      <c r="L180">
        <v>50</v>
      </c>
    </row>
    <row r="181" spans="1:12" x14ac:dyDescent="0.35">
      <c r="A181">
        <v>9425</v>
      </c>
      <c r="B181">
        <v>55.225790286338679</v>
      </c>
      <c r="C181">
        <v>50</v>
      </c>
      <c r="D181">
        <v>6.6</v>
      </c>
      <c r="E181">
        <v>55.225790286338679</v>
      </c>
      <c r="F181">
        <v>50</v>
      </c>
      <c r="G181">
        <v>26.6</v>
      </c>
      <c r="H181">
        <v>55.225790286338679</v>
      </c>
      <c r="I181">
        <v>50</v>
      </c>
      <c r="J181">
        <v>112.9</v>
      </c>
      <c r="K181">
        <v>55.225790286338679</v>
      </c>
      <c r="L181">
        <v>50</v>
      </c>
    </row>
    <row r="182" spans="1:12" x14ac:dyDescent="0.35">
      <c r="A182">
        <v>300</v>
      </c>
      <c r="B182">
        <v>52.175273012206723</v>
      </c>
      <c r="C182">
        <v>50</v>
      </c>
      <c r="D182">
        <v>2.8</v>
      </c>
      <c r="E182">
        <v>52.175273012206723</v>
      </c>
      <c r="F182">
        <v>50</v>
      </c>
      <c r="G182">
        <v>23.3</v>
      </c>
      <c r="H182">
        <v>52.175273012206723</v>
      </c>
      <c r="I182">
        <v>50</v>
      </c>
      <c r="J182">
        <v>69</v>
      </c>
      <c r="K182">
        <v>52.175273012206723</v>
      </c>
      <c r="L182">
        <v>50</v>
      </c>
    </row>
    <row r="183" spans="1:12" x14ac:dyDescent="0.35">
      <c r="A183">
        <v>358</v>
      </c>
      <c r="B183">
        <v>56.314530621482788</v>
      </c>
      <c r="C183">
        <v>50</v>
      </c>
      <c r="D183">
        <v>12.4</v>
      </c>
      <c r="E183">
        <v>56.314530621482788</v>
      </c>
      <c r="F183">
        <v>50</v>
      </c>
      <c r="G183">
        <v>24.3</v>
      </c>
      <c r="H183">
        <v>56.314530621482788</v>
      </c>
      <c r="I183">
        <v>50</v>
      </c>
      <c r="J183">
        <v>155.4</v>
      </c>
      <c r="K183">
        <v>56.314530621482788</v>
      </c>
      <c r="L183">
        <v>50</v>
      </c>
    </row>
    <row r="184" spans="1:12" x14ac:dyDescent="0.35">
      <c r="A184">
        <v>3521</v>
      </c>
      <c r="B184">
        <v>53.347927267977674</v>
      </c>
      <c r="C184">
        <v>50</v>
      </c>
      <c r="D184">
        <v>4.5</v>
      </c>
      <c r="E184">
        <v>53.347927267977674</v>
      </c>
      <c r="F184">
        <v>50</v>
      </c>
      <c r="G184">
        <v>26.1</v>
      </c>
      <c r="H184">
        <v>53.347927267977674</v>
      </c>
      <c r="I184">
        <v>50</v>
      </c>
      <c r="J184">
        <v>101.9</v>
      </c>
      <c r="K184">
        <v>53.347927267977674</v>
      </c>
      <c r="L184">
        <v>50</v>
      </c>
    </row>
    <row r="185" spans="1:12" x14ac:dyDescent="0.35">
      <c r="A185">
        <v>47974</v>
      </c>
      <c r="B185">
        <v>54.094813161382305</v>
      </c>
      <c r="C185">
        <v>50</v>
      </c>
      <c r="D185">
        <v>8</v>
      </c>
      <c r="E185">
        <v>54.094813161382305</v>
      </c>
      <c r="F185">
        <v>50</v>
      </c>
      <c r="G185">
        <v>21.8</v>
      </c>
      <c r="H185">
        <v>54.094813161382305</v>
      </c>
      <c r="I185">
        <v>50</v>
      </c>
      <c r="J185">
        <v>215.8</v>
      </c>
      <c r="K185">
        <v>54.094813161382305</v>
      </c>
      <c r="L185">
        <v>50</v>
      </c>
    </row>
    <row r="186" spans="1:12" x14ac:dyDescent="0.35">
      <c r="A186">
        <v>300</v>
      </c>
      <c r="B186">
        <v>48.072168656753277</v>
      </c>
      <c r="C186">
        <v>50</v>
      </c>
      <c r="D186">
        <v>4</v>
      </c>
      <c r="E186">
        <v>48.072168656753277</v>
      </c>
      <c r="F186">
        <v>50</v>
      </c>
      <c r="G186">
        <v>25.6</v>
      </c>
      <c r="H186">
        <v>48.072168656753277</v>
      </c>
      <c r="I186">
        <v>50</v>
      </c>
      <c r="J186">
        <v>209.1</v>
      </c>
      <c r="K186">
        <v>48.072168656753277</v>
      </c>
      <c r="L186">
        <v>50</v>
      </c>
    </row>
    <row r="187" spans="1:12" x14ac:dyDescent="0.35">
      <c r="A187">
        <v>1898</v>
      </c>
      <c r="B187">
        <v>50.954758159410453</v>
      </c>
      <c r="C187">
        <v>50</v>
      </c>
      <c r="D187">
        <v>3.6</v>
      </c>
      <c r="E187">
        <v>50.954758159410453</v>
      </c>
      <c r="F187">
        <v>50</v>
      </c>
      <c r="G187">
        <v>22.8</v>
      </c>
      <c r="H187">
        <v>50.954758159410453</v>
      </c>
      <c r="I187">
        <v>50</v>
      </c>
      <c r="J187">
        <v>113.1</v>
      </c>
      <c r="K187">
        <v>50.954758159410453</v>
      </c>
      <c r="L187">
        <v>50</v>
      </c>
    </row>
    <row r="188" spans="1:12" x14ac:dyDescent="0.35">
      <c r="A188">
        <v>300</v>
      </c>
      <c r="B188">
        <v>55.993872225662848</v>
      </c>
      <c r="C188">
        <v>50</v>
      </c>
      <c r="D188">
        <v>9</v>
      </c>
      <c r="E188">
        <v>55.993872225662848</v>
      </c>
      <c r="F188">
        <v>50</v>
      </c>
      <c r="G188">
        <v>23.8</v>
      </c>
      <c r="H188">
        <v>55.993872225662848</v>
      </c>
      <c r="I188">
        <v>50</v>
      </c>
      <c r="J188">
        <v>95.8</v>
      </c>
      <c r="K188">
        <v>55.993872225662848</v>
      </c>
      <c r="L188">
        <v>50</v>
      </c>
    </row>
    <row r="189" spans="1:12" x14ac:dyDescent="0.35">
      <c r="A189">
        <v>12051</v>
      </c>
      <c r="B189">
        <v>51.179333908580588</v>
      </c>
      <c r="C189">
        <v>50</v>
      </c>
      <c r="D189">
        <v>5.5</v>
      </c>
      <c r="E189">
        <v>51.179333908580588</v>
      </c>
      <c r="F189">
        <v>50</v>
      </c>
      <c r="G189">
        <v>24.1</v>
      </c>
      <c r="H189">
        <v>51.179333908580588</v>
      </c>
      <c r="I189">
        <v>50</v>
      </c>
      <c r="J189">
        <v>176.5</v>
      </c>
      <c r="K189">
        <v>51.179333908580588</v>
      </c>
      <c r="L189">
        <v>50</v>
      </c>
    </row>
    <row r="190" spans="1:12" x14ac:dyDescent="0.35">
      <c r="A190">
        <v>2256</v>
      </c>
      <c r="B190">
        <v>47.165901887289934</v>
      </c>
      <c r="C190">
        <v>50</v>
      </c>
      <c r="D190">
        <v>4.7</v>
      </c>
      <c r="E190">
        <v>47.165901887289934</v>
      </c>
      <c r="F190">
        <v>50</v>
      </c>
      <c r="G190">
        <v>21.4</v>
      </c>
      <c r="H190">
        <v>47.165901887289934</v>
      </c>
      <c r="I190">
        <v>50</v>
      </c>
      <c r="J190">
        <v>215</v>
      </c>
      <c r="K190">
        <v>47.165901887289934</v>
      </c>
      <c r="L190">
        <v>50</v>
      </c>
    </row>
    <row r="191" spans="1:12" x14ac:dyDescent="0.35">
      <c r="A191">
        <v>13431</v>
      </c>
      <c r="B191">
        <v>53.64428725304834</v>
      </c>
      <c r="C191">
        <v>50</v>
      </c>
      <c r="D191">
        <v>9.1</v>
      </c>
      <c r="E191">
        <v>53.64428725304834</v>
      </c>
      <c r="F191">
        <v>50</v>
      </c>
      <c r="G191">
        <v>23.1</v>
      </c>
      <c r="H191">
        <v>53.64428725304834</v>
      </c>
      <c r="I191">
        <v>50</v>
      </c>
      <c r="J191">
        <v>178.9</v>
      </c>
      <c r="K191">
        <v>53.64428725304834</v>
      </c>
      <c r="L191">
        <v>50</v>
      </c>
    </row>
    <row r="192" spans="1:12" x14ac:dyDescent="0.35">
      <c r="A192">
        <v>31162</v>
      </c>
      <c r="B192">
        <v>51.445792990360005</v>
      </c>
      <c r="C192">
        <v>50</v>
      </c>
      <c r="D192">
        <v>1</v>
      </c>
      <c r="E192">
        <v>51.445792990360005</v>
      </c>
      <c r="F192">
        <v>50</v>
      </c>
      <c r="G192">
        <v>27.5</v>
      </c>
      <c r="H192">
        <v>51.445792990360005</v>
      </c>
      <c r="I192">
        <v>50</v>
      </c>
      <c r="J192">
        <v>157</v>
      </c>
      <c r="K192">
        <v>51.445792990360005</v>
      </c>
      <c r="L192">
        <v>50</v>
      </c>
    </row>
    <row r="193" spans="1:12" x14ac:dyDescent="0.35">
      <c r="A193">
        <v>300</v>
      </c>
      <c r="B193">
        <v>48.331239200192869</v>
      </c>
      <c r="C193">
        <v>50</v>
      </c>
      <c r="D193">
        <v>7.3</v>
      </c>
      <c r="E193">
        <v>48.331239200192869</v>
      </c>
      <c r="F193">
        <v>50</v>
      </c>
      <c r="G193">
        <v>26.1</v>
      </c>
      <c r="H193">
        <v>48.331239200192869</v>
      </c>
      <c r="I193">
        <v>50</v>
      </c>
      <c r="J193">
        <v>268.2</v>
      </c>
      <c r="K193">
        <v>48.331239200192869</v>
      </c>
      <c r="L193">
        <v>50</v>
      </c>
    </row>
    <row r="194" spans="1:12" x14ac:dyDescent="0.35">
      <c r="A194">
        <v>1404</v>
      </c>
      <c r="B194">
        <v>57.640706965493713</v>
      </c>
      <c r="C194">
        <v>50</v>
      </c>
      <c r="D194">
        <v>10.7</v>
      </c>
      <c r="E194">
        <v>57.640706965493713</v>
      </c>
      <c r="F194">
        <v>50</v>
      </c>
      <c r="G194">
        <v>26</v>
      </c>
      <c r="H194">
        <v>57.640706965493713</v>
      </c>
      <c r="I194">
        <v>50</v>
      </c>
      <c r="J194">
        <v>107.6</v>
      </c>
      <c r="K194">
        <v>57.640706965493713</v>
      </c>
      <c r="L194">
        <v>50</v>
      </c>
    </row>
    <row r="195" spans="1:12" x14ac:dyDescent="0.35">
      <c r="A195">
        <v>12746</v>
      </c>
      <c r="B195">
        <v>53.908472857208203</v>
      </c>
      <c r="C195">
        <v>50</v>
      </c>
      <c r="D195">
        <v>5.9</v>
      </c>
      <c r="E195">
        <v>53.908472857208203</v>
      </c>
      <c r="F195">
        <v>50</v>
      </c>
      <c r="G195">
        <v>24</v>
      </c>
      <c r="H195">
        <v>53.908472857208203</v>
      </c>
      <c r="I195">
        <v>50</v>
      </c>
      <c r="J195">
        <v>118.6</v>
      </c>
      <c r="K195">
        <v>53.908472857208203</v>
      </c>
      <c r="L195">
        <v>50</v>
      </c>
    </row>
    <row r="196" spans="1:12" x14ac:dyDescent="0.35">
      <c r="A196">
        <v>4410</v>
      </c>
      <c r="B196">
        <v>57.667444832138948</v>
      </c>
      <c r="C196">
        <v>50</v>
      </c>
      <c r="D196">
        <v>8</v>
      </c>
      <c r="E196">
        <v>57.667444832138948</v>
      </c>
      <c r="F196">
        <v>50</v>
      </c>
      <c r="G196">
        <v>24.3</v>
      </c>
      <c r="H196">
        <v>57.667444832138948</v>
      </c>
      <c r="I196">
        <v>50</v>
      </c>
      <c r="J196">
        <v>50</v>
      </c>
      <c r="K196">
        <v>57.667444832138948</v>
      </c>
      <c r="L196">
        <v>50</v>
      </c>
    </row>
    <row r="197" spans="1:12" x14ac:dyDescent="0.35">
      <c r="A197">
        <v>895</v>
      </c>
      <c r="B197">
        <v>47.224043472780252</v>
      </c>
      <c r="C197">
        <v>50</v>
      </c>
      <c r="D197">
        <v>7.5</v>
      </c>
      <c r="E197">
        <v>47.224043472780252</v>
      </c>
      <c r="F197">
        <v>50</v>
      </c>
      <c r="G197">
        <v>26.2</v>
      </c>
      <c r="H197">
        <v>47.224043472780252</v>
      </c>
      <c r="I197">
        <v>50</v>
      </c>
      <c r="J197">
        <v>300.89999999999998</v>
      </c>
      <c r="K197">
        <v>47.224043472780252</v>
      </c>
      <c r="L197">
        <v>50</v>
      </c>
    </row>
    <row r="198" spans="1:12" x14ac:dyDescent="0.35">
      <c r="A198">
        <v>2666</v>
      </c>
      <c r="B198">
        <v>48.923042082891342</v>
      </c>
      <c r="C198">
        <v>50</v>
      </c>
      <c r="D198">
        <v>2.2000000000000002</v>
      </c>
      <c r="E198">
        <v>48.923042082891342</v>
      </c>
      <c r="F198">
        <v>50</v>
      </c>
      <c r="G198">
        <v>24.9</v>
      </c>
      <c r="H198">
        <v>48.923042082891342</v>
      </c>
      <c r="I198">
        <v>50</v>
      </c>
      <c r="J198">
        <v>154.80000000000001</v>
      </c>
      <c r="K198">
        <v>48.923042082891342</v>
      </c>
      <c r="L198">
        <v>50</v>
      </c>
    </row>
    <row r="199" spans="1:12" x14ac:dyDescent="0.35">
      <c r="A199">
        <v>4686</v>
      </c>
      <c r="B199">
        <v>48.794375597079387</v>
      </c>
      <c r="C199">
        <v>50</v>
      </c>
      <c r="D199">
        <v>7.9</v>
      </c>
      <c r="E199">
        <v>48.794375597079387</v>
      </c>
      <c r="F199">
        <v>50</v>
      </c>
      <c r="G199">
        <v>21.5</v>
      </c>
      <c r="H199">
        <v>48.794375597079387</v>
      </c>
      <c r="I199">
        <v>50</v>
      </c>
      <c r="J199">
        <v>241.4</v>
      </c>
      <c r="K199">
        <v>48.794375597079387</v>
      </c>
      <c r="L199">
        <v>50</v>
      </c>
    </row>
    <row r="200" spans="1:12" x14ac:dyDescent="0.35">
      <c r="A200">
        <v>762</v>
      </c>
      <c r="B200">
        <v>53.332809452458726</v>
      </c>
      <c r="C200">
        <v>50</v>
      </c>
      <c r="D200">
        <v>12.2</v>
      </c>
      <c r="E200">
        <v>53.332809452458726</v>
      </c>
      <c r="F200">
        <v>50</v>
      </c>
      <c r="G200">
        <v>20.8</v>
      </c>
      <c r="H200">
        <v>53.332809452458726</v>
      </c>
      <c r="I200">
        <v>50</v>
      </c>
      <c r="J200">
        <v>196.9</v>
      </c>
      <c r="K200">
        <v>53.332809452458726</v>
      </c>
      <c r="L200">
        <v>50</v>
      </c>
    </row>
    <row r="201" spans="1:12" x14ac:dyDescent="0.35">
      <c r="A201">
        <v>1275</v>
      </c>
      <c r="B201">
        <v>57.339517084512188</v>
      </c>
      <c r="C201">
        <v>50</v>
      </c>
      <c r="D201">
        <v>8.3000000000000007</v>
      </c>
      <c r="E201">
        <v>57.339517084512188</v>
      </c>
      <c r="F201">
        <v>50</v>
      </c>
      <c r="G201">
        <v>23.5</v>
      </c>
      <c r="H201">
        <v>57.339517084512188</v>
      </c>
      <c r="I201">
        <v>50</v>
      </c>
      <c r="J201">
        <v>50</v>
      </c>
      <c r="K201">
        <v>57.339517084512188</v>
      </c>
      <c r="L201">
        <v>50</v>
      </c>
    </row>
    <row r="202" spans="1:12" x14ac:dyDescent="0.35">
      <c r="A202">
        <v>6066</v>
      </c>
      <c r="B202">
        <v>55.880431274919225</v>
      </c>
      <c r="C202">
        <v>50</v>
      </c>
      <c r="D202">
        <v>5.2</v>
      </c>
      <c r="E202">
        <v>55.880431274919225</v>
      </c>
      <c r="F202">
        <v>50</v>
      </c>
      <c r="G202">
        <v>29.6</v>
      </c>
      <c r="H202">
        <v>55.880431274919225</v>
      </c>
      <c r="I202">
        <v>50</v>
      </c>
      <c r="J202">
        <v>87.3</v>
      </c>
      <c r="K202">
        <v>55.880431274919225</v>
      </c>
      <c r="L202">
        <v>50</v>
      </c>
    </row>
    <row r="203" spans="1:12" x14ac:dyDescent="0.35">
      <c r="A203">
        <v>470</v>
      </c>
      <c r="B203">
        <v>59.350381049799161</v>
      </c>
      <c r="C203">
        <v>50</v>
      </c>
      <c r="D203">
        <v>8.6999999999999993</v>
      </c>
      <c r="E203">
        <v>59.350381049799161</v>
      </c>
      <c r="F203">
        <v>50</v>
      </c>
      <c r="G203">
        <v>28.9</v>
      </c>
      <c r="H203">
        <v>59.350381049799161</v>
      </c>
      <c r="I203">
        <v>50</v>
      </c>
      <c r="J203">
        <v>50</v>
      </c>
      <c r="K203">
        <v>59.350381049799161</v>
      </c>
      <c r="L203">
        <v>50</v>
      </c>
    </row>
    <row r="204" spans="1:12" x14ac:dyDescent="0.35">
      <c r="A204">
        <v>9631</v>
      </c>
      <c r="B204">
        <v>48.377629620321372</v>
      </c>
      <c r="C204">
        <v>50</v>
      </c>
      <c r="D204">
        <v>4.3</v>
      </c>
      <c r="E204">
        <v>48.377629620321372</v>
      </c>
      <c r="F204">
        <v>50</v>
      </c>
      <c r="G204">
        <v>21</v>
      </c>
      <c r="H204">
        <v>48.377629620321372</v>
      </c>
      <c r="I204">
        <v>50</v>
      </c>
      <c r="J204">
        <v>191.8</v>
      </c>
      <c r="K204">
        <v>48.377629620321372</v>
      </c>
      <c r="L204">
        <v>50</v>
      </c>
    </row>
    <row r="205" spans="1:12" x14ac:dyDescent="0.35">
      <c r="A205">
        <v>5012</v>
      </c>
      <c r="B205">
        <v>51.556853291103238</v>
      </c>
      <c r="C205">
        <v>50</v>
      </c>
      <c r="D205">
        <v>6</v>
      </c>
      <c r="E205">
        <v>51.556853291103238</v>
      </c>
      <c r="F205">
        <v>50</v>
      </c>
      <c r="G205">
        <v>25.7</v>
      </c>
      <c r="H205">
        <v>51.556853291103238</v>
      </c>
      <c r="I205">
        <v>50</v>
      </c>
      <c r="J205">
        <v>173.4</v>
      </c>
      <c r="K205">
        <v>51.556853291103238</v>
      </c>
      <c r="L205">
        <v>50</v>
      </c>
    </row>
    <row r="206" spans="1:12" x14ac:dyDescent="0.35">
      <c r="A206">
        <v>6068</v>
      </c>
      <c r="B206">
        <v>55.041143114633051</v>
      </c>
      <c r="C206">
        <v>50</v>
      </c>
      <c r="D206">
        <v>4.4000000000000004</v>
      </c>
      <c r="E206">
        <v>55.041143114633051</v>
      </c>
      <c r="F206">
        <v>50</v>
      </c>
      <c r="G206">
        <v>27</v>
      </c>
      <c r="H206">
        <v>55.041143114633051</v>
      </c>
      <c r="I206">
        <v>50</v>
      </c>
      <c r="J206">
        <v>72</v>
      </c>
      <c r="K206">
        <v>55.041143114633051</v>
      </c>
      <c r="L206">
        <v>50</v>
      </c>
    </row>
    <row r="207" spans="1:12" x14ac:dyDescent="0.35">
      <c r="A207">
        <v>870</v>
      </c>
      <c r="B207">
        <v>53.344280587225498</v>
      </c>
      <c r="C207">
        <v>50</v>
      </c>
      <c r="D207">
        <v>10.9</v>
      </c>
      <c r="E207">
        <v>53.344280587225498</v>
      </c>
      <c r="F207">
        <v>50</v>
      </c>
      <c r="G207">
        <v>26.2</v>
      </c>
      <c r="H207">
        <v>53.344280587225498</v>
      </c>
      <c r="I207">
        <v>50</v>
      </c>
      <c r="J207">
        <v>215.8</v>
      </c>
      <c r="K207">
        <v>53.344280587225498</v>
      </c>
      <c r="L207">
        <v>50</v>
      </c>
    </row>
    <row r="208" spans="1:12" x14ac:dyDescent="0.35">
      <c r="A208">
        <v>962</v>
      </c>
      <c r="B208">
        <v>50.838965388657932</v>
      </c>
      <c r="C208">
        <v>50</v>
      </c>
      <c r="D208">
        <v>5.3</v>
      </c>
      <c r="E208">
        <v>50.838965388657932</v>
      </c>
      <c r="F208">
        <v>50</v>
      </c>
      <c r="G208">
        <v>22.6</v>
      </c>
      <c r="H208">
        <v>50.838965388657932</v>
      </c>
      <c r="I208">
        <v>50</v>
      </c>
      <c r="J208">
        <v>143.80000000000001</v>
      </c>
      <c r="K208">
        <v>50.838965388657932</v>
      </c>
      <c r="L208">
        <v>50</v>
      </c>
    </row>
    <row r="209" spans="1:12" x14ac:dyDescent="0.35">
      <c r="A209">
        <v>10309</v>
      </c>
      <c r="B209">
        <v>56.650125894441189</v>
      </c>
      <c r="C209">
        <v>50</v>
      </c>
      <c r="D209">
        <v>8</v>
      </c>
      <c r="E209">
        <v>56.650125894441189</v>
      </c>
      <c r="F209">
        <v>50</v>
      </c>
      <c r="G209">
        <v>29.4</v>
      </c>
      <c r="H209">
        <v>56.650125894441189</v>
      </c>
      <c r="I209">
        <v>50</v>
      </c>
      <c r="J209">
        <v>128.80000000000001</v>
      </c>
      <c r="K209">
        <v>56.650125894441189</v>
      </c>
      <c r="L209">
        <v>50</v>
      </c>
    </row>
    <row r="210" spans="1:12" x14ac:dyDescent="0.35">
      <c r="A210">
        <v>824</v>
      </c>
      <c r="B210">
        <v>52.177206931319922</v>
      </c>
      <c r="C210">
        <v>50</v>
      </c>
      <c r="D210">
        <v>4.8</v>
      </c>
      <c r="E210">
        <v>52.177206931319922</v>
      </c>
      <c r="F210">
        <v>50</v>
      </c>
      <c r="G210">
        <v>26.4</v>
      </c>
      <c r="H210">
        <v>52.177206931319922</v>
      </c>
      <c r="I210">
        <v>50</v>
      </c>
      <c r="J210">
        <v>132.1</v>
      </c>
      <c r="K210">
        <v>52.177206931319922</v>
      </c>
      <c r="L210">
        <v>50</v>
      </c>
    </row>
    <row r="211" spans="1:12" x14ac:dyDescent="0.35">
      <c r="A211">
        <v>2672</v>
      </c>
      <c r="B211">
        <v>51.678760716623628</v>
      </c>
      <c r="C211">
        <v>50</v>
      </c>
      <c r="D211">
        <v>5.5</v>
      </c>
      <c r="E211">
        <v>51.678760716623628</v>
      </c>
      <c r="F211">
        <v>50</v>
      </c>
      <c r="G211">
        <v>20.5</v>
      </c>
      <c r="H211">
        <v>51.678760716623628</v>
      </c>
      <c r="I211">
        <v>50</v>
      </c>
      <c r="J211">
        <v>114.3</v>
      </c>
      <c r="K211">
        <v>51.678760716623628</v>
      </c>
      <c r="L211">
        <v>50</v>
      </c>
    </row>
    <row r="212" spans="1:12" x14ac:dyDescent="0.35">
      <c r="A212">
        <v>460</v>
      </c>
      <c r="B212">
        <v>57.096895830094915</v>
      </c>
      <c r="C212">
        <v>50</v>
      </c>
      <c r="D212">
        <v>8.5</v>
      </c>
      <c r="E212">
        <v>57.096895830094915</v>
      </c>
      <c r="F212">
        <v>50</v>
      </c>
      <c r="G212">
        <v>26.2</v>
      </c>
      <c r="H212">
        <v>57.096895830094915</v>
      </c>
      <c r="I212">
        <v>50</v>
      </c>
      <c r="J212">
        <v>79.3</v>
      </c>
      <c r="K212">
        <v>57.096895830094915</v>
      </c>
      <c r="L212">
        <v>50</v>
      </c>
    </row>
    <row r="213" spans="1:12" x14ac:dyDescent="0.35">
      <c r="A213">
        <v>537</v>
      </c>
      <c r="B213">
        <v>51.237358454787433</v>
      </c>
      <c r="C213">
        <v>50</v>
      </c>
      <c r="D213">
        <v>9.1</v>
      </c>
      <c r="E213">
        <v>51.237358454787433</v>
      </c>
      <c r="F213">
        <v>50</v>
      </c>
      <c r="G213">
        <v>26.7</v>
      </c>
      <c r="H213">
        <v>51.237358454787433</v>
      </c>
      <c r="I213">
        <v>50</v>
      </c>
      <c r="J213">
        <v>236.6</v>
      </c>
      <c r="K213">
        <v>51.237358454787433</v>
      </c>
      <c r="L213">
        <v>50</v>
      </c>
    </row>
    <row r="214" spans="1:12" x14ac:dyDescent="0.35">
      <c r="A214">
        <v>730</v>
      </c>
      <c r="B214">
        <v>53.370459744036701</v>
      </c>
      <c r="C214">
        <v>50</v>
      </c>
      <c r="D214">
        <v>9.5</v>
      </c>
      <c r="E214">
        <v>53.370459744036701</v>
      </c>
      <c r="F214">
        <v>50</v>
      </c>
      <c r="G214">
        <v>26.5</v>
      </c>
      <c r="H214">
        <v>53.370459744036701</v>
      </c>
      <c r="I214">
        <v>50</v>
      </c>
      <c r="J214">
        <v>191.2</v>
      </c>
      <c r="K214">
        <v>53.370459744036701</v>
      </c>
      <c r="L214">
        <v>50</v>
      </c>
    </row>
    <row r="215" spans="1:12" x14ac:dyDescent="0.35">
      <c r="A215">
        <v>16372</v>
      </c>
      <c r="B215">
        <v>58.820589216688511</v>
      </c>
      <c r="C215">
        <v>50</v>
      </c>
      <c r="D215">
        <v>10.9</v>
      </c>
      <c r="E215">
        <v>58.820589216688511</v>
      </c>
      <c r="F215">
        <v>50</v>
      </c>
      <c r="G215">
        <v>27</v>
      </c>
      <c r="H215">
        <v>58.820589216688511</v>
      </c>
      <c r="I215">
        <v>50</v>
      </c>
      <c r="J215">
        <v>124.8</v>
      </c>
      <c r="K215">
        <v>58.820589216688511</v>
      </c>
      <c r="L215">
        <v>50</v>
      </c>
    </row>
    <row r="216" spans="1:12" x14ac:dyDescent="0.35">
      <c r="A216">
        <v>2090</v>
      </c>
      <c r="B216">
        <v>44.823445261717737</v>
      </c>
      <c r="C216">
        <v>50</v>
      </c>
      <c r="D216">
        <v>6.5</v>
      </c>
      <c r="E216">
        <v>44.823445261717737</v>
      </c>
      <c r="F216">
        <v>50</v>
      </c>
      <c r="G216">
        <v>25.2</v>
      </c>
      <c r="H216">
        <v>44.823445261717737</v>
      </c>
      <c r="I216">
        <v>50</v>
      </c>
      <c r="J216">
        <v>335.2</v>
      </c>
      <c r="K216">
        <v>44.823445261717737</v>
      </c>
      <c r="L216">
        <v>50</v>
      </c>
    </row>
    <row r="217" spans="1:12" x14ac:dyDescent="0.35">
      <c r="A217">
        <v>300</v>
      </c>
      <c r="B217">
        <v>53.186704891082364</v>
      </c>
      <c r="C217">
        <v>50</v>
      </c>
      <c r="D217">
        <v>6.6</v>
      </c>
      <c r="E217">
        <v>53.186704891082364</v>
      </c>
      <c r="F217">
        <v>50</v>
      </c>
      <c r="G217">
        <v>28.3</v>
      </c>
      <c r="H217">
        <v>53.186704891082364</v>
      </c>
      <c r="I217">
        <v>50</v>
      </c>
      <c r="J217">
        <v>155.1</v>
      </c>
      <c r="K217">
        <v>53.186704891082364</v>
      </c>
      <c r="L217">
        <v>50</v>
      </c>
    </row>
    <row r="218" spans="1:12" x14ac:dyDescent="0.35">
      <c r="A218">
        <v>8262</v>
      </c>
      <c r="B218">
        <v>52.492988054753631</v>
      </c>
      <c r="C218">
        <v>50</v>
      </c>
      <c r="D218">
        <v>5.8</v>
      </c>
      <c r="E218">
        <v>52.492988054753631</v>
      </c>
      <c r="F218">
        <v>50</v>
      </c>
      <c r="G218">
        <v>25.6</v>
      </c>
      <c r="H218">
        <v>52.492988054753631</v>
      </c>
      <c r="I218">
        <v>50</v>
      </c>
      <c r="J218">
        <v>153.6</v>
      </c>
      <c r="K218">
        <v>52.492988054753631</v>
      </c>
      <c r="L218">
        <v>50</v>
      </c>
    </row>
    <row r="219" spans="1:12" x14ac:dyDescent="0.35">
      <c r="A219">
        <v>7715</v>
      </c>
      <c r="B219">
        <v>51.779323480735748</v>
      </c>
      <c r="C219">
        <v>50</v>
      </c>
      <c r="D219">
        <v>1.9</v>
      </c>
      <c r="E219">
        <v>51.779323480735748</v>
      </c>
      <c r="F219">
        <v>50</v>
      </c>
      <c r="G219">
        <v>25.6</v>
      </c>
      <c r="H219">
        <v>51.779323480735748</v>
      </c>
      <c r="I219">
        <v>50</v>
      </c>
      <c r="J219">
        <v>97.1</v>
      </c>
      <c r="K219">
        <v>51.779323480735748</v>
      </c>
      <c r="L219">
        <v>50</v>
      </c>
    </row>
    <row r="220" spans="1:12" x14ac:dyDescent="0.35">
      <c r="A220">
        <v>2510</v>
      </c>
      <c r="B220">
        <v>59.562817048879033</v>
      </c>
      <c r="C220">
        <v>50</v>
      </c>
      <c r="D220">
        <v>9.5</v>
      </c>
      <c r="E220">
        <v>59.562817048879033</v>
      </c>
      <c r="F220">
        <v>50</v>
      </c>
      <c r="G220">
        <v>27.6</v>
      </c>
      <c r="H220">
        <v>59.562817048879033</v>
      </c>
      <c r="I220">
        <v>50</v>
      </c>
      <c r="J220">
        <v>54</v>
      </c>
      <c r="K220">
        <v>59.562817048879033</v>
      </c>
      <c r="L220">
        <v>50</v>
      </c>
    </row>
    <row r="221" spans="1:12" x14ac:dyDescent="0.35">
      <c r="A221">
        <v>1119</v>
      </c>
      <c r="B221">
        <v>62.053232013405477</v>
      </c>
      <c r="C221">
        <v>50</v>
      </c>
      <c r="D221">
        <v>13.3</v>
      </c>
      <c r="E221">
        <v>62.053232013405477</v>
      </c>
      <c r="F221">
        <v>50</v>
      </c>
      <c r="G221">
        <v>26.2</v>
      </c>
      <c r="H221">
        <v>62.053232013405477</v>
      </c>
      <c r="I221">
        <v>50</v>
      </c>
      <c r="J221">
        <v>50</v>
      </c>
      <c r="K221">
        <v>62.053232013405477</v>
      </c>
      <c r="L221">
        <v>50</v>
      </c>
    </row>
    <row r="222" spans="1:12" x14ac:dyDescent="0.35">
      <c r="A222">
        <v>14026</v>
      </c>
      <c r="B222">
        <v>46.463677582974192</v>
      </c>
      <c r="C222">
        <v>50</v>
      </c>
      <c r="D222">
        <v>3.4</v>
      </c>
      <c r="E222">
        <v>46.463677582974192</v>
      </c>
      <c r="F222">
        <v>50</v>
      </c>
      <c r="G222">
        <v>23.5</v>
      </c>
      <c r="H222">
        <v>46.463677582974192</v>
      </c>
      <c r="I222">
        <v>50</v>
      </c>
      <c r="J222">
        <v>251.4</v>
      </c>
      <c r="K222">
        <v>46.463677582974192</v>
      </c>
      <c r="L222">
        <v>50</v>
      </c>
    </row>
    <row r="223" spans="1:12" x14ac:dyDescent="0.35">
      <c r="A223">
        <v>9528</v>
      </c>
      <c r="B223">
        <v>56.163547394214355</v>
      </c>
      <c r="C223">
        <v>50</v>
      </c>
      <c r="D223">
        <v>5.2</v>
      </c>
      <c r="E223">
        <v>56.163547394214355</v>
      </c>
      <c r="F223">
        <v>50</v>
      </c>
      <c r="G223">
        <v>24.8</v>
      </c>
      <c r="H223">
        <v>56.163547394214355</v>
      </c>
      <c r="I223">
        <v>50</v>
      </c>
      <c r="J223">
        <v>50</v>
      </c>
      <c r="K223">
        <v>56.163547394214355</v>
      </c>
      <c r="L223">
        <v>50</v>
      </c>
    </row>
    <row r="224" spans="1:12" x14ac:dyDescent="0.35">
      <c r="A224">
        <v>459</v>
      </c>
      <c r="B224">
        <v>57.19727178339086</v>
      </c>
      <c r="C224">
        <v>50</v>
      </c>
      <c r="D224">
        <v>12.9</v>
      </c>
      <c r="E224">
        <v>57.19727178339086</v>
      </c>
      <c r="F224">
        <v>50</v>
      </c>
      <c r="G224">
        <v>20.7</v>
      </c>
      <c r="H224">
        <v>57.19727178339086</v>
      </c>
      <c r="I224">
        <v>50</v>
      </c>
      <c r="J224">
        <v>114.8</v>
      </c>
      <c r="K224">
        <v>57.19727178339086</v>
      </c>
      <c r="L224">
        <v>50</v>
      </c>
    </row>
    <row r="225" spans="1:12" x14ac:dyDescent="0.35">
      <c r="A225">
        <v>346</v>
      </c>
      <c r="B225">
        <v>59.315878218998733</v>
      </c>
      <c r="C225">
        <v>50</v>
      </c>
      <c r="D225">
        <v>11.5</v>
      </c>
      <c r="E225">
        <v>59.315878218998733</v>
      </c>
      <c r="F225">
        <v>50</v>
      </c>
      <c r="G225">
        <v>25</v>
      </c>
      <c r="H225">
        <v>59.315878218998733</v>
      </c>
      <c r="I225">
        <v>50</v>
      </c>
      <c r="J225">
        <v>71.5</v>
      </c>
      <c r="K225">
        <v>59.315878218998733</v>
      </c>
      <c r="L225">
        <v>50</v>
      </c>
    </row>
    <row r="226" spans="1:12" x14ac:dyDescent="0.35">
      <c r="A226">
        <v>1212</v>
      </c>
      <c r="B226">
        <v>52.852842751077247</v>
      </c>
      <c r="C226">
        <v>50</v>
      </c>
      <c r="D226">
        <v>8.1999999999999993</v>
      </c>
      <c r="E226">
        <v>52.852842751077247</v>
      </c>
      <c r="F226">
        <v>50</v>
      </c>
      <c r="G226">
        <v>23.8</v>
      </c>
      <c r="H226">
        <v>52.852842751077247</v>
      </c>
      <c r="I226">
        <v>50</v>
      </c>
      <c r="J226">
        <v>159.1</v>
      </c>
      <c r="K226">
        <v>52.852842751077247</v>
      </c>
      <c r="L226">
        <v>50</v>
      </c>
    </row>
    <row r="227" spans="1:12" x14ac:dyDescent="0.35">
      <c r="A227">
        <v>466</v>
      </c>
      <c r="B227">
        <v>56.868895183746304</v>
      </c>
      <c r="C227">
        <v>50</v>
      </c>
      <c r="D227">
        <v>14.4</v>
      </c>
      <c r="E227">
        <v>56.868895183746304</v>
      </c>
      <c r="F227">
        <v>50</v>
      </c>
      <c r="G227">
        <v>19.100000000000001</v>
      </c>
      <c r="H227">
        <v>56.868895183746304</v>
      </c>
      <c r="I227">
        <v>50</v>
      </c>
      <c r="J227">
        <v>137.9</v>
      </c>
      <c r="K227">
        <v>56.868895183746304</v>
      </c>
      <c r="L227">
        <v>50</v>
      </c>
    </row>
    <row r="228" spans="1:12" x14ac:dyDescent="0.35">
      <c r="A228">
        <v>1171</v>
      </c>
      <c r="B228">
        <v>54.455464831705868</v>
      </c>
      <c r="C228">
        <v>50</v>
      </c>
      <c r="D228">
        <v>7.4</v>
      </c>
      <c r="E228">
        <v>54.455464831705868</v>
      </c>
      <c r="F228">
        <v>50</v>
      </c>
      <c r="G228">
        <v>23.5</v>
      </c>
      <c r="H228">
        <v>54.455464831705868</v>
      </c>
      <c r="I228">
        <v>50</v>
      </c>
      <c r="J228">
        <v>102.9</v>
      </c>
      <c r="K228">
        <v>54.455464831705868</v>
      </c>
      <c r="L228">
        <v>50</v>
      </c>
    </row>
    <row r="229" spans="1:12" x14ac:dyDescent="0.35">
      <c r="A229">
        <v>1054</v>
      </c>
      <c r="B229">
        <v>53.142187572840143</v>
      </c>
      <c r="C229">
        <v>50</v>
      </c>
      <c r="D229">
        <v>10.7</v>
      </c>
      <c r="E229">
        <v>53.142187572840143</v>
      </c>
      <c r="F229">
        <v>50</v>
      </c>
      <c r="G229">
        <v>25.9</v>
      </c>
      <c r="H229">
        <v>53.142187572840143</v>
      </c>
      <c r="I229">
        <v>50</v>
      </c>
      <c r="J229">
        <v>215</v>
      </c>
      <c r="K229">
        <v>53.142187572840143</v>
      </c>
      <c r="L229">
        <v>50</v>
      </c>
    </row>
    <row r="230" spans="1:12" x14ac:dyDescent="0.35">
      <c r="A230">
        <v>1287</v>
      </c>
      <c r="B230">
        <v>55.82966992017171</v>
      </c>
      <c r="C230">
        <v>50</v>
      </c>
      <c r="D230">
        <v>10.199999999999999</v>
      </c>
      <c r="E230">
        <v>55.82966992017171</v>
      </c>
      <c r="F230">
        <v>50</v>
      </c>
      <c r="G230">
        <v>26.8</v>
      </c>
      <c r="H230">
        <v>55.82966992017171</v>
      </c>
      <c r="I230">
        <v>50</v>
      </c>
      <c r="J230">
        <v>148.30000000000001</v>
      </c>
      <c r="K230">
        <v>55.82966992017171</v>
      </c>
      <c r="L230">
        <v>50</v>
      </c>
    </row>
    <row r="231" spans="1:12" x14ac:dyDescent="0.35">
      <c r="A231">
        <v>1227</v>
      </c>
      <c r="B231">
        <v>55.220515163353227</v>
      </c>
      <c r="C231">
        <v>50</v>
      </c>
      <c r="D231">
        <v>9.6</v>
      </c>
      <c r="E231">
        <v>55.220515163353227</v>
      </c>
      <c r="F231">
        <v>50</v>
      </c>
      <c r="G231">
        <v>24.4</v>
      </c>
      <c r="H231">
        <v>55.220515163353227</v>
      </c>
      <c r="I231">
        <v>50</v>
      </c>
      <c r="J231">
        <v>132.6</v>
      </c>
      <c r="K231">
        <v>55.220515163353227</v>
      </c>
      <c r="L231">
        <v>50</v>
      </c>
    </row>
    <row r="232" spans="1:12" x14ac:dyDescent="0.35">
      <c r="A232">
        <v>10100</v>
      </c>
      <c r="B232">
        <v>55.079230877695814</v>
      </c>
      <c r="C232">
        <v>50</v>
      </c>
      <c r="D232">
        <v>11.9</v>
      </c>
      <c r="E232">
        <v>55.079230877695814</v>
      </c>
      <c r="F232">
        <v>50</v>
      </c>
      <c r="G232">
        <v>25.1</v>
      </c>
      <c r="H232">
        <v>55.079230877695814</v>
      </c>
      <c r="I232">
        <v>50</v>
      </c>
      <c r="J232">
        <v>204.6</v>
      </c>
      <c r="K232">
        <v>55.079230877695814</v>
      </c>
      <c r="L232">
        <v>50</v>
      </c>
    </row>
    <row r="233" spans="1:12" x14ac:dyDescent="0.35">
      <c r="A233">
        <v>2452</v>
      </c>
      <c r="B233">
        <v>57.11365509093136</v>
      </c>
      <c r="C233">
        <v>50</v>
      </c>
      <c r="D233">
        <v>8.3000000000000007</v>
      </c>
      <c r="E233">
        <v>57.11365509093136</v>
      </c>
      <c r="F233">
        <v>50</v>
      </c>
      <c r="G233">
        <v>26.8</v>
      </c>
      <c r="H233">
        <v>57.11365509093136</v>
      </c>
      <c r="I233">
        <v>50</v>
      </c>
      <c r="J233">
        <v>84.5</v>
      </c>
      <c r="K233">
        <v>57.11365509093136</v>
      </c>
      <c r="L233">
        <v>50</v>
      </c>
    </row>
    <row r="234" spans="1:12" x14ac:dyDescent="0.35">
      <c r="A234">
        <v>482</v>
      </c>
      <c r="B234">
        <v>54.820117404734518</v>
      </c>
      <c r="C234">
        <v>50</v>
      </c>
      <c r="D234">
        <v>11.5</v>
      </c>
      <c r="E234">
        <v>54.820117404734518</v>
      </c>
      <c r="F234">
        <v>50</v>
      </c>
      <c r="G234">
        <v>27.4</v>
      </c>
      <c r="H234">
        <v>54.820117404734518</v>
      </c>
      <c r="I234">
        <v>50</v>
      </c>
      <c r="J234">
        <v>199.9</v>
      </c>
      <c r="K234">
        <v>54.820117404734518</v>
      </c>
      <c r="L234">
        <v>50</v>
      </c>
    </row>
    <row r="235" spans="1:12" x14ac:dyDescent="0.35">
      <c r="A235">
        <v>776</v>
      </c>
      <c r="B235">
        <v>49.704568694798077</v>
      </c>
      <c r="C235">
        <v>50</v>
      </c>
      <c r="D235">
        <v>8.1999999999999993</v>
      </c>
      <c r="E235">
        <v>49.704568694798077</v>
      </c>
      <c r="F235">
        <v>50</v>
      </c>
      <c r="G235">
        <v>23</v>
      </c>
      <c r="H235">
        <v>49.704568694798077</v>
      </c>
      <c r="I235">
        <v>50</v>
      </c>
      <c r="J235">
        <v>228</v>
      </c>
      <c r="K235">
        <v>49.704568694798077</v>
      </c>
      <c r="L235">
        <v>50</v>
      </c>
    </row>
    <row r="236" spans="1:12" x14ac:dyDescent="0.35">
      <c r="A236">
        <v>1841</v>
      </c>
      <c r="B236">
        <v>56.606242969094104</v>
      </c>
      <c r="C236">
        <v>50</v>
      </c>
      <c r="D236">
        <v>9.1999999999999993</v>
      </c>
      <c r="E236">
        <v>56.606242969094104</v>
      </c>
      <c r="F236">
        <v>50</v>
      </c>
      <c r="G236">
        <v>23.3</v>
      </c>
      <c r="H236">
        <v>56.606242969094104</v>
      </c>
      <c r="I236">
        <v>50</v>
      </c>
      <c r="J236">
        <v>84.2</v>
      </c>
      <c r="K236">
        <v>56.606242969094104</v>
      </c>
      <c r="L236">
        <v>50</v>
      </c>
    </row>
    <row r="237" spans="1:12" x14ac:dyDescent="0.35">
      <c r="A237">
        <v>1394</v>
      </c>
      <c r="B237">
        <v>56.770506278056288</v>
      </c>
      <c r="C237">
        <v>50</v>
      </c>
      <c r="D237">
        <v>6.6</v>
      </c>
      <c r="E237">
        <v>56.770506278056288</v>
      </c>
      <c r="F237">
        <v>50</v>
      </c>
      <c r="G237">
        <v>25.7</v>
      </c>
      <c r="H237">
        <v>56.770506278056288</v>
      </c>
      <c r="I237">
        <v>50</v>
      </c>
      <c r="J237">
        <v>50</v>
      </c>
      <c r="K237">
        <v>56.770506278056288</v>
      </c>
      <c r="L237">
        <v>50</v>
      </c>
    </row>
    <row r="238" spans="1:12" x14ac:dyDescent="0.35">
      <c r="A238">
        <v>2164</v>
      </c>
      <c r="B238">
        <v>52.869337117458414</v>
      </c>
      <c r="C238">
        <v>50</v>
      </c>
      <c r="D238">
        <v>8.9</v>
      </c>
      <c r="E238">
        <v>52.869337117458414</v>
      </c>
      <c r="F238">
        <v>50</v>
      </c>
      <c r="G238">
        <v>29.4</v>
      </c>
      <c r="H238">
        <v>52.869337117458414</v>
      </c>
      <c r="I238">
        <v>50</v>
      </c>
      <c r="J238">
        <v>218.6</v>
      </c>
      <c r="K238">
        <v>52.869337117458414</v>
      </c>
      <c r="L238">
        <v>50</v>
      </c>
    </row>
    <row r="239" spans="1:12" x14ac:dyDescent="0.35">
      <c r="A239">
        <v>663</v>
      </c>
      <c r="B239">
        <v>51.980532697954295</v>
      </c>
      <c r="C239">
        <v>50</v>
      </c>
      <c r="D239">
        <v>7.9</v>
      </c>
      <c r="E239">
        <v>51.980532697954295</v>
      </c>
      <c r="F239">
        <v>50</v>
      </c>
      <c r="G239">
        <v>24.1</v>
      </c>
      <c r="H239">
        <v>51.980532697954295</v>
      </c>
      <c r="I239">
        <v>50</v>
      </c>
      <c r="J239">
        <v>175.8</v>
      </c>
      <c r="K239">
        <v>51.980532697954295</v>
      </c>
      <c r="L239">
        <v>50</v>
      </c>
    </row>
    <row r="240" spans="1:12" x14ac:dyDescent="0.35">
      <c r="A240">
        <v>29706</v>
      </c>
      <c r="B240">
        <v>54.035048148926272</v>
      </c>
      <c r="C240">
        <v>50</v>
      </c>
      <c r="D240">
        <v>7.7</v>
      </c>
      <c r="E240">
        <v>54.035048148926272</v>
      </c>
      <c r="F240">
        <v>50</v>
      </c>
      <c r="G240">
        <v>26.2</v>
      </c>
      <c r="H240">
        <v>54.035048148926272</v>
      </c>
      <c r="I240">
        <v>50</v>
      </c>
      <c r="J240">
        <v>205.2</v>
      </c>
      <c r="K240">
        <v>54.035048148926272</v>
      </c>
      <c r="L240">
        <v>50</v>
      </c>
    </row>
    <row r="241" spans="1:12" x14ac:dyDescent="0.35">
      <c r="A241">
        <v>3038</v>
      </c>
      <c r="B241">
        <v>53.031784208012404</v>
      </c>
      <c r="C241">
        <v>50</v>
      </c>
      <c r="D241">
        <v>8.3000000000000007</v>
      </c>
      <c r="E241">
        <v>53.031784208012404</v>
      </c>
      <c r="F241">
        <v>50</v>
      </c>
      <c r="G241">
        <v>22.7</v>
      </c>
      <c r="H241">
        <v>53.031784208012404</v>
      </c>
      <c r="I241">
        <v>50</v>
      </c>
      <c r="J241">
        <v>152</v>
      </c>
      <c r="K241">
        <v>53.031784208012404</v>
      </c>
      <c r="L241">
        <v>50</v>
      </c>
    </row>
    <row r="242" spans="1:12" x14ac:dyDescent="0.35">
      <c r="A242">
        <v>12568</v>
      </c>
      <c r="B242">
        <v>55.889081044881678</v>
      </c>
      <c r="C242">
        <v>50</v>
      </c>
      <c r="D242">
        <v>14.5</v>
      </c>
      <c r="E242">
        <v>55.889081044881678</v>
      </c>
      <c r="F242">
        <v>50</v>
      </c>
      <c r="G242">
        <v>22.7</v>
      </c>
      <c r="H242">
        <v>55.889081044881678</v>
      </c>
      <c r="I242">
        <v>50</v>
      </c>
      <c r="J242">
        <v>219.8</v>
      </c>
      <c r="K242">
        <v>55.889081044881678</v>
      </c>
      <c r="L242">
        <v>50</v>
      </c>
    </row>
    <row r="243" spans="1:12" x14ac:dyDescent="0.35">
      <c r="A243">
        <v>887</v>
      </c>
      <c r="B243">
        <v>55.054544244055684</v>
      </c>
      <c r="C243">
        <v>50</v>
      </c>
      <c r="D243">
        <v>5.5</v>
      </c>
      <c r="E243">
        <v>55.054544244055684</v>
      </c>
      <c r="F243">
        <v>50</v>
      </c>
      <c r="G243">
        <v>23.2</v>
      </c>
      <c r="H243">
        <v>55.054544244055684</v>
      </c>
      <c r="I243">
        <v>50</v>
      </c>
      <c r="J243">
        <v>50</v>
      </c>
      <c r="K243">
        <v>55.054544244055684</v>
      </c>
      <c r="L243">
        <v>50</v>
      </c>
    </row>
    <row r="244" spans="1:12" x14ac:dyDescent="0.35">
      <c r="A244">
        <v>3735</v>
      </c>
      <c r="B244">
        <v>53.183764631746286</v>
      </c>
      <c r="C244">
        <v>50</v>
      </c>
      <c r="D244">
        <v>9</v>
      </c>
      <c r="E244">
        <v>53.183764631746286</v>
      </c>
      <c r="F244">
        <v>50</v>
      </c>
      <c r="G244">
        <v>30.6</v>
      </c>
      <c r="H244">
        <v>53.183764631746286</v>
      </c>
      <c r="I244">
        <v>50</v>
      </c>
      <c r="J244">
        <v>226</v>
      </c>
      <c r="K244">
        <v>53.183764631746286</v>
      </c>
      <c r="L244">
        <v>50</v>
      </c>
    </row>
    <row r="245" spans="1:12" x14ac:dyDescent="0.35">
      <c r="A245">
        <v>6235</v>
      </c>
      <c r="B245">
        <v>48.787685121063248</v>
      </c>
      <c r="C245">
        <v>50</v>
      </c>
      <c r="D245">
        <v>4</v>
      </c>
      <c r="E245">
        <v>48.787685121063248</v>
      </c>
      <c r="F245">
        <v>50</v>
      </c>
      <c r="G245">
        <v>30.5</v>
      </c>
      <c r="H245">
        <v>48.787685121063248</v>
      </c>
      <c r="I245">
        <v>50</v>
      </c>
      <c r="J245">
        <v>244.4</v>
      </c>
      <c r="K245">
        <v>48.787685121063248</v>
      </c>
      <c r="L245">
        <v>50</v>
      </c>
    </row>
    <row r="246" spans="1:12" x14ac:dyDescent="0.35">
      <c r="A246">
        <v>22716</v>
      </c>
      <c r="B246">
        <v>60.607434831590304</v>
      </c>
      <c r="C246">
        <v>50</v>
      </c>
      <c r="D246">
        <v>7.7</v>
      </c>
      <c r="E246">
        <v>60.607434831590304</v>
      </c>
      <c r="F246">
        <v>50</v>
      </c>
      <c r="G246">
        <v>28.7</v>
      </c>
      <c r="H246">
        <v>60.607434831590304</v>
      </c>
      <c r="I246">
        <v>50</v>
      </c>
      <c r="J246">
        <v>50</v>
      </c>
      <c r="K246">
        <v>60.607434831590304</v>
      </c>
      <c r="L246">
        <v>50</v>
      </c>
    </row>
    <row r="247" spans="1:12" x14ac:dyDescent="0.35">
      <c r="A247">
        <v>3199</v>
      </c>
      <c r="B247">
        <v>56.732989477965951</v>
      </c>
      <c r="C247">
        <v>50</v>
      </c>
      <c r="D247">
        <v>6.6</v>
      </c>
      <c r="E247">
        <v>56.732989477965951</v>
      </c>
      <c r="F247">
        <v>50</v>
      </c>
      <c r="G247">
        <v>26.9</v>
      </c>
      <c r="H247">
        <v>56.732989477965951</v>
      </c>
      <c r="I247">
        <v>50</v>
      </c>
      <c r="J247">
        <v>64.599999999999994</v>
      </c>
      <c r="K247">
        <v>56.732989477965951</v>
      </c>
      <c r="L247">
        <v>50</v>
      </c>
    </row>
    <row r="248" spans="1:12" x14ac:dyDescent="0.35">
      <c r="A248">
        <v>6449</v>
      </c>
      <c r="B248">
        <v>58.581597108080757</v>
      </c>
      <c r="C248">
        <v>50</v>
      </c>
      <c r="D248">
        <v>10.1</v>
      </c>
      <c r="E248">
        <v>58.581597108080757</v>
      </c>
      <c r="F248">
        <v>50</v>
      </c>
      <c r="G248">
        <v>21.6</v>
      </c>
      <c r="H248">
        <v>58.581597108080757</v>
      </c>
      <c r="I248">
        <v>50</v>
      </c>
      <c r="J248">
        <v>50</v>
      </c>
      <c r="K248">
        <v>58.581597108080757</v>
      </c>
      <c r="L248">
        <v>50</v>
      </c>
    </row>
    <row r="249" spans="1:12" x14ac:dyDescent="0.35">
      <c r="A249">
        <v>970</v>
      </c>
      <c r="B249">
        <v>53.262758337364055</v>
      </c>
      <c r="C249">
        <v>50</v>
      </c>
      <c r="D249">
        <v>12.7</v>
      </c>
      <c r="E249">
        <v>53.262758337364055</v>
      </c>
      <c r="F249">
        <v>50</v>
      </c>
      <c r="G249">
        <v>25.3</v>
      </c>
      <c r="H249">
        <v>53.262758337364055</v>
      </c>
      <c r="I249">
        <v>50</v>
      </c>
      <c r="J249">
        <v>244.3</v>
      </c>
      <c r="K249">
        <v>53.262758337364055</v>
      </c>
      <c r="L249">
        <v>50</v>
      </c>
    </row>
    <row r="250" spans="1:12" x14ac:dyDescent="0.35">
      <c r="A250">
        <v>41482</v>
      </c>
      <c r="B250">
        <v>55.543440590738953</v>
      </c>
      <c r="C250">
        <v>50</v>
      </c>
      <c r="D250">
        <v>7.3</v>
      </c>
      <c r="E250">
        <v>55.543440590738953</v>
      </c>
      <c r="F250">
        <v>50</v>
      </c>
      <c r="G250">
        <v>27.9</v>
      </c>
      <c r="H250">
        <v>55.543440590738953</v>
      </c>
      <c r="I250">
        <v>50</v>
      </c>
      <c r="J250">
        <v>201.6</v>
      </c>
      <c r="K250">
        <v>55.543440590738953</v>
      </c>
      <c r="L250">
        <v>50</v>
      </c>
    </row>
    <row r="251" spans="1:12" x14ac:dyDescent="0.35">
      <c r="A251">
        <v>8342</v>
      </c>
      <c r="B251">
        <v>58.759169509703192</v>
      </c>
      <c r="C251">
        <v>50.3</v>
      </c>
      <c r="D251">
        <v>11.2</v>
      </c>
      <c r="E251">
        <v>58.759169509703192</v>
      </c>
      <c r="F251">
        <v>50.3</v>
      </c>
      <c r="G251">
        <v>19.7</v>
      </c>
      <c r="H251">
        <v>58.759169509703192</v>
      </c>
      <c r="I251">
        <v>50.3</v>
      </c>
      <c r="J251">
        <v>55.3</v>
      </c>
      <c r="K251">
        <v>58.759169509703192</v>
      </c>
      <c r="L251">
        <v>50.3</v>
      </c>
    </row>
    <row r="252" spans="1:12" x14ac:dyDescent="0.35">
      <c r="A252">
        <v>8746</v>
      </c>
      <c r="B252">
        <v>52.32123968468516</v>
      </c>
      <c r="C252">
        <v>50.3</v>
      </c>
      <c r="D252">
        <v>12.5</v>
      </c>
      <c r="E252">
        <v>52.32123968468516</v>
      </c>
      <c r="F252">
        <v>50.3</v>
      </c>
      <c r="G252">
        <v>25.2</v>
      </c>
      <c r="H252">
        <v>52.32123968468516</v>
      </c>
      <c r="I252">
        <v>50.3</v>
      </c>
      <c r="J252">
        <v>280.3</v>
      </c>
      <c r="K252">
        <v>52.32123968468516</v>
      </c>
      <c r="L252">
        <v>50.3</v>
      </c>
    </row>
    <row r="253" spans="1:12" x14ac:dyDescent="0.35">
      <c r="A253">
        <v>2743</v>
      </c>
      <c r="B253">
        <v>58.629772374390917</v>
      </c>
      <c r="C253">
        <v>50.4</v>
      </c>
      <c r="D253">
        <v>9.1999999999999993</v>
      </c>
      <c r="E253">
        <v>58.629772374390917</v>
      </c>
      <c r="F253">
        <v>50.4</v>
      </c>
      <c r="G253">
        <v>24.9</v>
      </c>
      <c r="H253">
        <v>58.629772374390917</v>
      </c>
      <c r="I253">
        <v>50.4</v>
      </c>
      <c r="J253">
        <v>50</v>
      </c>
      <c r="K253">
        <v>58.629772374390917</v>
      </c>
      <c r="L253">
        <v>50.4</v>
      </c>
    </row>
    <row r="254" spans="1:12" x14ac:dyDescent="0.35">
      <c r="A254">
        <v>8140</v>
      </c>
      <c r="B254">
        <v>55.739545160367129</v>
      </c>
      <c r="C254">
        <v>50.4</v>
      </c>
      <c r="D254">
        <v>9.1</v>
      </c>
      <c r="E254">
        <v>55.739545160367129</v>
      </c>
      <c r="F254">
        <v>50.4</v>
      </c>
      <c r="G254">
        <v>22.2</v>
      </c>
      <c r="H254">
        <v>55.739545160367129</v>
      </c>
      <c r="I254">
        <v>50.4</v>
      </c>
      <c r="J254">
        <v>108.9</v>
      </c>
      <c r="K254">
        <v>55.739545160367129</v>
      </c>
      <c r="L254">
        <v>50.4</v>
      </c>
    </row>
    <row r="255" spans="1:12" x14ac:dyDescent="0.35">
      <c r="A255">
        <v>12490</v>
      </c>
      <c r="B255">
        <v>54.471260686424074</v>
      </c>
      <c r="C255">
        <v>50.5</v>
      </c>
      <c r="D255">
        <v>5</v>
      </c>
      <c r="E255">
        <v>54.471260686424074</v>
      </c>
      <c r="F255">
        <v>50.5</v>
      </c>
      <c r="G255">
        <v>26.5</v>
      </c>
      <c r="H255">
        <v>54.471260686424074</v>
      </c>
      <c r="I255">
        <v>50.5</v>
      </c>
      <c r="J255">
        <v>107.6</v>
      </c>
      <c r="K255">
        <v>54.471260686424074</v>
      </c>
      <c r="L255">
        <v>50.5</v>
      </c>
    </row>
    <row r="256" spans="1:12" x14ac:dyDescent="0.35">
      <c r="A256">
        <v>631</v>
      </c>
      <c r="B256">
        <v>44.436224919282083</v>
      </c>
      <c r="C256">
        <v>50.5</v>
      </c>
      <c r="D256">
        <v>6.3</v>
      </c>
      <c r="E256">
        <v>44.436224919282083</v>
      </c>
      <c r="F256">
        <v>50.5</v>
      </c>
      <c r="G256">
        <v>21.4</v>
      </c>
      <c r="H256">
        <v>44.436224919282083</v>
      </c>
      <c r="I256">
        <v>50.5</v>
      </c>
      <c r="J256">
        <v>307.2</v>
      </c>
      <c r="K256">
        <v>44.436224919282083</v>
      </c>
      <c r="L256">
        <v>50.5</v>
      </c>
    </row>
    <row r="257" spans="1:12" x14ac:dyDescent="0.35">
      <c r="A257">
        <v>4109</v>
      </c>
      <c r="B257">
        <v>51.255096891406417</v>
      </c>
      <c r="C257">
        <v>50.5</v>
      </c>
      <c r="D257">
        <v>7.7</v>
      </c>
      <c r="E257">
        <v>51.255096891406417</v>
      </c>
      <c r="F257">
        <v>50.5</v>
      </c>
      <c r="G257">
        <v>24.3</v>
      </c>
      <c r="H257">
        <v>51.255096891406417</v>
      </c>
      <c r="I257">
        <v>50.5</v>
      </c>
      <c r="J257">
        <v>199.1</v>
      </c>
      <c r="K257">
        <v>51.255096891406417</v>
      </c>
      <c r="L257">
        <v>50.5</v>
      </c>
    </row>
    <row r="258" spans="1:12" x14ac:dyDescent="0.35">
      <c r="A258">
        <v>1257</v>
      </c>
      <c r="B258">
        <v>54.713894277059168</v>
      </c>
      <c r="C258">
        <v>50.6</v>
      </c>
      <c r="D258">
        <v>7.2</v>
      </c>
      <c r="E258">
        <v>54.713894277059168</v>
      </c>
      <c r="F258">
        <v>50.6</v>
      </c>
      <c r="G258">
        <v>18.100000000000001</v>
      </c>
      <c r="H258">
        <v>54.713894277059168</v>
      </c>
      <c r="I258">
        <v>50.6</v>
      </c>
      <c r="J258">
        <v>50</v>
      </c>
      <c r="K258">
        <v>54.713894277059168</v>
      </c>
      <c r="L258">
        <v>50.6</v>
      </c>
    </row>
    <row r="259" spans="1:12" x14ac:dyDescent="0.35">
      <c r="A259">
        <v>2052</v>
      </c>
      <c r="B259">
        <v>44.985530780085597</v>
      </c>
      <c r="C259">
        <v>50.6</v>
      </c>
      <c r="D259">
        <v>9.6999999999999993</v>
      </c>
      <c r="E259">
        <v>44.985530780085597</v>
      </c>
      <c r="F259">
        <v>50.6</v>
      </c>
      <c r="G259">
        <v>25.9</v>
      </c>
      <c r="H259">
        <v>44.985530780085597</v>
      </c>
      <c r="I259">
        <v>50.6</v>
      </c>
      <c r="J259">
        <v>396.3</v>
      </c>
      <c r="K259">
        <v>44.985530780085597</v>
      </c>
      <c r="L259">
        <v>50.6</v>
      </c>
    </row>
    <row r="260" spans="1:12" x14ac:dyDescent="0.35">
      <c r="A260">
        <v>711</v>
      </c>
      <c r="B260">
        <v>52.432807758058004</v>
      </c>
      <c r="C260">
        <v>50.7</v>
      </c>
      <c r="D260">
        <v>3.2</v>
      </c>
      <c r="E260">
        <v>52.432807758058004</v>
      </c>
      <c r="F260">
        <v>50.7</v>
      </c>
      <c r="G260">
        <v>25.6</v>
      </c>
      <c r="H260">
        <v>52.432807758058004</v>
      </c>
      <c r="I260">
        <v>50.7</v>
      </c>
      <c r="J260">
        <v>89.5</v>
      </c>
      <c r="K260">
        <v>52.432807758058004</v>
      </c>
      <c r="L260">
        <v>50.7</v>
      </c>
    </row>
    <row r="261" spans="1:12" x14ac:dyDescent="0.35">
      <c r="A261">
        <v>589</v>
      </c>
      <c r="B261">
        <v>58.208714930962174</v>
      </c>
      <c r="C261">
        <v>50.9</v>
      </c>
      <c r="D261">
        <v>13.1</v>
      </c>
      <c r="E261">
        <v>58.208714930962174</v>
      </c>
      <c r="F261">
        <v>50.9</v>
      </c>
      <c r="G261">
        <v>27.6</v>
      </c>
      <c r="H261">
        <v>58.208714930962174</v>
      </c>
      <c r="I261">
        <v>50.9</v>
      </c>
      <c r="J261">
        <v>149.4</v>
      </c>
      <c r="K261">
        <v>58.208714930962174</v>
      </c>
      <c r="L261">
        <v>50.9</v>
      </c>
    </row>
    <row r="262" spans="1:12" x14ac:dyDescent="0.35">
      <c r="A262">
        <v>819</v>
      </c>
      <c r="B262">
        <v>60.917800601182336</v>
      </c>
      <c r="C262">
        <v>50.9</v>
      </c>
      <c r="D262">
        <v>12.6</v>
      </c>
      <c r="E262">
        <v>60.917800601182336</v>
      </c>
      <c r="F262">
        <v>50.9</v>
      </c>
      <c r="G262">
        <v>26.6</v>
      </c>
      <c r="H262">
        <v>60.917800601182336</v>
      </c>
      <c r="I262">
        <v>50.9</v>
      </c>
      <c r="J262">
        <v>67</v>
      </c>
      <c r="K262">
        <v>60.917800601182336</v>
      </c>
      <c r="L262">
        <v>50.9</v>
      </c>
    </row>
    <row r="263" spans="1:12" x14ac:dyDescent="0.35">
      <c r="A263">
        <v>375</v>
      </c>
      <c r="B263">
        <v>61.546833219584613</v>
      </c>
      <c r="C263">
        <v>51.3</v>
      </c>
      <c r="D263">
        <v>10.8</v>
      </c>
      <c r="E263">
        <v>61.546833219584613</v>
      </c>
      <c r="F263">
        <v>51.3</v>
      </c>
      <c r="G263">
        <v>30.7</v>
      </c>
      <c r="H263">
        <v>61.546833219584613</v>
      </c>
      <c r="I263">
        <v>51.3</v>
      </c>
      <c r="J263">
        <v>50</v>
      </c>
      <c r="K263">
        <v>61.546833219584613</v>
      </c>
      <c r="L263">
        <v>51.3</v>
      </c>
    </row>
    <row r="264" spans="1:12" x14ac:dyDescent="0.35">
      <c r="A264">
        <v>1436</v>
      </c>
      <c r="B264">
        <v>51.091713970726431</v>
      </c>
      <c r="C264">
        <v>51.4</v>
      </c>
      <c r="D264">
        <v>6.2</v>
      </c>
      <c r="E264">
        <v>51.091713970726431</v>
      </c>
      <c r="F264">
        <v>51.4</v>
      </c>
      <c r="G264">
        <v>22.4</v>
      </c>
      <c r="H264">
        <v>51.091713970726431</v>
      </c>
      <c r="I264">
        <v>51.4</v>
      </c>
      <c r="J264">
        <v>153.9</v>
      </c>
      <c r="K264">
        <v>51.091713970726431</v>
      </c>
      <c r="L264">
        <v>51.4</v>
      </c>
    </row>
    <row r="265" spans="1:12" x14ac:dyDescent="0.35">
      <c r="A265">
        <v>2765</v>
      </c>
      <c r="B265">
        <v>54.091796146414531</v>
      </c>
      <c r="C265">
        <v>51.5</v>
      </c>
      <c r="D265">
        <v>7.3</v>
      </c>
      <c r="E265">
        <v>54.091796146414531</v>
      </c>
      <c r="F265">
        <v>51.5</v>
      </c>
      <c r="G265">
        <v>22.3</v>
      </c>
      <c r="H265">
        <v>54.091796146414531</v>
      </c>
      <c r="I265">
        <v>51.5</v>
      </c>
      <c r="J265">
        <v>103.9</v>
      </c>
      <c r="K265">
        <v>54.091796146414531</v>
      </c>
      <c r="L265">
        <v>51.5</v>
      </c>
    </row>
    <row r="266" spans="1:12" x14ac:dyDescent="0.35">
      <c r="A266">
        <v>688</v>
      </c>
      <c r="B266">
        <v>58.536538638022755</v>
      </c>
      <c r="C266">
        <v>51.5</v>
      </c>
      <c r="D266">
        <v>8.3000000000000007</v>
      </c>
      <c r="E266">
        <v>58.536538638022755</v>
      </c>
      <c r="F266">
        <v>51.5</v>
      </c>
      <c r="G266">
        <v>27.3</v>
      </c>
      <c r="H266">
        <v>58.536538638022755</v>
      </c>
      <c r="I266">
        <v>51.5</v>
      </c>
      <c r="J266">
        <v>50</v>
      </c>
      <c r="K266">
        <v>58.536538638022755</v>
      </c>
      <c r="L266">
        <v>51.5</v>
      </c>
    </row>
    <row r="267" spans="1:12" x14ac:dyDescent="0.35">
      <c r="A267">
        <v>7016</v>
      </c>
      <c r="B267">
        <v>54.597814008194035</v>
      </c>
      <c r="C267">
        <v>51.6</v>
      </c>
      <c r="D267">
        <v>5.7</v>
      </c>
      <c r="E267">
        <v>54.597814008194035</v>
      </c>
      <c r="F267">
        <v>51.6</v>
      </c>
      <c r="G267">
        <v>19.600000000000001</v>
      </c>
      <c r="H267">
        <v>54.597814008194035</v>
      </c>
      <c r="I267">
        <v>51.6</v>
      </c>
      <c r="J267">
        <v>50</v>
      </c>
      <c r="K267">
        <v>54.597814008194035</v>
      </c>
      <c r="L267">
        <v>51.6</v>
      </c>
    </row>
    <row r="268" spans="1:12" x14ac:dyDescent="0.35">
      <c r="A268">
        <v>768</v>
      </c>
      <c r="B268">
        <v>53.458397765045397</v>
      </c>
      <c r="C268">
        <v>51.6</v>
      </c>
      <c r="D268">
        <v>9.9</v>
      </c>
      <c r="E268">
        <v>53.458397765045397</v>
      </c>
      <c r="F268">
        <v>51.6</v>
      </c>
      <c r="G268">
        <v>20</v>
      </c>
      <c r="H268">
        <v>53.458397765045397</v>
      </c>
      <c r="I268">
        <v>51.6</v>
      </c>
      <c r="J268">
        <v>144.69999999999999</v>
      </c>
      <c r="K268">
        <v>53.458397765045397</v>
      </c>
      <c r="L268">
        <v>51.6</v>
      </c>
    </row>
    <row r="269" spans="1:12" x14ac:dyDescent="0.35">
      <c r="A269">
        <v>3201</v>
      </c>
      <c r="B269">
        <v>47.943257200539698</v>
      </c>
      <c r="C269">
        <v>51.6</v>
      </c>
      <c r="D269">
        <v>5.4</v>
      </c>
      <c r="E269">
        <v>47.943257200539698</v>
      </c>
      <c r="F269">
        <v>51.6</v>
      </c>
      <c r="G269">
        <v>23.8</v>
      </c>
      <c r="H269">
        <v>47.943257200539698</v>
      </c>
      <c r="I269">
        <v>51.6</v>
      </c>
      <c r="J269">
        <v>230.5</v>
      </c>
      <c r="K269">
        <v>47.943257200539698</v>
      </c>
      <c r="L269">
        <v>51.6</v>
      </c>
    </row>
    <row r="270" spans="1:12" x14ac:dyDescent="0.35">
      <c r="A270">
        <v>548</v>
      </c>
      <c r="B270">
        <v>60.180480198076893</v>
      </c>
      <c r="C270">
        <v>51.7</v>
      </c>
      <c r="D270">
        <v>9.6</v>
      </c>
      <c r="E270">
        <v>60.180480198076893</v>
      </c>
      <c r="F270">
        <v>51.7</v>
      </c>
      <c r="G270">
        <v>29.3</v>
      </c>
      <c r="H270">
        <v>60.180480198076893</v>
      </c>
      <c r="I270">
        <v>51.7</v>
      </c>
      <c r="J270">
        <v>50</v>
      </c>
      <c r="K270">
        <v>60.180480198076893</v>
      </c>
      <c r="L270">
        <v>51.7</v>
      </c>
    </row>
    <row r="271" spans="1:12" x14ac:dyDescent="0.35">
      <c r="A271">
        <v>2198</v>
      </c>
      <c r="B271">
        <v>53.529552688108801</v>
      </c>
      <c r="C271">
        <v>51.8</v>
      </c>
      <c r="D271">
        <v>9.1</v>
      </c>
      <c r="E271">
        <v>53.529552688108801</v>
      </c>
      <c r="F271">
        <v>51.8</v>
      </c>
      <c r="G271">
        <v>23.2</v>
      </c>
      <c r="H271">
        <v>53.529552688108801</v>
      </c>
      <c r="I271">
        <v>51.8</v>
      </c>
      <c r="J271">
        <v>156.9</v>
      </c>
      <c r="K271">
        <v>53.529552688108801</v>
      </c>
      <c r="L271">
        <v>51.8</v>
      </c>
    </row>
    <row r="272" spans="1:12" x14ac:dyDescent="0.35">
      <c r="A272">
        <v>4366</v>
      </c>
      <c r="B272">
        <v>55.74865405291834</v>
      </c>
      <c r="C272">
        <v>52.1</v>
      </c>
      <c r="D272">
        <v>9</v>
      </c>
      <c r="E272">
        <v>55.74865405291834</v>
      </c>
      <c r="F272">
        <v>52.1</v>
      </c>
      <c r="G272">
        <v>23.8</v>
      </c>
      <c r="H272">
        <v>55.74865405291834</v>
      </c>
      <c r="I272">
        <v>52.1</v>
      </c>
      <c r="J272">
        <v>111</v>
      </c>
      <c r="K272">
        <v>55.74865405291834</v>
      </c>
      <c r="L272">
        <v>52.1</v>
      </c>
    </row>
    <row r="273" spans="1:12" x14ac:dyDescent="0.35">
      <c r="A273">
        <v>1585</v>
      </c>
      <c r="B273">
        <v>53.362664305425639</v>
      </c>
      <c r="C273">
        <v>52.3</v>
      </c>
      <c r="D273">
        <v>8.9</v>
      </c>
      <c r="E273">
        <v>53.362664305425639</v>
      </c>
      <c r="F273">
        <v>52.3</v>
      </c>
      <c r="G273">
        <v>31.2</v>
      </c>
      <c r="H273">
        <v>53.362664305425639</v>
      </c>
      <c r="I273">
        <v>52.3</v>
      </c>
      <c r="J273">
        <v>219.7</v>
      </c>
      <c r="K273">
        <v>53.362664305425639</v>
      </c>
      <c r="L273">
        <v>52.3</v>
      </c>
    </row>
    <row r="274" spans="1:12" x14ac:dyDescent="0.35">
      <c r="A274">
        <v>1616</v>
      </c>
      <c r="B274">
        <v>51.96379066909784</v>
      </c>
      <c r="C274">
        <v>52.3</v>
      </c>
      <c r="D274">
        <v>1.9</v>
      </c>
      <c r="E274">
        <v>51.96379066909784</v>
      </c>
      <c r="F274">
        <v>52.3</v>
      </c>
      <c r="G274">
        <v>22</v>
      </c>
      <c r="H274">
        <v>51.96379066909784</v>
      </c>
      <c r="I274">
        <v>52.3</v>
      </c>
      <c r="J274">
        <v>50</v>
      </c>
      <c r="K274">
        <v>51.96379066909784</v>
      </c>
      <c r="L274">
        <v>52.3</v>
      </c>
    </row>
    <row r="275" spans="1:12" x14ac:dyDescent="0.35">
      <c r="A275">
        <v>36852</v>
      </c>
      <c r="B275">
        <v>54.616338698267825</v>
      </c>
      <c r="C275">
        <v>52.4</v>
      </c>
      <c r="D275">
        <v>9</v>
      </c>
      <c r="E275">
        <v>54.616338698267825</v>
      </c>
      <c r="F275">
        <v>52.4</v>
      </c>
      <c r="G275">
        <v>24.3</v>
      </c>
      <c r="H275">
        <v>54.616338698267825</v>
      </c>
      <c r="I275">
        <v>52.4</v>
      </c>
      <c r="J275">
        <v>216.4</v>
      </c>
      <c r="K275">
        <v>54.616338698267825</v>
      </c>
      <c r="L275">
        <v>52.4</v>
      </c>
    </row>
    <row r="276" spans="1:12" x14ac:dyDescent="0.35">
      <c r="A276">
        <v>9474</v>
      </c>
      <c r="B276">
        <v>50.870640199642942</v>
      </c>
      <c r="C276">
        <v>52.5</v>
      </c>
      <c r="D276">
        <v>3.6</v>
      </c>
      <c r="E276">
        <v>50.870640199642942</v>
      </c>
      <c r="F276">
        <v>52.5</v>
      </c>
      <c r="G276">
        <v>28.4</v>
      </c>
      <c r="H276">
        <v>50.870640199642942</v>
      </c>
      <c r="I276">
        <v>52.5</v>
      </c>
      <c r="J276">
        <v>177.1</v>
      </c>
      <c r="K276">
        <v>50.870640199642942</v>
      </c>
      <c r="L276">
        <v>52.5</v>
      </c>
    </row>
    <row r="277" spans="1:12" x14ac:dyDescent="0.35">
      <c r="A277">
        <v>60000</v>
      </c>
      <c r="B277">
        <v>61.124468200285229</v>
      </c>
      <c r="C277">
        <v>52.5</v>
      </c>
      <c r="D277">
        <v>8.5</v>
      </c>
      <c r="E277">
        <v>61.124468200285229</v>
      </c>
      <c r="F277">
        <v>52.5</v>
      </c>
      <c r="G277">
        <v>25.7</v>
      </c>
      <c r="H277">
        <v>61.124468200285229</v>
      </c>
      <c r="I277">
        <v>52.5</v>
      </c>
      <c r="J277">
        <v>113.3</v>
      </c>
      <c r="K277">
        <v>61.124468200285229</v>
      </c>
      <c r="L277">
        <v>52.5</v>
      </c>
    </row>
    <row r="278" spans="1:12" x14ac:dyDescent="0.35">
      <c r="A278">
        <v>825</v>
      </c>
      <c r="B278">
        <v>51.54540863621984</v>
      </c>
      <c r="C278">
        <v>52.6</v>
      </c>
      <c r="D278">
        <v>8.1999999999999993</v>
      </c>
      <c r="E278">
        <v>51.54540863621984</v>
      </c>
      <c r="F278">
        <v>52.6</v>
      </c>
      <c r="G278">
        <v>23.6</v>
      </c>
      <c r="H278">
        <v>51.54540863621984</v>
      </c>
      <c r="I278">
        <v>52.6</v>
      </c>
      <c r="J278">
        <v>188.3</v>
      </c>
      <c r="K278">
        <v>51.54540863621984</v>
      </c>
      <c r="L278">
        <v>52.6</v>
      </c>
    </row>
    <row r="279" spans="1:12" x14ac:dyDescent="0.35">
      <c r="A279">
        <v>1387</v>
      </c>
      <c r="B279">
        <v>53.38212383064063</v>
      </c>
      <c r="C279">
        <v>52.7</v>
      </c>
      <c r="D279">
        <v>7.2</v>
      </c>
      <c r="E279">
        <v>53.38212383064063</v>
      </c>
      <c r="F279">
        <v>52.7</v>
      </c>
      <c r="G279">
        <v>22.1</v>
      </c>
      <c r="H279">
        <v>53.38212383064063</v>
      </c>
      <c r="I279">
        <v>52.7</v>
      </c>
      <c r="J279">
        <v>114.5</v>
      </c>
      <c r="K279">
        <v>53.38212383064063</v>
      </c>
      <c r="L279">
        <v>52.7</v>
      </c>
    </row>
    <row r="280" spans="1:12" x14ac:dyDescent="0.35">
      <c r="A280">
        <v>748</v>
      </c>
      <c r="B280">
        <v>55.407725420527221</v>
      </c>
      <c r="C280">
        <v>53</v>
      </c>
      <c r="D280">
        <v>10.6</v>
      </c>
      <c r="E280">
        <v>55.407725420527221</v>
      </c>
      <c r="F280">
        <v>53</v>
      </c>
      <c r="G280">
        <v>29.1</v>
      </c>
      <c r="H280">
        <v>55.407725420527221</v>
      </c>
      <c r="I280">
        <v>53</v>
      </c>
      <c r="J280">
        <v>183.1</v>
      </c>
      <c r="K280">
        <v>55.407725420527221</v>
      </c>
      <c r="L280">
        <v>53</v>
      </c>
    </row>
    <row r="281" spans="1:12" x14ac:dyDescent="0.35">
      <c r="A281">
        <v>461</v>
      </c>
      <c r="B281">
        <v>48.655040989038817</v>
      </c>
      <c r="C281">
        <v>53</v>
      </c>
      <c r="D281">
        <v>2.7</v>
      </c>
      <c r="E281">
        <v>48.655040989038817</v>
      </c>
      <c r="F281">
        <v>53</v>
      </c>
      <c r="G281">
        <v>29.5</v>
      </c>
      <c r="H281">
        <v>48.655040989038817</v>
      </c>
      <c r="I281">
        <v>53</v>
      </c>
      <c r="J281">
        <v>202.3</v>
      </c>
      <c r="K281">
        <v>48.655040989038817</v>
      </c>
      <c r="L281">
        <v>53</v>
      </c>
    </row>
    <row r="282" spans="1:12" x14ac:dyDescent="0.35">
      <c r="A282">
        <v>551</v>
      </c>
      <c r="B282">
        <v>58.550922545730671</v>
      </c>
      <c r="C282">
        <v>53.1</v>
      </c>
      <c r="D282">
        <v>15</v>
      </c>
      <c r="E282">
        <v>58.550922545730671</v>
      </c>
      <c r="F282">
        <v>53.1</v>
      </c>
      <c r="G282">
        <v>25.4</v>
      </c>
      <c r="H282">
        <v>58.550922545730671</v>
      </c>
      <c r="I282">
        <v>53.1</v>
      </c>
      <c r="J282">
        <v>158.80000000000001</v>
      </c>
      <c r="K282">
        <v>58.550922545730671</v>
      </c>
      <c r="L282">
        <v>53.1</v>
      </c>
    </row>
    <row r="283" spans="1:12" x14ac:dyDescent="0.35">
      <c r="A283">
        <v>4171</v>
      </c>
      <c r="B283">
        <v>46.151518084016637</v>
      </c>
      <c r="C283">
        <v>53.3</v>
      </c>
      <c r="D283">
        <v>5.6</v>
      </c>
      <c r="E283">
        <v>46.151518084016637</v>
      </c>
      <c r="F283">
        <v>53.3</v>
      </c>
      <c r="G283">
        <v>26.4</v>
      </c>
      <c r="H283">
        <v>46.151518084016637</v>
      </c>
      <c r="I283">
        <v>53.3</v>
      </c>
      <c r="J283">
        <v>300.60000000000002</v>
      </c>
      <c r="K283">
        <v>46.151518084016637</v>
      </c>
      <c r="L283">
        <v>53.3</v>
      </c>
    </row>
    <row r="284" spans="1:12" x14ac:dyDescent="0.35">
      <c r="A284">
        <v>1385</v>
      </c>
      <c r="B284">
        <v>50.865829258781773</v>
      </c>
      <c r="C284">
        <v>53.4</v>
      </c>
      <c r="D284">
        <v>5</v>
      </c>
      <c r="E284">
        <v>50.865829258781773</v>
      </c>
      <c r="F284">
        <v>53.4</v>
      </c>
      <c r="G284">
        <v>24.6</v>
      </c>
      <c r="H284">
        <v>50.865829258781773</v>
      </c>
      <c r="I284">
        <v>53.4</v>
      </c>
      <c r="J284">
        <v>154.5</v>
      </c>
      <c r="K284">
        <v>50.865829258781773</v>
      </c>
      <c r="L284">
        <v>53.4</v>
      </c>
    </row>
    <row r="285" spans="1:12" x14ac:dyDescent="0.35">
      <c r="A285">
        <v>29564</v>
      </c>
      <c r="B285">
        <v>58.665672266092422</v>
      </c>
      <c r="C285">
        <v>53.5</v>
      </c>
      <c r="D285">
        <v>7.5</v>
      </c>
      <c r="E285">
        <v>58.665672266092422</v>
      </c>
      <c r="F285">
        <v>53.5</v>
      </c>
      <c r="G285">
        <v>23.7</v>
      </c>
      <c r="H285">
        <v>58.665672266092422</v>
      </c>
      <c r="I285">
        <v>53.5</v>
      </c>
      <c r="J285">
        <v>69</v>
      </c>
      <c r="K285">
        <v>58.665672266092422</v>
      </c>
      <c r="L285">
        <v>53.5</v>
      </c>
    </row>
    <row r="286" spans="1:12" x14ac:dyDescent="0.35">
      <c r="A286">
        <v>3328</v>
      </c>
      <c r="B286">
        <v>50.500101543720191</v>
      </c>
      <c r="C286">
        <v>53.6</v>
      </c>
      <c r="D286">
        <v>4.0999999999999996</v>
      </c>
      <c r="E286">
        <v>50.500101543720191</v>
      </c>
      <c r="F286">
        <v>53.6</v>
      </c>
      <c r="G286">
        <v>21.1</v>
      </c>
      <c r="H286">
        <v>50.500101543720191</v>
      </c>
      <c r="I286">
        <v>53.6</v>
      </c>
      <c r="J286">
        <v>123.1</v>
      </c>
      <c r="K286">
        <v>50.500101543720191</v>
      </c>
      <c r="L286">
        <v>53.6</v>
      </c>
    </row>
    <row r="287" spans="1:12" x14ac:dyDescent="0.35">
      <c r="A287">
        <v>313</v>
      </c>
      <c r="B287">
        <v>56.712041385416299</v>
      </c>
      <c r="C287">
        <v>53.6</v>
      </c>
      <c r="D287">
        <v>7.3</v>
      </c>
      <c r="E287">
        <v>56.712041385416299</v>
      </c>
      <c r="F287">
        <v>53.6</v>
      </c>
      <c r="G287">
        <v>24.2</v>
      </c>
      <c r="H287">
        <v>56.712041385416299</v>
      </c>
      <c r="I287">
        <v>53.6</v>
      </c>
      <c r="J287">
        <v>50</v>
      </c>
      <c r="K287">
        <v>56.712041385416299</v>
      </c>
      <c r="L287">
        <v>53.6</v>
      </c>
    </row>
    <row r="288" spans="1:12" x14ac:dyDescent="0.35">
      <c r="A288">
        <v>8470</v>
      </c>
      <c r="B288">
        <v>60.382683863106372</v>
      </c>
      <c r="C288">
        <v>54.1</v>
      </c>
      <c r="D288">
        <v>13.5</v>
      </c>
      <c r="E288">
        <v>60.382683863106372</v>
      </c>
      <c r="F288">
        <v>54.1</v>
      </c>
      <c r="G288">
        <v>28.4</v>
      </c>
      <c r="H288">
        <v>60.382683863106372</v>
      </c>
      <c r="I288">
        <v>54.1</v>
      </c>
      <c r="J288">
        <v>128.5</v>
      </c>
      <c r="K288">
        <v>60.382683863106372</v>
      </c>
      <c r="L288">
        <v>54.1</v>
      </c>
    </row>
    <row r="289" spans="1:12" x14ac:dyDescent="0.35">
      <c r="A289">
        <v>3258</v>
      </c>
      <c r="B289">
        <v>52.977529703947496</v>
      </c>
      <c r="C289">
        <v>54.2</v>
      </c>
      <c r="D289">
        <v>8</v>
      </c>
      <c r="E289">
        <v>52.977529703947496</v>
      </c>
      <c r="F289">
        <v>54.2</v>
      </c>
      <c r="G289">
        <v>24.9</v>
      </c>
      <c r="H289">
        <v>52.977529703947496</v>
      </c>
      <c r="I289">
        <v>54.2</v>
      </c>
      <c r="J289">
        <v>165.8</v>
      </c>
      <c r="K289">
        <v>52.977529703947496</v>
      </c>
      <c r="L289">
        <v>54.2</v>
      </c>
    </row>
    <row r="290" spans="1:12" x14ac:dyDescent="0.35">
      <c r="A290">
        <v>1313</v>
      </c>
      <c r="B290">
        <v>55.228322507206869</v>
      </c>
      <c r="C290">
        <v>54.5</v>
      </c>
      <c r="D290">
        <v>7.9</v>
      </c>
      <c r="E290">
        <v>55.228322507206869</v>
      </c>
      <c r="F290">
        <v>54.5</v>
      </c>
      <c r="G290">
        <v>23.4</v>
      </c>
      <c r="H290">
        <v>55.228322507206869</v>
      </c>
      <c r="I290">
        <v>54.5</v>
      </c>
      <c r="J290">
        <v>93</v>
      </c>
      <c r="K290">
        <v>55.228322507206869</v>
      </c>
      <c r="L290">
        <v>54.5</v>
      </c>
    </row>
    <row r="291" spans="1:12" x14ac:dyDescent="0.35">
      <c r="A291">
        <v>28452</v>
      </c>
      <c r="B291">
        <v>47.628757158848977</v>
      </c>
      <c r="C291">
        <v>54.6</v>
      </c>
      <c r="D291">
        <v>1</v>
      </c>
      <c r="E291">
        <v>47.628757158848977</v>
      </c>
      <c r="F291">
        <v>54.6</v>
      </c>
      <c r="G291">
        <v>28.3</v>
      </c>
      <c r="H291">
        <v>47.628757158848977</v>
      </c>
      <c r="I291">
        <v>54.6</v>
      </c>
      <c r="J291">
        <v>249.7</v>
      </c>
      <c r="K291">
        <v>47.628757158848977</v>
      </c>
      <c r="L291">
        <v>54.6</v>
      </c>
    </row>
    <row r="292" spans="1:12" x14ac:dyDescent="0.35">
      <c r="A292">
        <v>1708</v>
      </c>
      <c r="B292">
        <v>53.199542387318132</v>
      </c>
      <c r="C292">
        <v>54.6</v>
      </c>
      <c r="D292">
        <v>3.8</v>
      </c>
      <c r="E292">
        <v>53.199542387318132</v>
      </c>
      <c r="F292">
        <v>54.6</v>
      </c>
      <c r="G292">
        <v>22.7</v>
      </c>
      <c r="H292">
        <v>53.199542387318132</v>
      </c>
      <c r="I292">
        <v>54.6</v>
      </c>
      <c r="J292">
        <v>61.2</v>
      </c>
      <c r="K292">
        <v>53.199542387318132</v>
      </c>
      <c r="L292">
        <v>54.6</v>
      </c>
    </row>
    <row r="293" spans="1:12" x14ac:dyDescent="0.35">
      <c r="A293">
        <v>20077</v>
      </c>
      <c r="B293">
        <v>57.545328173779211</v>
      </c>
      <c r="C293">
        <v>54.7</v>
      </c>
      <c r="D293">
        <v>10.199999999999999</v>
      </c>
      <c r="E293">
        <v>57.545328173779211</v>
      </c>
      <c r="F293">
        <v>54.7</v>
      </c>
      <c r="G293">
        <v>21.6</v>
      </c>
      <c r="H293">
        <v>57.545328173779211</v>
      </c>
      <c r="I293">
        <v>54.7</v>
      </c>
      <c r="J293">
        <v>108</v>
      </c>
      <c r="K293">
        <v>57.545328173779211</v>
      </c>
      <c r="L293">
        <v>54.7</v>
      </c>
    </row>
    <row r="294" spans="1:12" x14ac:dyDescent="0.35">
      <c r="A294">
        <v>8686</v>
      </c>
      <c r="B294">
        <v>50.924417444221675</v>
      </c>
      <c r="C294">
        <v>54.7</v>
      </c>
      <c r="D294">
        <v>7.3</v>
      </c>
      <c r="E294">
        <v>50.924417444221675</v>
      </c>
      <c r="F294">
        <v>54.7</v>
      </c>
      <c r="G294">
        <v>23.9</v>
      </c>
      <c r="H294">
        <v>50.924417444221675</v>
      </c>
      <c r="I294">
        <v>54.7</v>
      </c>
      <c r="J294">
        <v>206.9</v>
      </c>
      <c r="K294">
        <v>50.924417444221675</v>
      </c>
      <c r="L294">
        <v>54.7</v>
      </c>
    </row>
    <row r="295" spans="1:12" x14ac:dyDescent="0.35">
      <c r="A295">
        <v>16966</v>
      </c>
      <c r="B295">
        <v>51.130951331987937</v>
      </c>
      <c r="C295">
        <v>54.8</v>
      </c>
      <c r="D295">
        <v>4.8</v>
      </c>
      <c r="E295">
        <v>51.130951331987937</v>
      </c>
      <c r="F295">
        <v>54.8</v>
      </c>
      <c r="G295">
        <v>26.8</v>
      </c>
      <c r="H295">
        <v>51.130951331987937</v>
      </c>
      <c r="I295">
        <v>54.8</v>
      </c>
      <c r="J295">
        <v>197.4</v>
      </c>
      <c r="K295">
        <v>51.130951331987937</v>
      </c>
      <c r="L295">
        <v>54.8</v>
      </c>
    </row>
    <row r="296" spans="1:12" x14ac:dyDescent="0.35">
      <c r="A296">
        <v>456</v>
      </c>
      <c r="B296">
        <v>57.076386031183901</v>
      </c>
      <c r="C296">
        <v>54.9</v>
      </c>
      <c r="D296">
        <v>10.8</v>
      </c>
      <c r="E296">
        <v>57.076386031183901</v>
      </c>
      <c r="F296">
        <v>54.9</v>
      </c>
      <c r="G296">
        <v>24.4</v>
      </c>
      <c r="H296">
        <v>57.076386031183901</v>
      </c>
      <c r="I296">
        <v>54.9</v>
      </c>
      <c r="J296">
        <v>108.2</v>
      </c>
      <c r="K296">
        <v>57.076386031183901</v>
      </c>
      <c r="L296">
        <v>54.9</v>
      </c>
    </row>
    <row r="297" spans="1:12" x14ac:dyDescent="0.35">
      <c r="A297">
        <v>360</v>
      </c>
      <c r="B297">
        <v>54.502288150800169</v>
      </c>
      <c r="C297">
        <v>55.1</v>
      </c>
      <c r="D297">
        <v>3.3</v>
      </c>
      <c r="E297">
        <v>54.502288150800169</v>
      </c>
      <c r="F297">
        <v>55.1</v>
      </c>
      <c r="G297">
        <v>26.8</v>
      </c>
      <c r="H297">
        <v>54.502288150800169</v>
      </c>
      <c r="I297">
        <v>55.1</v>
      </c>
      <c r="J297">
        <v>50</v>
      </c>
      <c r="K297">
        <v>54.502288150800169</v>
      </c>
      <c r="L297">
        <v>55.1</v>
      </c>
    </row>
    <row r="298" spans="1:12" x14ac:dyDescent="0.35">
      <c r="A298">
        <v>37975</v>
      </c>
      <c r="B298">
        <v>59.086577622186219</v>
      </c>
      <c r="C298">
        <v>55.3</v>
      </c>
      <c r="D298">
        <v>8.6</v>
      </c>
      <c r="E298">
        <v>59.086577622186219</v>
      </c>
      <c r="F298">
        <v>55.3</v>
      </c>
      <c r="G298">
        <v>24.7</v>
      </c>
      <c r="H298">
        <v>59.086577622186219</v>
      </c>
      <c r="I298">
        <v>55.3</v>
      </c>
      <c r="J298">
        <v>106.4</v>
      </c>
      <c r="K298">
        <v>59.086577622186219</v>
      </c>
      <c r="L298">
        <v>55.3</v>
      </c>
    </row>
    <row r="299" spans="1:12" x14ac:dyDescent="0.35">
      <c r="A299">
        <v>15599</v>
      </c>
      <c r="B299">
        <v>56.418515587238915</v>
      </c>
      <c r="C299">
        <v>55.5</v>
      </c>
      <c r="D299">
        <v>8.3000000000000007</v>
      </c>
      <c r="E299">
        <v>56.418515587238915</v>
      </c>
      <c r="F299">
        <v>55.5</v>
      </c>
      <c r="G299">
        <v>25.5</v>
      </c>
      <c r="H299">
        <v>56.418515587238915</v>
      </c>
      <c r="I299">
        <v>55.5</v>
      </c>
      <c r="J299">
        <v>120.9</v>
      </c>
      <c r="K299">
        <v>56.418515587238915</v>
      </c>
      <c r="L299">
        <v>55.5</v>
      </c>
    </row>
    <row r="300" spans="1:12" x14ac:dyDescent="0.35">
      <c r="A300">
        <v>300</v>
      </c>
      <c r="B300">
        <v>50.47318038579175</v>
      </c>
      <c r="C300">
        <v>55.5</v>
      </c>
      <c r="D300">
        <v>4</v>
      </c>
      <c r="E300">
        <v>50.47318038579175</v>
      </c>
      <c r="F300">
        <v>55.5</v>
      </c>
      <c r="G300">
        <v>27.2</v>
      </c>
      <c r="H300">
        <v>50.47318038579175</v>
      </c>
      <c r="I300">
        <v>55.5</v>
      </c>
      <c r="J300">
        <v>163.69999999999999</v>
      </c>
      <c r="K300">
        <v>50.47318038579175</v>
      </c>
      <c r="L300">
        <v>55.5</v>
      </c>
    </row>
    <row r="301" spans="1:12" x14ac:dyDescent="0.35">
      <c r="A301">
        <v>5021</v>
      </c>
      <c r="B301">
        <v>51.194021381012448</v>
      </c>
      <c r="C301">
        <v>55.6</v>
      </c>
      <c r="D301">
        <v>6.4</v>
      </c>
      <c r="E301">
        <v>51.194021381012448</v>
      </c>
      <c r="F301">
        <v>55.6</v>
      </c>
      <c r="G301">
        <v>22.7</v>
      </c>
      <c r="H301">
        <v>51.194021381012448</v>
      </c>
      <c r="I301">
        <v>55.6</v>
      </c>
      <c r="J301">
        <v>165.7</v>
      </c>
      <c r="K301">
        <v>51.194021381012448</v>
      </c>
      <c r="L301">
        <v>55.6</v>
      </c>
    </row>
    <row r="302" spans="1:12" x14ac:dyDescent="0.35">
      <c r="A302">
        <v>300</v>
      </c>
      <c r="B302">
        <v>55.3798102140602</v>
      </c>
      <c r="C302">
        <v>55.8</v>
      </c>
      <c r="D302">
        <v>11.1</v>
      </c>
      <c r="E302">
        <v>55.3798102140602</v>
      </c>
      <c r="F302">
        <v>55.8</v>
      </c>
      <c r="G302">
        <v>26.4</v>
      </c>
      <c r="H302">
        <v>55.3798102140602</v>
      </c>
      <c r="I302">
        <v>55.8</v>
      </c>
      <c r="J302">
        <v>170.5</v>
      </c>
      <c r="K302">
        <v>55.3798102140602</v>
      </c>
      <c r="L302">
        <v>55.8</v>
      </c>
    </row>
    <row r="303" spans="1:12" x14ac:dyDescent="0.35">
      <c r="A303">
        <v>13651</v>
      </c>
      <c r="B303">
        <v>51.228239059662904</v>
      </c>
      <c r="C303">
        <v>55.9</v>
      </c>
      <c r="D303">
        <v>2.5</v>
      </c>
      <c r="E303">
        <v>51.228239059662904</v>
      </c>
      <c r="F303">
        <v>55.9</v>
      </c>
      <c r="G303">
        <v>21.2</v>
      </c>
      <c r="H303">
        <v>51.228239059662904</v>
      </c>
      <c r="I303">
        <v>55.9</v>
      </c>
      <c r="J303">
        <v>100</v>
      </c>
      <c r="K303">
        <v>51.228239059662904</v>
      </c>
      <c r="L303">
        <v>55.9</v>
      </c>
    </row>
    <row r="304" spans="1:12" x14ac:dyDescent="0.35">
      <c r="A304">
        <v>1004</v>
      </c>
      <c r="B304">
        <v>55.171721337570872</v>
      </c>
      <c r="C304">
        <v>56.1</v>
      </c>
      <c r="D304">
        <v>8.6</v>
      </c>
      <c r="E304">
        <v>55.171721337570872</v>
      </c>
      <c r="F304">
        <v>56.1</v>
      </c>
      <c r="G304">
        <v>22.7</v>
      </c>
      <c r="H304">
        <v>55.171721337570872</v>
      </c>
      <c r="I304">
        <v>56.1</v>
      </c>
      <c r="J304">
        <v>101.1</v>
      </c>
      <c r="K304">
        <v>55.171721337570872</v>
      </c>
      <c r="L304">
        <v>56.1</v>
      </c>
    </row>
    <row r="305" spans="1:12" x14ac:dyDescent="0.35">
      <c r="A305">
        <v>392</v>
      </c>
      <c r="B305">
        <v>55.358005125544054</v>
      </c>
      <c r="C305">
        <v>56.2</v>
      </c>
      <c r="D305">
        <v>5.0999999999999996</v>
      </c>
      <c r="E305">
        <v>55.358005125544054</v>
      </c>
      <c r="F305">
        <v>56.2</v>
      </c>
      <c r="G305">
        <v>28.2</v>
      </c>
      <c r="H305">
        <v>55.358005125544054</v>
      </c>
      <c r="I305">
        <v>56.2</v>
      </c>
      <c r="J305">
        <v>74</v>
      </c>
      <c r="K305">
        <v>55.358005125544054</v>
      </c>
      <c r="L305">
        <v>56.2</v>
      </c>
    </row>
    <row r="306" spans="1:12" x14ac:dyDescent="0.35">
      <c r="A306">
        <v>3933</v>
      </c>
      <c r="B306">
        <v>54.32458469409719</v>
      </c>
      <c r="C306">
        <v>56.6</v>
      </c>
      <c r="D306">
        <v>5.4</v>
      </c>
      <c r="E306">
        <v>54.32458469409719</v>
      </c>
      <c r="F306">
        <v>56.6</v>
      </c>
      <c r="G306">
        <v>27.1</v>
      </c>
      <c r="H306">
        <v>54.32458469409719</v>
      </c>
      <c r="I306">
        <v>56.6</v>
      </c>
      <c r="J306">
        <v>103.9</v>
      </c>
      <c r="K306">
        <v>54.32458469409719</v>
      </c>
      <c r="L306">
        <v>56.6</v>
      </c>
    </row>
    <row r="307" spans="1:12" x14ac:dyDescent="0.35">
      <c r="A307">
        <v>2581</v>
      </c>
      <c r="B307">
        <v>55.632819300134585</v>
      </c>
      <c r="C307">
        <v>56.8</v>
      </c>
      <c r="D307">
        <v>11.4</v>
      </c>
      <c r="E307">
        <v>55.632819300134585</v>
      </c>
      <c r="F307">
        <v>56.8</v>
      </c>
      <c r="G307">
        <v>22.9</v>
      </c>
      <c r="H307">
        <v>55.632819300134585</v>
      </c>
      <c r="I307">
        <v>56.8</v>
      </c>
      <c r="J307">
        <v>147.19999999999999</v>
      </c>
      <c r="K307">
        <v>55.632819300134585</v>
      </c>
      <c r="L307">
        <v>56.8</v>
      </c>
    </row>
    <row r="308" spans="1:12" x14ac:dyDescent="0.35">
      <c r="A308">
        <v>45192</v>
      </c>
      <c r="B308">
        <v>56.567225709837764</v>
      </c>
      <c r="C308">
        <v>56.9</v>
      </c>
      <c r="D308">
        <v>10.1</v>
      </c>
      <c r="E308">
        <v>56.567225709837764</v>
      </c>
      <c r="F308">
        <v>56.9</v>
      </c>
      <c r="G308">
        <v>23.3</v>
      </c>
      <c r="H308">
        <v>56.567225709837764</v>
      </c>
      <c r="I308">
        <v>56.9</v>
      </c>
      <c r="J308">
        <v>200.6</v>
      </c>
      <c r="K308">
        <v>56.567225709837764</v>
      </c>
      <c r="L308">
        <v>56.9</v>
      </c>
    </row>
    <row r="309" spans="1:12" x14ac:dyDescent="0.35">
      <c r="A309">
        <v>300</v>
      </c>
      <c r="B309">
        <v>51.712551511974382</v>
      </c>
      <c r="C309">
        <v>56.9</v>
      </c>
      <c r="D309">
        <v>5.8</v>
      </c>
      <c r="E309">
        <v>51.712551511974382</v>
      </c>
      <c r="F309">
        <v>56.9</v>
      </c>
      <c r="G309">
        <v>24.3</v>
      </c>
      <c r="H309">
        <v>51.712551511974382</v>
      </c>
      <c r="I309">
        <v>56.9</v>
      </c>
      <c r="J309">
        <v>144</v>
      </c>
      <c r="K309">
        <v>51.712551511974382</v>
      </c>
      <c r="L309">
        <v>56.9</v>
      </c>
    </row>
    <row r="310" spans="1:12" x14ac:dyDescent="0.35">
      <c r="A310">
        <v>402</v>
      </c>
      <c r="B310">
        <v>52.982816775334626</v>
      </c>
      <c r="C310">
        <v>57</v>
      </c>
      <c r="D310">
        <v>9.1</v>
      </c>
      <c r="E310">
        <v>52.982816775334626</v>
      </c>
      <c r="F310">
        <v>57</v>
      </c>
      <c r="G310">
        <v>26.8</v>
      </c>
      <c r="H310">
        <v>52.982816775334626</v>
      </c>
      <c r="I310">
        <v>57</v>
      </c>
      <c r="J310">
        <v>194.8</v>
      </c>
      <c r="K310">
        <v>52.982816775334626</v>
      </c>
      <c r="L310">
        <v>57</v>
      </c>
    </row>
    <row r="311" spans="1:12" x14ac:dyDescent="0.35">
      <c r="A311">
        <v>5936</v>
      </c>
      <c r="B311">
        <v>50.693329636694344</v>
      </c>
      <c r="C311">
        <v>57.1</v>
      </c>
      <c r="D311">
        <v>7.8</v>
      </c>
      <c r="E311">
        <v>50.693329636694344</v>
      </c>
      <c r="F311">
        <v>57.1</v>
      </c>
      <c r="G311">
        <v>20</v>
      </c>
      <c r="H311">
        <v>50.693329636694344</v>
      </c>
      <c r="I311">
        <v>57.1</v>
      </c>
      <c r="J311">
        <v>184.4</v>
      </c>
      <c r="K311">
        <v>50.693329636694344</v>
      </c>
      <c r="L311">
        <v>57.1</v>
      </c>
    </row>
    <row r="312" spans="1:12" x14ac:dyDescent="0.35">
      <c r="A312">
        <v>439</v>
      </c>
      <c r="B312">
        <v>52.127459408769141</v>
      </c>
      <c r="C312">
        <v>57.3</v>
      </c>
      <c r="D312">
        <v>4.8</v>
      </c>
      <c r="E312">
        <v>52.127459408769141</v>
      </c>
      <c r="F312">
        <v>57.3</v>
      </c>
      <c r="G312">
        <v>28.2</v>
      </c>
      <c r="H312">
        <v>52.127459408769141</v>
      </c>
      <c r="I312">
        <v>57.3</v>
      </c>
      <c r="J312">
        <v>146.80000000000001</v>
      </c>
      <c r="K312">
        <v>52.127459408769141</v>
      </c>
      <c r="L312">
        <v>57.3</v>
      </c>
    </row>
    <row r="313" spans="1:12" x14ac:dyDescent="0.35">
      <c r="A313">
        <v>3117</v>
      </c>
      <c r="B313">
        <v>54.986905219526051</v>
      </c>
      <c r="C313">
        <v>57.4</v>
      </c>
      <c r="D313">
        <v>10.8</v>
      </c>
      <c r="E313">
        <v>54.986905219526051</v>
      </c>
      <c r="F313">
        <v>57.4</v>
      </c>
      <c r="G313">
        <v>23.5</v>
      </c>
      <c r="H313">
        <v>54.986905219526051</v>
      </c>
      <c r="I313">
        <v>57.4</v>
      </c>
      <c r="J313">
        <v>157.69999999999999</v>
      </c>
      <c r="K313">
        <v>54.986905219526051</v>
      </c>
      <c r="L313">
        <v>57.4</v>
      </c>
    </row>
    <row r="314" spans="1:12" x14ac:dyDescent="0.35">
      <c r="A314">
        <v>1875</v>
      </c>
      <c r="B314">
        <v>49.460800752999333</v>
      </c>
      <c r="C314">
        <v>57.5</v>
      </c>
      <c r="D314">
        <v>8.6999999999999993</v>
      </c>
      <c r="E314">
        <v>49.460800752999333</v>
      </c>
      <c r="F314">
        <v>57.5</v>
      </c>
      <c r="G314">
        <v>23.6</v>
      </c>
      <c r="H314">
        <v>49.460800752999333</v>
      </c>
      <c r="I314">
        <v>57.5</v>
      </c>
      <c r="J314">
        <v>250.5</v>
      </c>
      <c r="K314">
        <v>49.460800752999333</v>
      </c>
      <c r="L314">
        <v>57.5</v>
      </c>
    </row>
    <row r="315" spans="1:12" x14ac:dyDescent="0.35">
      <c r="A315">
        <v>1541</v>
      </c>
      <c r="B315">
        <v>53.595201432293443</v>
      </c>
      <c r="C315">
        <v>57.6</v>
      </c>
      <c r="D315">
        <v>12.3</v>
      </c>
      <c r="E315">
        <v>53.595201432293443</v>
      </c>
      <c r="F315">
        <v>57.6</v>
      </c>
      <c r="G315">
        <v>25.6</v>
      </c>
      <c r="H315">
        <v>53.595201432293443</v>
      </c>
      <c r="I315">
        <v>57.6</v>
      </c>
      <c r="J315">
        <v>232.5</v>
      </c>
      <c r="K315">
        <v>53.595201432293443</v>
      </c>
      <c r="L315">
        <v>57.6</v>
      </c>
    </row>
    <row r="316" spans="1:12" x14ac:dyDescent="0.35">
      <c r="A316">
        <v>11321</v>
      </c>
      <c r="B316">
        <v>57.337058789485013</v>
      </c>
      <c r="C316">
        <v>57.9</v>
      </c>
      <c r="D316">
        <v>8.1999999999999993</v>
      </c>
      <c r="E316">
        <v>57.337058789485013</v>
      </c>
      <c r="F316">
        <v>57.9</v>
      </c>
      <c r="G316">
        <v>28.2</v>
      </c>
      <c r="H316">
        <v>57.337058789485013</v>
      </c>
      <c r="I316">
        <v>57.9</v>
      </c>
      <c r="J316">
        <v>108.6</v>
      </c>
      <c r="K316">
        <v>57.337058789485013</v>
      </c>
      <c r="L316">
        <v>57.9</v>
      </c>
    </row>
    <row r="317" spans="1:12" x14ac:dyDescent="0.35">
      <c r="A317">
        <v>1730</v>
      </c>
      <c r="B317">
        <v>48.753983248475933</v>
      </c>
      <c r="C317">
        <v>57.9</v>
      </c>
      <c r="D317">
        <v>6.7</v>
      </c>
      <c r="E317">
        <v>48.753983248475933</v>
      </c>
      <c r="F317">
        <v>57.9</v>
      </c>
      <c r="G317">
        <v>29.4</v>
      </c>
      <c r="H317">
        <v>48.753983248475933</v>
      </c>
      <c r="I317">
        <v>57.9</v>
      </c>
      <c r="J317">
        <v>276.39999999999998</v>
      </c>
      <c r="K317">
        <v>48.753983248475933</v>
      </c>
      <c r="L317">
        <v>57.9</v>
      </c>
    </row>
    <row r="318" spans="1:12" x14ac:dyDescent="0.35">
      <c r="A318">
        <v>1953</v>
      </c>
      <c r="B318">
        <v>52.860535719887423</v>
      </c>
      <c r="C318">
        <v>58</v>
      </c>
      <c r="D318">
        <v>4</v>
      </c>
      <c r="E318">
        <v>52.860535719887423</v>
      </c>
      <c r="F318">
        <v>58</v>
      </c>
      <c r="G318">
        <v>22.2</v>
      </c>
      <c r="H318">
        <v>52.860535719887423</v>
      </c>
      <c r="I318">
        <v>58</v>
      </c>
      <c r="J318">
        <v>69.7</v>
      </c>
      <c r="K318">
        <v>52.860535719887423</v>
      </c>
      <c r="L318">
        <v>58</v>
      </c>
    </row>
    <row r="319" spans="1:12" x14ac:dyDescent="0.35">
      <c r="A319">
        <v>4236</v>
      </c>
      <c r="B319">
        <v>53.126124317070825</v>
      </c>
      <c r="C319">
        <v>58.4</v>
      </c>
      <c r="D319">
        <v>12.7</v>
      </c>
      <c r="E319">
        <v>53.126124317070825</v>
      </c>
      <c r="F319">
        <v>58.4</v>
      </c>
      <c r="G319">
        <v>22</v>
      </c>
      <c r="H319">
        <v>53.126124317070825</v>
      </c>
      <c r="I319">
        <v>58.4</v>
      </c>
      <c r="J319">
        <v>228.7</v>
      </c>
      <c r="K319">
        <v>53.126124317070825</v>
      </c>
      <c r="L319">
        <v>58.4</v>
      </c>
    </row>
    <row r="320" spans="1:12" x14ac:dyDescent="0.35">
      <c r="A320">
        <v>8203</v>
      </c>
      <c r="B320">
        <v>51.33058169619931</v>
      </c>
      <c r="C320">
        <v>58.4</v>
      </c>
      <c r="D320">
        <v>4.5999999999999996</v>
      </c>
      <c r="E320">
        <v>51.33058169619931</v>
      </c>
      <c r="F320">
        <v>58.4</v>
      </c>
      <c r="G320">
        <v>26.1</v>
      </c>
      <c r="H320">
        <v>51.33058169619931</v>
      </c>
      <c r="I320">
        <v>58.4</v>
      </c>
      <c r="J320">
        <v>163.30000000000001</v>
      </c>
      <c r="K320">
        <v>51.33058169619931</v>
      </c>
      <c r="L320">
        <v>58.4</v>
      </c>
    </row>
    <row r="321" spans="1:12" x14ac:dyDescent="0.35">
      <c r="A321">
        <v>60000</v>
      </c>
      <c r="B321">
        <v>59.068804394381054</v>
      </c>
      <c r="C321">
        <v>58.5</v>
      </c>
      <c r="D321">
        <v>6.1</v>
      </c>
      <c r="E321">
        <v>59.068804394381054</v>
      </c>
      <c r="F321">
        <v>58.5</v>
      </c>
      <c r="G321">
        <v>23.4</v>
      </c>
      <c r="H321">
        <v>59.068804394381054</v>
      </c>
      <c r="I321">
        <v>58.5</v>
      </c>
      <c r="J321">
        <v>100.1</v>
      </c>
      <c r="K321">
        <v>59.068804394381054</v>
      </c>
      <c r="L321">
        <v>58.5</v>
      </c>
    </row>
    <row r="322" spans="1:12" x14ac:dyDescent="0.35">
      <c r="A322">
        <v>17739</v>
      </c>
      <c r="B322">
        <v>60.513334866397372</v>
      </c>
      <c r="C322">
        <v>58.8</v>
      </c>
      <c r="D322">
        <v>12.3</v>
      </c>
      <c r="E322">
        <v>60.513334866397372</v>
      </c>
      <c r="F322">
        <v>58.8</v>
      </c>
      <c r="G322">
        <v>23.3</v>
      </c>
      <c r="H322">
        <v>60.513334866397372</v>
      </c>
      <c r="I322">
        <v>58.8</v>
      </c>
      <c r="J322">
        <v>83.4</v>
      </c>
      <c r="K322">
        <v>60.513334866397372</v>
      </c>
      <c r="L322">
        <v>58.8</v>
      </c>
    </row>
    <row r="323" spans="1:12" x14ac:dyDescent="0.35">
      <c r="A323">
        <v>7703</v>
      </c>
      <c r="B323">
        <v>47.948573322349148</v>
      </c>
      <c r="C323">
        <v>58.9</v>
      </c>
      <c r="D323">
        <v>8.6</v>
      </c>
      <c r="E323">
        <v>47.948573322349148</v>
      </c>
      <c r="F323">
        <v>58.9</v>
      </c>
      <c r="G323">
        <v>20.5</v>
      </c>
      <c r="H323">
        <v>47.948573322349148</v>
      </c>
      <c r="I323">
        <v>58.9</v>
      </c>
      <c r="J323">
        <v>273.8</v>
      </c>
      <c r="K323">
        <v>47.948573322349148</v>
      </c>
      <c r="L323">
        <v>58.9</v>
      </c>
    </row>
    <row r="324" spans="1:12" x14ac:dyDescent="0.35">
      <c r="A324">
        <v>1666</v>
      </c>
      <c r="B324">
        <v>52.358389799027591</v>
      </c>
      <c r="C324">
        <v>58.9</v>
      </c>
      <c r="D324">
        <v>8.9</v>
      </c>
      <c r="E324">
        <v>52.358389799027591</v>
      </c>
      <c r="F324">
        <v>58.9</v>
      </c>
      <c r="G324">
        <v>26</v>
      </c>
      <c r="H324">
        <v>52.358389799027591</v>
      </c>
      <c r="I324">
        <v>58.9</v>
      </c>
      <c r="J324">
        <v>202.7</v>
      </c>
      <c r="K324">
        <v>52.358389799027591</v>
      </c>
      <c r="L324">
        <v>58.9</v>
      </c>
    </row>
    <row r="325" spans="1:12" x14ac:dyDescent="0.35">
      <c r="A325">
        <v>900</v>
      </c>
      <c r="B325">
        <v>49.679763526186449</v>
      </c>
      <c r="C325">
        <v>59</v>
      </c>
      <c r="D325">
        <v>3.9</v>
      </c>
      <c r="E325">
        <v>49.679763526186449</v>
      </c>
      <c r="F325">
        <v>59</v>
      </c>
      <c r="G325">
        <v>22.8</v>
      </c>
      <c r="H325">
        <v>49.679763526186449</v>
      </c>
      <c r="I325">
        <v>59</v>
      </c>
      <c r="J325">
        <v>147.30000000000001</v>
      </c>
      <c r="K325">
        <v>49.679763526186449</v>
      </c>
      <c r="L325">
        <v>59</v>
      </c>
    </row>
    <row r="326" spans="1:12" x14ac:dyDescent="0.35">
      <c r="A326">
        <v>4170</v>
      </c>
      <c r="B326">
        <v>46.589268949822994</v>
      </c>
      <c r="C326">
        <v>59.3</v>
      </c>
      <c r="D326">
        <v>8</v>
      </c>
      <c r="E326">
        <v>46.589268949822994</v>
      </c>
      <c r="F326">
        <v>59.3</v>
      </c>
      <c r="G326">
        <v>28.6</v>
      </c>
      <c r="H326">
        <v>46.589268949822994</v>
      </c>
      <c r="I326">
        <v>59.3</v>
      </c>
      <c r="J326">
        <v>352.2</v>
      </c>
      <c r="K326">
        <v>46.589268949822994</v>
      </c>
      <c r="L326">
        <v>59.3</v>
      </c>
    </row>
    <row r="327" spans="1:12" x14ac:dyDescent="0.35">
      <c r="A327">
        <v>14275</v>
      </c>
      <c r="B327">
        <v>56.118386115220289</v>
      </c>
      <c r="C327">
        <v>59.4</v>
      </c>
      <c r="D327">
        <v>10</v>
      </c>
      <c r="E327">
        <v>56.118386115220289</v>
      </c>
      <c r="F327">
        <v>59.4</v>
      </c>
      <c r="G327">
        <v>30.5</v>
      </c>
      <c r="H327">
        <v>56.118386115220289</v>
      </c>
      <c r="I327">
        <v>59.4</v>
      </c>
      <c r="J327">
        <v>196.7</v>
      </c>
      <c r="K327">
        <v>56.118386115220289</v>
      </c>
      <c r="L327">
        <v>59.4</v>
      </c>
    </row>
    <row r="328" spans="1:12" x14ac:dyDescent="0.35">
      <c r="A328">
        <v>15726</v>
      </c>
      <c r="B328">
        <v>53.727404282489132</v>
      </c>
      <c r="C328">
        <v>59.7</v>
      </c>
      <c r="D328">
        <v>10.5</v>
      </c>
      <c r="E328">
        <v>53.727404282489132</v>
      </c>
      <c r="F328">
        <v>59.7</v>
      </c>
      <c r="G328">
        <v>26.5</v>
      </c>
      <c r="H328">
        <v>53.727404282489132</v>
      </c>
      <c r="I328">
        <v>59.7</v>
      </c>
      <c r="J328">
        <v>235.3</v>
      </c>
      <c r="K328">
        <v>53.727404282489132</v>
      </c>
      <c r="L328">
        <v>59.7</v>
      </c>
    </row>
    <row r="329" spans="1:12" x14ac:dyDescent="0.35">
      <c r="A329">
        <v>7888</v>
      </c>
      <c r="B329">
        <v>49.862858570219402</v>
      </c>
      <c r="C329">
        <v>59.7</v>
      </c>
      <c r="D329">
        <v>7.5</v>
      </c>
      <c r="E329">
        <v>49.862858570219402</v>
      </c>
      <c r="F329">
        <v>59.7</v>
      </c>
      <c r="G329">
        <v>25.4</v>
      </c>
      <c r="H329">
        <v>49.862858570219402</v>
      </c>
      <c r="I329">
        <v>59.7</v>
      </c>
      <c r="J329">
        <v>246.5</v>
      </c>
      <c r="K329">
        <v>49.862858570219402</v>
      </c>
      <c r="L329">
        <v>59.7</v>
      </c>
    </row>
    <row r="330" spans="1:12" x14ac:dyDescent="0.35">
      <c r="A330">
        <v>1652</v>
      </c>
      <c r="B330">
        <v>54.209146957088606</v>
      </c>
      <c r="C330">
        <v>59.8</v>
      </c>
      <c r="D330">
        <v>8.1</v>
      </c>
      <c r="E330">
        <v>54.209146957088606</v>
      </c>
      <c r="F330">
        <v>59.8</v>
      </c>
      <c r="G330">
        <v>28.8</v>
      </c>
      <c r="H330">
        <v>54.209146957088606</v>
      </c>
      <c r="I330">
        <v>59.8</v>
      </c>
      <c r="J330">
        <v>165.3</v>
      </c>
      <c r="K330">
        <v>54.209146957088606</v>
      </c>
      <c r="L330">
        <v>59.8</v>
      </c>
    </row>
    <row r="331" spans="1:12" x14ac:dyDescent="0.35">
      <c r="A331">
        <v>9131</v>
      </c>
      <c r="B331">
        <v>58.830434300713186</v>
      </c>
      <c r="C331">
        <v>59.9</v>
      </c>
      <c r="D331">
        <v>9.9</v>
      </c>
      <c r="E331">
        <v>58.830434300713186</v>
      </c>
      <c r="F331">
        <v>59.9</v>
      </c>
      <c r="G331">
        <v>31.5</v>
      </c>
      <c r="H331">
        <v>58.830434300713186</v>
      </c>
      <c r="I331">
        <v>59.9</v>
      </c>
      <c r="J331">
        <v>125.4</v>
      </c>
      <c r="K331">
        <v>58.830434300713186</v>
      </c>
      <c r="L331">
        <v>59.9</v>
      </c>
    </row>
    <row r="332" spans="1:12" x14ac:dyDescent="0.35">
      <c r="A332">
        <v>31767</v>
      </c>
      <c r="B332">
        <v>54.369331717185759</v>
      </c>
      <c r="C332">
        <v>60.1</v>
      </c>
      <c r="D332">
        <v>7.7</v>
      </c>
      <c r="E332">
        <v>54.369331717185759</v>
      </c>
      <c r="F332">
        <v>60.1</v>
      </c>
      <c r="G332">
        <v>25.8</v>
      </c>
      <c r="H332">
        <v>54.369331717185759</v>
      </c>
      <c r="I332">
        <v>60.1</v>
      </c>
      <c r="J332">
        <v>198.6</v>
      </c>
      <c r="K332">
        <v>54.369331717185759</v>
      </c>
      <c r="L332">
        <v>60.1</v>
      </c>
    </row>
    <row r="333" spans="1:12" x14ac:dyDescent="0.35">
      <c r="A333">
        <v>3988</v>
      </c>
      <c r="B333">
        <v>54.728927774336363</v>
      </c>
      <c r="C333">
        <v>60.2</v>
      </c>
      <c r="D333">
        <v>11.2</v>
      </c>
      <c r="E333">
        <v>54.728927774336363</v>
      </c>
      <c r="F333">
        <v>60.2</v>
      </c>
      <c r="G333">
        <v>21.9</v>
      </c>
      <c r="H333">
        <v>54.728927774336363</v>
      </c>
      <c r="I333">
        <v>60.2</v>
      </c>
      <c r="J333">
        <v>160.6</v>
      </c>
      <c r="K333">
        <v>54.728927774336363</v>
      </c>
      <c r="L333">
        <v>60.2</v>
      </c>
    </row>
    <row r="334" spans="1:12" x14ac:dyDescent="0.35">
      <c r="A334">
        <v>303</v>
      </c>
      <c r="B334">
        <v>47.274880505635323</v>
      </c>
      <c r="C334">
        <v>60.5</v>
      </c>
      <c r="D334">
        <v>6.3</v>
      </c>
      <c r="E334">
        <v>47.274880505635323</v>
      </c>
      <c r="F334">
        <v>60.5</v>
      </c>
      <c r="G334">
        <v>26.1</v>
      </c>
      <c r="H334">
        <v>47.274880505635323</v>
      </c>
      <c r="I334">
        <v>60.5</v>
      </c>
      <c r="J334">
        <v>275.2</v>
      </c>
      <c r="K334">
        <v>47.274880505635323</v>
      </c>
      <c r="L334">
        <v>60.5</v>
      </c>
    </row>
    <row r="335" spans="1:12" x14ac:dyDescent="0.35">
      <c r="A335">
        <v>50098</v>
      </c>
      <c r="B335">
        <v>51.135739161589939</v>
      </c>
      <c r="C335">
        <v>60.7</v>
      </c>
      <c r="D335">
        <v>3.7</v>
      </c>
      <c r="E335">
        <v>51.135739161589939</v>
      </c>
      <c r="F335">
        <v>60.7</v>
      </c>
      <c r="G335">
        <v>18.399999999999999</v>
      </c>
      <c r="H335">
        <v>51.135739161589939</v>
      </c>
      <c r="I335">
        <v>60.7</v>
      </c>
      <c r="J335">
        <v>185.2</v>
      </c>
      <c r="K335">
        <v>51.135739161589939</v>
      </c>
      <c r="L335">
        <v>60.7</v>
      </c>
    </row>
    <row r="336" spans="1:12" x14ac:dyDescent="0.35">
      <c r="A336">
        <v>8626</v>
      </c>
      <c r="B336">
        <v>58.271556451704463</v>
      </c>
      <c r="C336">
        <v>60.7</v>
      </c>
      <c r="D336">
        <v>8.6999999999999993</v>
      </c>
      <c r="E336">
        <v>58.271556451704463</v>
      </c>
      <c r="F336">
        <v>60.7</v>
      </c>
      <c r="G336">
        <v>23.3</v>
      </c>
      <c r="H336">
        <v>58.271556451704463</v>
      </c>
      <c r="I336">
        <v>60.7</v>
      </c>
      <c r="J336">
        <v>50</v>
      </c>
      <c r="K336">
        <v>58.271556451704463</v>
      </c>
      <c r="L336">
        <v>60.7</v>
      </c>
    </row>
    <row r="337" spans="1:12" x14ac:dyDescent="0.35">
      <c r="A337">
        <v>2569</v>
      </c>
      <c r="B337">
        <v>60.893148280931513</v>
      </c>
      <c r="C337">
        <v>60.8</v>
      </c>
      <c r="D337">
        <v>13.5</v>
      </c>
      <c r="E337">
        <v>60.893148280931513</v>
      </c>
      <c r="F337">
        <v>60.8</v>
      </c>
      <c r="G337">
        <v>21.8</v>
      </c>
      <c r="H337">
        <v>60.893148280931513</v>
      </c>
      <c r="I337">
        <v>60.8</v>
      </c>
      <c r="J337">
        <v>50</v>
      </c>
      <c r="K337">
        <v>60.893148280931513</v>
      </c>
      <c r="L337">
        <v>60.8</v>
      </c>
    </row>
    <row r="338" spans="1:12" x14ac:dyDescent="0.35">
      <c r="A338">
        <v>4294</v>
      </c>
      <c r="B338">
        <v>57.71227197698812</v>
      </c>
      <c r="C338">
        <v>60.9</v>
      </c>
      <c r="D338">
        <v>7.3</v>
      </c>
      <c r="E338">
        <v>57.71227197698812</v>
      </c>
      <c r="F338">
        <v>60.9</v>
      </c>
      <c r="G338">
        <v>26.1</v>
      </c>
      <c r="H338">
        <v>57.71227197698812</v>
      </c>
      <c r="I338">
        <v>60.9</v>
      </c>
      <c r="J338">
        <v>50</v>
      </c>
      <c r="K338">
        <v>57.71227197698812</v>
      </c>
      <c r="L338">
        <v>60.9</v>
      </c>
    </row>
    <row r="339" spans="1:12" x14ac:dyDescent="0.35">
      <c r="A339">
        <v>15930</v>
      </c>
      <c r="B339">
        <v>54.200545990716705</v>
      </c>
      <c r="C339">
        <v>61.2</v>
      </c>
      <c r="D339">
        <v>9</v>
      </c>
      <c r="E339">
        <v>54.200545990716705</v>
      </c>
      <c r="F339">
        <v>61.2</v>
      </c>
      <c r="G339">
        <v>26.4</v>
      </c>
      <c r="H339">
        <v>54.200545990716705</v>
      </c>
      <c r="I339">
        <v>61.2</v>
      </c>
      <c r="J339">
        <v>195.6</v>
      </c>
      <c r="K339">
        <v>54.200545990716705</v>
      </c>
      <c r="L339">
        <v>61.2</v>
      </c>
    </row>
    <row r="340" spans="1:12" x14ac:dyDescent="0.35">
      <c r="A340">
        <v>21889</v>
      </c>
      <c r="B340">
        <v>56.863340826828889</v>
      </c>
      <c r="C340">
        <v>61.2</v>
      </c>
      <c r="D340">
        <v>8.6</v>
      </c>
      <c r="E340">
        <v>56.863340826828889</v>
      </c>
      <c r="F340">
        <v>61.2</v>
      </c>
      <c r="G340">
        <v>27.1</v>
      </c>
      <c r="H340">
        <v>56.863340826828889</v>
      </c>
      <c r="I340">
        <v>61.2</v>
      </c>
      <c r="J340">
        <v>142.80000000000001</v>
      </c>
      <c r="K340">
        <v>56.863340826828889</v>
      </c>
      <c r="L340">
        <v>61.2</v>
      </c>
    </row>
    <row r="341" spans="1:12" x14ac:dyDescent="0.35">
      <c r="A341">
        <v>44418</v>
      </c>
      <c r="B341">
        <v>55.616124410176909</v>
      </c>
      <c r="C341">
        <v>61.5</v>
      </c>
      <c r="D341">
        <v>7.9</v>
      </c>
      <c r="E341">
        <v>55.616124410176909</v>
      </c>
      <c r="F341">
        <v>61.5</v>
      </c>
      <c r="G341">
        <v>20.7</v>
      </c>
      <c r="H341">
        <v>55.616124410176909</v>
      </c>
      <c r="I341">
        <v>61.5</v>
      </c>
      <c r="J341">
        <v>160.19999999999999</v>
      </c>
      <c r="K341">
        <v>55.616124410176909</v>
      </c>
      <c r="L341">
        <v>61.5</v>
      </c>
    </row>
    <row r="342" spans="1:12" x14ac:dyDescent="0.35">
      <c r="A342">
        <v>1120</v>
      </c>
      <c r="B342">
        <v>52.079390559463477</v>
      </c>
      <c r="C342">
        <v>61.6</v>
      </c>
      <c r="D342">
        <v>6.7</v>
      </c>
      <c r="E342">
        <v>52.079390559463477</v>
      </c>
      <c r="F342">
        <v>61.6</v>
      </c>
      <c r="G342">
        <v>19.3</v>
      </c>
      <c r="H342">
        <v>52.079390559463477</v>
      </c>
      <c r="I342">
        <v>61.6</v>
      </c>
      <c r="J342">
        <v>113.8</v>
      </c>
      <c r="K342">
        <v>52.079390559463477</v>
      </c>
      <c r="L342">
        <v>61.6</v>
      </c>
    </row>
    <row r="343" spans="1:12" x14ac:dyDescent="0.35">
      <c r="A343">
        <v>9327</v>
      </c>
      <c r="B343">
        <v>59.69839184532821</v>
      </c>
      <c r="C343">
        <v>61.6</v>
      </c>
      <c r="D343">
        <v>10.4</v>
      </c>
      <c r="E343">
        <v>59.69839184532821</v>
      </c>
      <c r="F343">
        <v>61.6</v>
      </c>
      <c r="G343">
        <v>26.3</v>
      </c>
      <c r="H343">
        <v>59.69839184532821</v>
      </c>
      <c r="I343">
        <v>61.6</v>
      </c>
      <c r="J343">
        <v>72.599999999999994</v>
      </c>
      <c r="K343">
        <v>59.69839184532821</v>
      </c>
      <c r="L343">
        <v>61.6</v>
      </c>
    </row>
    <row r="344" spans="1:12" x14ac:dyDescent="0.35">
      <c r="A344">
        <v>525</v>
      </c>
      <c r="B344">
        <v>58.447821509315958</v>
      </c>
      <c r="C344">
        <v>61.6</v>
      </c>
      <c r="D344">
        <v>12.5</v>
      </c>
      <c r="E344">
        <v>58.447821509315958</v>
      </c>
      <c r="F344">
        <v>61.6</v>
      </c>
      <c r="G344">
        <v>27.6</v>
      </c>
      <c r="H344">
        <v>58.447821509315958</v>
      </c>
      <c r="I344">
        <v>61.6</v>
      </c>
      <c r="J344">
        <v>132.30000000000001</v>
      </c>
      <c r="K344">
        <v>58.447821509315958</v>
      </c>
      <c r="L344">
        <v>61.6</v>
      </c>
    </row>
    <row r="345" spans="1:12" x14ac:dyDescent="0.35">
      <c r="A345">
        <v>300</v>
      </c>
      <c r="B345">
        <v>55.494067689568382</v>
      </c>
      <c r="C345">
        <v>61.7</v>
      </c>
      <c r="D345">
        <v>7.3</v>
      </c>
      <c r="E345">
        <v>55.494067689568382</v>
      </c>
      <c r="F345">
        <v>61.7</v>
      </c>
      <c r="G345">
        <v>23</v>
      </c>
      <c r="H345">
        <v>55.494067689568382</v>
      </c>
      <c r="I345">
        <v>61.7</v>
      </c>
      <c r="J345">
        <v>69.900000000000006</v>
      </c>
      <c r="K345">
        <v>55.494067689568382</v>
      </c>
      <c r="L345">
        <v>61.7</v>
      </c>
    </row>
    <row r="346" spans="1:12" x14ac:dyDescent="0.35">
      <c r="A346">
        <v>7795</v>
      </c>
      <c r="B346">
        <v>48.725621785094447</v>
      </c>
      <c r="C346">
        <v>62</v>
      </c>
      <c r="D346">
        <v>6.3</v>
      </c>
      <c r="E346">
        <v>48.725621785094447</v>
      </c>
      <c r="F346">
        <v>62</v>
      </c>
      <c r="G346">
        <v>26.7</v>
      </c>
      <c r="H346">
        <v>48.725621785094447</v>
      </c>
      <c r="I346">
        <v>62</v>
      </c>
      <c r="J346">
        <v>261.89999999999998</v>
      </c>
      <c r="K346">
        <v>48.725621785094447</v>
      </c>
      <c r="L346">
        <v>62</v>
      </c>
    </row>
    <row r="347" spans="1:12" x14ac:dyDescent="0.35">
      <c r="A347">
        <v>1130</v>
      </c>
      <c r="B347">
        <v>52.515148504725936</v>
      </c>
      <c r="C347">
        <v>62.2</v>
      </c>
      <c r="D347">
        <v>10.1</v>
      </c>
      <c r="E347">
        <v>52.515148504725936</v>
      </c>
      <c r="F347">
        <v>62.2</v>
      </c>
      <c r="G347">
        <v>26.2</v>
      </c>
      <c r="H347">
        <v>52.515148504725936</v>
      </c>
      <c r="I347">
        <v>62.2</v>
      </c>
      <c r="J347">
        <v>221.6</v>
      </c>
      <c r="K347">
        <v>52.515148504725936</v>
      </c>
      <c r="L347">
        <v>62.2</v>
      </c>
    </row>
    <row r="348" spans="1:12" x14ac:dyDescent="0.35">
      <c r="A348">
        <v>1336</v>
      </c>
      <c r="B348">
        <v>49.899356133917927</v>
      </c>
      <c r="C348">
        <v>62.3</v>
      </c>
      <c r="D348">
        <v>12</v>
      </c>
      <c r="E348">
        <v>49.899356133917927</v>
      </c>
      <c r="F348">
        <v>62.3</v>
      </c>
      <c r="G348">
        <v>25.6</v>
      </c>
      <c r="H348">
        <v>49.899356133917927</v>
      </c>
      <c r="I348">
        <v>62.3</v>
      </c>
      <c r="J348">
        <v>316</v>
      </c>
      <c r="K348">
        <v>49.899356133917927</v>
      </c>
      <c r="L348">
        <v>62.3</v>
      </c>
    </row>
    <row r="349" spans="1:12" x14ac:dyDescent="0.35">
      <c r="A349">
        <v>4011</v>
      </c>
      <c r="B349">
        <v>52.760183617911856</v>
      </c>
      <c r="C349">
        <v>62.7</v>
      </c>
      <c r="D349">
        <v>6</v>
      </c>
      <c r="E349">
        <v>52.760183617911856</v>
      </c>
      <c r="F349">
        <v>62.7</v>
      </c>
      <c r="G349">
        <v>23.5</v>
      </c>
      <c r="H349">
        <v>52.760183617911856</v>
      </c>
      <c r="I349">
        <v>62.7</v>
      </c>
      <c r="J349">
        <v>124.4</v>
      </c>
      <c r="K349">
        <v>52.760183617911856</v>
      </c>
      <c r="L349">
        <v>62.7</v>
      </c>
    </row>
    <row r="350" spans="1:12" x14ac:dyDescent="0.35">
      <c r="A350">
        <v>1261</v>
      </c>
      <c r="B350">
        <v>49.803215634289835</v>
      </c>
      <c r="C350">
        <v>62.8</v>
      </c>
      <c r="D350">
        <v>7.9</v>
      </c>
      <c r="E350">
        <v>49.803215634289835</v>
      </c>
      <c r="F350">
        <v>62.8</v>
      </c>
      <c r="G350">
        <v>31.4</v>
      </c>
      <c r="H350">
        <v>49.803215634289835</v>
      </c>
      <c r="I350">
        <v>62.8</v>
      </c>
      <c r="J350">
        <v>288.2</v>
      </c>
      <c r="K350">
        <v>49.803215634289835</v>
      </c>
      <c r="L350">
        <v>62.8</v>
      </c>
    </row>
    <row r="351" spans="1:12" x14ac:dyDescent="0.35">
      <c r="A351">
        <v>3569</v>
      </c>
      <c r="B351">
        <v>54.902428356886801</v>
      </c>
      <c r="C351">
        <v>63</v>
      </c>
      <c r="D351">
        <v>9.8000000000000007</v>
      </c>
      <c r="E351">
        <v>54.902428356886801</v>
      </c>
      <c r="F351">
        <v>63</v>
      </c>
      <c r="G351">
        <v>21.9</v>
      </c>
      <c r="H351">
        <v>54.902428356886801</v>
      </c>
      <c r="I351">
        <v>63</v>
      </c>
      <c r="J351">
        <v>129.4</v>
      </c>
      <c r="K351">
        <v>54.902428356886801</v>
      </c>
      <c r="L351">
        <v>63</v>
      </c>
    </row>
    <row r="352" spans="1:12" x14ac:dyDescent="0.35">
      <c r="A352">
        <v>7870</v>
      </c>
      <c r="B352">
        <v>58.618799137726612</v>
      </c>
      <c r="C352">
        <v>63.1</v>
      </c>
      <c r="D352">
        <v>6.6</v>
      </c>
      <c r="E352">
        <v>58.618799137726612</v>
      </c>
      <c r="F352">
        <v>63.1</v>
      </c>
      <c r="G352">
        <v>29.7</v>
      </c>
      <c r="H352">
        <v>58.618799137726612</v>
      </c>
      <c r="I352">
        <v>63.1</v>
      </c>
      <c r="J352">
        <v>51.9</v>
      </c>
      <c r="K352">
        <v>58.618799137726612</v>
      </c>
      <c r="L352">
        <v>63.1</v>
      </c>
    </row>
    <row r="353" spans="1:12" x14ac:dyDescent="0.35">
      <c r="A353">
        <v>14338</v>
      </c>
      <c r="B353">
        <v>54.596174370837282</v>
      </c>
      <c r="C353">
        <v>63.4</v>
      </c>
      <c r="D353">
        <v>13.1</v>
      </c>
      <c r="E353">
        <v>54.596174370837282</v>
      </c>
      <c r="F353">
        <v>63.4</v>
      </c>
      <c r="G353">
        <v>23.6</v>
      </c>
      <c r="H353">
        <v>54.596174370837282</v>
      </c>
      <c r="I353">
        <v>63.4</v>
      </c>
      <c r="J353">
        <v>236.3</v>
      </c>
      <c r="K353">
        <v>54.596174370837282</v>
      </c>
      <c r="L353">
        <v>63.4</v>
      </c>
    </row>
    <row r="354" spans="1:12" x14ac:dyDescent="0.35">
      <c r="A354">
        <v>11220</v>
      </c>
      <c r="B354">
        <v>49.523277599031502</v>
      </c>
      <c r="C354">
        <v>63.4</v>
      </c>
      <c r="D354">
        <v>10</v>
      </c>
      <c r="E354">
        <v>49.523277599031502</v>
      </c>
      <c r="F354">
        <v>63.4</v>
      </c>
      <c r="G354">
        <v>20.3</v>
      </c>
      <c r="H354">
        <v>49.523277599031502</v>
      </c>
      <c r="I354">
        <v>63.4</v>
      </c>
      <c r="J354">
        <v>268.10000000000002</v>
      </c>
      <c r="K354">
        <v>49.523277599031502</v>
      </c>
      <c r="L354">
        <v>63.4</v>
      </c>
    </row>
    <row r="355" spans="1:12" x14ac:dyDescent="0.35">
      <c r="A355">
        <v>5398</v>
      </c>
      <c r="B355">
        <v>57.094917524822371</v>
      </c>
      <c r="C355">
        <v>64.8</v>
      </c>
      <c r="D355">
        <v>9.5</v>
      </c>
      <c r="E355">
        <v>57.094917524822371</v>
      </c>
      <c r="F355">
        <v>64.8</v>
      </c>
      <c r="G355">
        <v>25.8</v>
      </c>
      <c r="H355">
        <v>57.094917524822371</v>
      </c>
      <c r="I355">
        <v>64.8</v>
      </c>
      <c r="J355">
        <v>106</v>
      </c>
      <c r="K355">
        <v>57.094917524822371</v>
      </c>
      <c r="L355">
        <v>64.8</v>
      </c>
    </row>
    <row r="356" spans="1:12" x14ac:dyDescent="0.35">
      <c r="A356">
        <v>17311</v>
      </c>
      <c r="B356">
        <v>53.302676370972769</v>
      </c>
      <c r="C356">
        <v>64.900000000000006</v>
      </c>
      <c r="D356">
        <v>9.6</v>
      </c>
      <c r="E356">
        <v>53.302676370972769</v>
      </c>
      <c r="F356">
        <v>64.900000000000006</v>
      </c>
      <c r="G356">
        <v>23.9</v>
      </c>
      <c r="H356">
        <v>53.302676370972769</v>
      </c>
      <c r="I356">
        <v>64.900000000000006</v>
      </c>
      <c r="J356">
        <v>211.7</v>
      </c>
      <c r="K356">
        <v>53.302676370972769</v>
      </c>
      <c r="L356">
        <v>64.900000000000006</v>
      </c>
    </row>
    <row r="357" spans="1:12" x14ac:dyDescent="0.35">
      <c r="A357">
        <v>300</v>
      </c>
      <c r="B357">
        <v>55.546966276973365</v>
      </c>
      <c r="C357">
        <v>65</v>
      </c>
      <c r="D357">
        <v>6.9</v>
      </c>
      <c r="E357">
        <v>55.546966276973365</v>
      </c>
      <c r="F357">
        <v>65</v>
      </c>
      <c r="G357">
        <v>21.6</v>
      </c>
      <c r="H357">
        <v>55.546966276973365</v>
      </c>
      <c r="I357">
        <v>65</v>
      </c>
      <c r="J357">
        <v>50</v>
      </c>
      <c r="K357">
        <v>55.546966276973365</v>
      </c>
      <c r="L357">
        <v>65</v>
      </c>
    </row>
    <row r="358" spans="1:12" x14ac:dyDescent="0.35">
      <c r="A358">
        <v>5013</v>
      </c>
      <c r="B358">
        <v>53.960320989889127</v>
      </c>
      <c r="C358">
        <v>67.8</v>
      </c>
      <c r="D358">
        <v>7.9</v>
      </c>
      <c r="E358">
        <v>53.960320989889127</v>
      </c>
      <c r="F358">
        <v>67.8</v>
      </c>
      <c r="G358">
        <v>26.4</v>
      </c>
      <c r="H358">
        <v>53.960320989889127</v>
      </c>
      <c r="I358">
        <v>67.8</v>
      </c>
      <c r="J358">
        <v>156.1</v>
      </c>
      <c r="K358">
        <v>53.960320989889127</v>
      </c>
      <c r="L358">
        <v>67.8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a5a7f39-e3be-4ab3-b450-67fa80faecad}" enabled="0" method="" siteId="{ba5a7f39-e3be-4ab3-b450-67fa80faec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Regression_Setup</vt:lpstr>
      <vt:lpstr>Regression_Results</vt:lpstr>
      <vt:lpstr>Residual_Analysis</vt:lpstr>
      <vt:lpstr>Formula_Examples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Altieri, Daniel B</cp:lastModifiedBy>
  <cp:revision>0</cp:revision>
  <dcterms:created xsi:type="dcterms:W3CDTF">2026-02-23T13:09:32Z</dcterms:created>
  <dcterms:modified xsi:type="dcterms:W3CDTF">2026-02-23T19:27:51Z</dcterms:modified>
  <dc:language>en-US</dc:language>
</cp:coreProperties>
</file>